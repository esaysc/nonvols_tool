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12组" sheetId="10" r:id="rId2"/>
    <sheet name="10组" sheetId="14" r:id="rId3"/>
  </sheets>
  <externalReferences>
    <externalReference r:id="rId4"/>
  </externalReferences>
  <definedNames>
    <definedName name="_xlnm._FilterDatabase" localSheetId="1" hidden="1">'12组'!$A$1:$L$382</definedName>
    <definedName name="_xlnm._FilterDatabase" localSheetId="2" hidden="1">'10组'!$A$1:$K$74</definedName>
    <definedName name="_xlnm._FilterDatabase" localSheetId="0" hidden="1">Sheet1!$A$1:$K$2154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<sst xmlns="http://schemas.openxmlformats.org/spreadsheetml/2006/main" count="10427" uniqueCount="820">
  <si>
    <t>序号</t>
  </si>
  <si>
    <t>农户姓名</t>
  </si>
  <si>
    <t>组别</t>
  </si>
  <si>
    <t>地块名称</t>
  </si>
  <si>
    <t>土块类型（田或土）</t>
  </si>
  <si>
    <t>地块面积（亩）</t>
  </si>
  <si>
    <t>单价（元）</t>
  </si>
  <si>
    <t>金额（元）</t>
  </si>
  <si>
    <t>农户签字</t>
  </si>
  <si>
    <t>备注</t>
  </si>
  <si>
    <t>郑茂清</t>
  </si>
  <si>
    <t>9组</t>
  </si>
  <si>
    <t>羊场背后</t>
  </si>
  <si>
    <t>土</t>
  </si>
  <si>
    <t>游建华</t>
  </si>
  <si>
    <t>汤菊珍</t>
  </si>
  <si>
    <t>魏菊明</t>
  </si>
  <si>
    <t>程勇军</t>
  </si>
  <si>
    <t>熊树权</t>
  </si>
  <si>
    <t>夏治安</t>
  </si>
  <si>
    <t>夏明扬</t>
  </si>
  <si>
    <t>10组</t>
  </si>
  <si>
    <t>田</t>
  </si>
  <si>
    <t>自种</t>
  </si>
  <si>
    <t>林柱根</t>
  </si>
  <si>
    <t>已签</t>
  </si>
  <si>
    <t>林立平</t>
  </si>
  <si>
    <t>王金文</t>
  </si>
  <si>
    <t>邦田</t>
  </si>
  <si>
    <t>王守刚</t>
  </si>
  <si>
    <t>王述文</t>
  </si>
  <si>
    <t>王云成</t>
  </si>
  <si>
    <t>林德江</t>
  </si>
  <si>
    <t>林德民</t>
  </si>
  <si>
    <t>林自明</t>
  </si>
  <si>
    <t>林伟</t>
  </si>
  <si>
    <t>林柱军</t>
  </si>
  <si>
    <t>林聪</t>
  </si>
  <si>
    <t>申书华</t>
  </si>
  <si>
    <t>林德昆</t>
  </si>
  <si>
    <t>王仲良</t>
  </si>
  <si>
    <t>王九明</t>
  </si>
  <si>
    <t>王守智</t>
  </si>
  <si>
    <t>王子根</t>
  </si>
  <si>
    <t>王守潮</t>
  </si>
  <si>
    <t>郑东秀</t>
  </si>
  <si>
    <t>王志军</t>
  </si>
  <si>
    <t>孟学书</t>
  </si>
  <si>
    <t>王守金</t>
  </si>
  <si>
    <t>王守银</t>
  </si>
  <si>
    <t>王子明</t>
  </si>
  <si>
    <t>孟水勇</t>
  </si>
  <si>
    <t>夏明春</t>
  </si>
  <si>
    <t>王守权</t>
  </si>
  <si>
    <t>集体1</t>
  </si>
  <si>
    <t>集体2</t>
  </si>
  <si>
    <t>集体3</t>
  </si>
  <si>
    <t>张淑群</t>
  </si>
  <si>
    <t>王守军</t>
  </si>
  <si>
    <t>程勇均</t>
  </si>
  <si>
    <t>游文玉</t>
  </si>
  <si>
    <t>郑茂青</t>
  </si>
  <si>
    <t>林术君</t>
  </si>
  <si>
    <t>郑学文</t>
  </si>
  <si>
    <t>王守才</t>
  </si>
  <si>
    <t>徐国华</t>
  </si>
  <si>
    <t>夏根华</t>
  </si>
  <si>
    <t>王元辉</t>
  </si>
  <si>
    <t>王本全</t>
  </si>
  <si>
    <t>张平中</t>
  </si>
  <si>
    <t>王元照</t>
  </si>
  <si>
    <t>王勇根</t>
  </si>
  <si>
    <t>王本红</t>
  </si>
  <si>
    <t>王元奎</t>
  </si>
  <si>
    <t>王杰</t>
  </si>
  <si>
    <t>王本舟</t>
  </si>
  <si>
    <t>王元树</t>
  </si>
  <si>
    <t>王云中</t>
  </si>
  <si>
    <t>王耀</t>
  </si>
  <si>
    <t>王本田</t>
  </si>
  <si>
    <t>王耀龙</t>
  </si>
  <si>
    <t>王守成</t>
  </si>
  <si>
    <t>杨翠华</t>
  </si>
  <si>
    <t>王本端</t>
  </si>
  <si>
    <t>王本根</t>
  </si>
  <si>
    <t>王守艮</t>
  </si>
  <si>
    <t>王守全</t>
  </si>
  <si>
    <t>夏宗禹</t>
  </si>
  <si>
    <t>王本学</t>
  </si>
  <si>
    <t>王水全</t>
  </si>
  <si>
    <t>王江明</t>
  </si>
  <si>
    <t>王金明</t>
  </si>
  <si>
    <t>已复量</t>
  </si>
  <si>
    <t>王本辉</t>
  </si>
  <si>
    <t>严菊花</t>
  </si>
  <si>
    <t>王本雪</t>
  </si>
  <si>
    <t>王元卓</t>
  </si>
  <si>
    <t>王元红</t>
  </si>
  <si>
    <t>王元发</t>
  </si>
  <si>
    <t>王永先</t>
  </si>
  <si>
    <t>王本权</t>
  </si>
  <si>
    <t>下枇杷地</t>
  </si>
  <si>
    <t>10.7补</t>
  </si>
  <si>
    <t>王永根</t>
  </si>
  <si>
    <t>王康</t>
  </si>
  <si>
    <t>9.10</t>
  </si>
  <si>
    <t>王久明</t>
  </si>
  <si>
    <t>王学良</t>
  </si>
  <si>
    <t>汪辉强</t>
  </si>
  <si>
    <t>张子钦</t>
  </si>
  <si>
    <t>林泽</t>
  </si>
  <si>
    <t>王水清</t>
  </si>
  <si>
    <t>徐斌</t>
  </si>
  <si>
    <t>彭冲玉</t>
  </si>
  <si>
    <t>王九勤</t>
  </si>
  <si>
    <t>王久</t>
  </si>
  <si>
    <t>王加会</t>
  </si>
  <si>
    <t>王明均</t>
  </si>
  <si>
    <t>王守良</t>
  </si>
  <si>
    <t>田菊花</t>
  </si>
  <si>
    <t>王元德</t>
  </si>
  <si>
    <t>李路尧</t>
  </si>
  <si>
    <t>林和</t>
  </si>
  <si>
    <t>王春生</t>
  </si>
  <si>
    <t>王彬</t>
  </si>
  <si>
    <t>林江</t>
  </si>
  <si>
    <t>林晓东</t>
  </si>
  <si>
    <t>杨淑芳</t>
  </si>
  <si>
    <t>王云华</t>
  </si>
  <si>
    <t>王勇</t>
  </si>
  <si>
    <t>王学明</t>
  </si>
  <si>
    <t>王明五</t>
  </si>
  <si>
    <t>王守怀</t>
  </si>
  <si>
    <t>王飞</t>
  </si>
  <si>
    <t>王久高</t>
  </si>
  <si>
    <t>马炳良</t>
  </si>
  <si>
    <t>马长生</t>
  </si>
  <si>
    <t>林德扬</t>
  </si>
  <si>
    <t>9.10加了0.07</t>
  </si>
  <si>
    <t>王友</t>
  </si>
  <si>
    <t>中塘</t>
  </si>
  <si>
    <t>林江和杨淑芳（2分）不同意</t>
  </si>
  <si>
    <t>塘儿地</t>
  </si>
  <si>
    <t>王林</t>
  </si>
  <si>
    <t>王守清</t>
  </si>
  <si>
    <t>林泽均</t>
  </si>
  <si>
    <t>四亩儿</t>
  </si>
  <si>
    <t>尖尖地</t>
  </si>
  <si>
    <t>0.8减0.32到第二批</t>
  </si>
  <si>
    <t>林德辉</t>
  </si>
  <si>
    <t>正槽地</t>
  </si>
  <si>
    <t>马丙军</t>
  </si>
  <si>
    <t>橘子地</t>
  </si>
  <si>
    <t>林德均</t>
  </si>
  <si>
    <t>黄泥巴地</t>
  </si>
  <si>
    <t>林德勋</t>
  </si>
  <si>
    <t>林德平</t>
  </si>
  <si>
    <t>蓄水塘</t>
  </si>
  <si>
    <t>坟山地</t>
  </si>
  <si>
    <t>山坟地</t>
  </si>
  <si>
    <t>石场地</t>
  </si>
  <si>
    <t>架架车</t>
  </si>
  <si>
    <t>荒坡</t>
  </si>
  <si>
    <t>学堂湾</t>
  </si>
  <si>
    <t>王少先</t>
  </si>
  <si>
    <t>王玉英</t>
  </si>
  <si>
    <t>王久书</t>
  </si>
  <si>
    <t>王秀英</t>
  </si>
  <si>
    <t>王久波</t>
  </si>
  <si>
    <t>马炳全</t>
  </si>
  <si>
    <t>王久钦</t>
  </si>
  <si>
    <t>林杰</t>
  </si>
  <si>
    <t>王久方</t>
  </si>
  <si>
    <t>王久均</t>
  </si>
  <si>
    <t>林元林</t>
  </si>
  <si>
    <t xml:space="preserve">后补 </t>
  </si>
  <si>
    <t>王文均</t>
  </si>
  <si>
    <t>13组</t>
  </si>
  <si>
    <t>秧田儿</t>
  </si>
  <si>
    <t>谢成书</t>
  </si>
  <si>
    <t>王敏志</t>
  </si>
  <si>
    <t>刘金贵</t>
  </si>
  <si>
    <t>王志理</t>
  </si>
  <si>
    <t>王敏方（1951）</t>
  </si>
  <si>
    <t>王会元</t>
  </si>
  <si>
    <t>老秧田</t>
  </si>
  <si>
    <t>王祥彬</t>
  </si>
  <si>
    <t>王信明</t>
  </si>
  <si>
    <t>王敏辉</t>
  </si>
  <si>
    <t>王松柏</t>
  </si>
  <si>
    <t>刘金国</t>
  </si>
  <si>
    <t>王志修</t>
  </si>
  <si>
    <t>王会南</t>
  </si>
  <si>
    <t>黄泥巴田</t>
  </si>
  <si>
    <t>河坝田</t>
  </si>
  <si>
    <t>王华军</t>
  </si>
  <si>
    <t>小方田</t>
  </si>
  <si>
    <t>王敏才</t>
  </si>
  <si>
    <t>王东琴</t>
  </si>
  <si>
    <t>王会文</t>
  </si>
  <si>
    <t>陈雪华</t>
  </si>
  <si>
    <t>王水和</t>
  </si>
  <si>
    <t>王进</t>
  </si>
  <si>
    <t>河嘟嘟</t>
  </si>
  <si>
    <t>堰塘田</t>
  </si>
  <si>
    <t>王刚</t>
  </si>
  <si>
    <t>王淑先</t>
  </si>
  <si>
    <t>大刀把田</t>
  </si>
  <si>
    <t>王明信</t>
  </si>
  <si>
    <t>王敏勋</t>
  </si>
  <si>
    <t>王会中</t>
  </si>
  <si>
    <t>汪淑先</t>
  </si>
  <si>
    <t>王海霞</t>
  </si>
  <si>
    <t>双田儿</t>
  </si>
  <si>
    <t>王会庸</t>
  </si>
  <si>
    <t>古井田</t>
  </si>
  <si>
    <t>扇子田</t>
  </si>
  <si>
    <t>长田</t>
  </si>
  <si>
    <t>刘碧英</t>
  </si>
  <si>
    <t>大新田</t>
  </si>
  <si>
    <t>王信良</t>
  </si>
  <si>
    <t>胡淑先</t>
  </si>
  <si>
    <t>王会良</t>
  </si>
  <si>
    <t>王会选</t>
  </si>
  <si>
    <t>小新田</t>
  </si>
  <si>
    <t>荡荡儿</t>
  </si>
  <si>
    <t>尖尖田</t>
  </si>
  <si>
    <t>沙田</t>
  </si>
  <si>
    <t>上石滚田</t>
  </si>
  <si>
    <t>烂田</t>
  </si>
  <si>
    <t>团团田</t>
  </si>
  <si>
    <t>杨淑群</t>
  </si>
  <si>
    <t>上正槽</t>
  </si>
  <si>
    <t>眼镜儿</t>
  </si>
  <si>
    <t>王敏虎</t>
  </si>
  <si>
    <t>王敏宗</t>
  </si>
  <si>
    <t>学堂地</t>
  </si>
  <si>
    <t>新田</t>
  </si>
  <si>
    <t>长田儿</t>
  </si>
  <si>
    <t>？</t>
  </si>
  <si>
    <t>小刀把田</t>
  </si>
  <si>
    <t>石滚田</t>
  </si>
  <si>
    <t>吴凯</t>
  </si>
  <si>
    <t>雷拱田</t>
  </si>
  <si>
    <t>李英</t>
  </si>
  <si>
    <t>郑兴云</t>
  </si>
  <si>
    <t>大田</t>
  </si>
  <si>
    <t>王强（钟翠云）</t>
  </si>
  <si>
    <t>王国安田坎</t>
  </si>
  <si>
    <t>王火明</t>
  </si>
  <si>
    <t>半边田</t>
  </si>
  <si>
    <t>王建</t>
  </si>
  <si>
    <t>杨立全</t>
  </si>
  <si>
    <t>集体（大田）原4组</t>
  </si>
  <si>
    <t>长田坝</t>
  </si>
  <si>
    <t>王敏仲</t>
  </si>
  <si>
    <t>钟翠云</t>
  </si>
  <si>
    <t>王敏玉</t>
  </si>
  <si>
    <t>湾田</t>
  </si>
  <si>
    <t>王敏根</t>
  </si>
  <si>
    <t>王勇军</t>
  </si>
  <si>
    <t>高粱田</t>
  </si>
  <si>
    <t>王米成</t>
  </si>
  <si>
    <t>杨柳田</t>
  </si>
  <si>
    <t>王信三</t>
  </si>
  <si>
    <t>汤登潘</t>
  </si>
  <si>
    <t>王根明</t>
  </si>
  <si>
    <t>麻柳田</t>
  </si>
  <si>
    <t>王建国</t>
  </si>
  <si>
    <t>汪金辉</t>
  </si>
  <si>
    <t>王敏清</t>
  </si>
  <si>
    <t>塘儿</t>
  </si>
  <si>
    <t>王树根</t>
  </si>
  <si>
    <t>白蜡田</t>
  </si>
  <si>
    <t>郑长明</t>
  </si>
  <si>
    <t>王长久</t>
  </si>
  <si>
    <t>黄金坡</t>
  </si>
  <si>
    <t>顺山田</t>
  </si>
  <si>
    <t>王德华</t>
  </si>
  <si>
    <t>王七均</t>
  </si>
  <si>
    <t>曹菊花</t>
  </si>
  <si>
    <t>岩边儿</t>
  </si>
  <si>
    <t>碾子湾</t>
  </si>
  <si>
    <t>尖田坝</t>
  </si>
  <si>
    <t>郑树文</t>
  </si>
  <si>
    <t>楼影田</t>
  </si>
  <si>
    <t>梁玉清</t>
  </si>
  <si>
    <t>果兜田</t>
  </si>
  <si>
    <t>刘云仲</t>
  </si>
  <si>
    <t>郑铃</t>
  </si>
  <si>
    <t>老金堂</t>
  </si>
  <si>
    <t>仰天窝</t>
  </si>
  <si>
    <t>半天田</t>
  </si>
  <si>
    <t>任菊花</t>
  </si>
  <si>
    <t>王晓军</t>
  </si>
  <si>
    <t>黄金田</t>
  </si>
  <si>
    <t>刘云志</t>
  </si>
  <si>
    <t>王华成</t>
  </si>
  <si>
    <t>王勇均</t>
  </si>
  <si>
    <t>刀把田</t>
  </si>
  <si>
    <t>王国明</t>
  </si>
  <si>
    <t>方田</t>
  </si>
  <si>
    <t>老金田</t>
  </si>
  <si>
    <t>李秀英</t>
  </si>
  <si>
    <t>王磊</t>
  </si>
  <si>
    <t>塘儿田</t>
  </si>
  <si>
    <t>岩边田</t>
  </si>
  <si>
    <t>环田</t>
  </si>
  <si>
    <t>生地</t>
  </si>
  <si>
    <t xml:space="preserve">土 </t>
  </si>
  <si>
    <t>芝麻地</t>
  </si>
  <si>
    <t>郑长清</t>
  </si>
  <si>
    <t>桐子树地</t>
  </si>
  <si>
    <t>羊角地</t>
  </si>
  <si>
    <t>窝平</t>
  </si>
  <si>
    <t>堰塘</t>
  </si>
  <si>
    <t>方田坝</t>
  </si>
  <si>
    <t>柏树田坝</t>
  </si>
  <si>
    <t>屋基地</t>
  </si>
  <si>
    <t>大地</t>
  </si>
  <si>
    <t>二亩二地</t>
  </si>
  <si>
    <t>枕头地</t>
  </si>
  <si>
    <t>桑树地</t>
  </si>
  <si>
    <t>黄竹地</t>
  </si>
  <si>
    <t>屋基儿</t>
  </si>
  <si>
    <t>集体（原4组）</t>
  </si>
  <si>
    <t>坡坡地</t>
  </si>
  <si>
    <t>梨树地</t>
  </si>
  <si>
    <t>自留地</t>
  </si>
  <si>
    <t>大花地</t>
  </si>
  <si>
    <t>抓抓地</t>
  </si>
  <si>
    <t>柏树地</t>
  </si>
  <si>
    <t>王俊良</t>
  </si>
  <si>
    <t>榜田坝</t>
  </si>
  <si>
    <t>王敏则</t>
  </si>
  <si>
    <t>深古井</t>
  </si>
  <si>
    <t>岩边地</t>
  </si>
  <si>
    <t>王禹红</t>
  </si>
  <si>
    <t>湾湾田</t>
  </si>
  <si>
    <t>沙灯地</t>
  </si>
  <si>
    <t>松树地</t>
  </si>
  <si>
    <t>团团地</t>
  </si>
  <si>
    <t>黄主地</t>
  </si>
  <si>
    <t>节节地</t>
  </si>
  <si>
    <t>燕尾巴</t>
  </si>
  <si>
    <t>柏树田</t>
  </si>
  <si>
    <t>新古井</t>
  </si>
  <si>
    <t>中间田</t>
  </si>
  <si>
    <t>竹林田</t>
  </si>
  <si>
    <t>杏子树地</t>
  </si>
  <si>
    <t>尧平地</t>
  </si>
  <si>
    <t>月和地</t>
  </si>
  <si>
    <t>电桩地</t>
  </si>
  <si>
    <t>玉禾田</t>
  </si>
  <si>
    <t>狮子田</t>
  </si>
  <si>
    <t>王光财</t>
  </si>
  <si>
    <t>王敏海</t>
  </si>
  <si>
    <t>小古井地</t>
  </si>
  <si>
    <t>王敏全</t>
  </si>
  <si>
    <t>大古井地</t>
  </si>
  <si>
    <t>王建明</t>
  </si>
  <si>
    <t>夏梁琼</t>
  </si>
  <si>
    <t>塘塘儿地</t>
  </si>
  <si>
    <t>下正槽地</t>
  </si>
  <si>
    <t>子树地槐</t>
  </si>
  <si>
    <t>桥儿地</t>
  </si>
  <si>
    <t>陈德英</t>
  </si>
  <si>
    <t>王孟春</t>
  </si>
  <si>
    <t>王永春</t>
  </si>
  <si>
    <t>塘塘儿田</t>
  </si>
  <si>
    <t>王敏付</t>
  </si>
  <si>
    <t>王海波</t>
  </si>
  <si>
    <t>上环田</t>
  </si>
  <si>
    <t>下环田</t>
  </si>
  <si>
    <t>集体</t>
  </si>
  <si>
    <t>王敏方（47年）</t>
  </si>
  <si>
    <t>秧大田</t>
  </si>
  <si>
    <t>王敏华</t>
  </si>
  <si>
    <t>堰塘（明细见王敏全）</t>
  </si>
  <si>
    <t>送水</t>
  </si>
  <si>
    <t>伍朝林</t>
  </si>
  <si>
    <t>王敏光</t>
  </si>
  <si>
    <t>林淑明</t>
  </si>
  <si>
    <t>三相地</t>
  </si>
  <si>
    <t>王洪根</t>
  </si>
  <si>
    <t>王梦强</t>
  </si>
  <si>
    <t>傲刀地</t>
  </si>
  <si>
    <t>王洪良</t>
  </si>
  <si>
    <t>林德清</t>
  </si>
  <si>
    <t>林德君</t>
  </si>
  <si>
    <t>王学成</t>
  </si>
  <si>
    <t>王茂春</t>
  </si>
  <si>
    <t>槐子树地</t>
  </si>
  <si>
    <t>五香地</t>
  </si>
  <si>
    <t>王洪康</t>
  </si>
  <si>
    <t>杨淑明</t>
  </si>
  <si>
    <t>沙登田</t>
  </si>
  <si>
    <t>王敏中</t>
  </si>
  <si>
    <t>王梦春</t>
  </si>
  <si>
    <t>王敏波</t>
  </si>
  <si>
    <t>卷子树地</t>
  </si>
  <si>
    <t>过路地</t>
  </si>
  <si>
    <t>弯弯地</t>
  </si>
  <si>
    <t>山毛石地</t>
  </si>
  <si>
    <t>王寒松</t>
  </si>
  <si>
    <t>上大田</t>
  </si>
  <si>
    <t>电桩田</t>
  </si>
  <si>
    <t>下大田</t>
  </si>
  <si>
    <t>早谷子田</t>
  </si>
  <si>
    <t>荡荡儿田</t>
  </si>
  <si>
    <t>幺塘田</t>
  </si>
  <si>
    <t>烂杯田</t>
  </si>
  <si>
    <t>公路边</t>
  </si>
  <si>
    <t>汪海燕</t>
  </si>
  <si>
    <t>王海燕</t>
  </si>
  <si>
    <t>方方田</t>
  </si>
  <si>
    <t>王守明</t>
  </si>
  <si>
    <t>沙田坝</t>
  </si>
  <si>
    <t>刘凤英</t>
  </si>
  <si>
    <t>屋基儿地</t>
  </si>
  <si>
    <t>黄呢吧地</t>
  </si>
  <si>
    <t>花生地</t>
  </si>
  <si>
    <t>生机地</t>
  </si>
  <si>
    <t>边边儿地</t>
  </si>
  <si>
    <t>撮机地</t>
  </si>
  <si>
    <t>湾湾地</t>
  </si>
  <si>
    <t>窝窝地</t>
  </si>
  <si>
    <t>垮边边地</t>
  </si>
  <si>
    <t>香附子地</t>
  </si>
  <si>
    <t>叉叉地</t>
  </si>
  <si>
    <t>眼睛儿地</t>
  </si>
  <si>
    <t>山茅思地</t>
  </si>
  <si>
    <t>小过路地</t>
  </si>
  <si>
    <t>小湾湾地</t>
  </si>
  <si>
    <t>成玉钦</t>
  </si>
  <si>
    <t>顺山地</t>
  </si>
  <si>
    <t>王信均</t>
  </si>
  <si>
    <t>王会宗</t>
  </si>
  <si>
    <t>王华均（75年）</t>
  </si>
  <si>
    <t>电池地</t>
  </si>
  <si>
    <t>王敏方</t>
  </si>
  <si>
    <t>王华均</t>
  </si>
  <si>
    <t>过路田</t>
  </si>
  <si>
    <t>榜田</t>
  </si>
  <si>
    <t>刘龙</t>
  </si>
  <si>
    <t>刘小惠</t>
  </si>
  <si>
    <t>成玉清</t>
  </si>
  <si>
    <t>2队集体</t>
  </si>
  <si>
    <t>王照明</t>
  </si>
  <si>
    <t>2兄弟</t>
  </si>
  <si>
    <t>大田坝</t>
  </si>
  <si>
    <t>塘塘地</t>
  </si>
  <si>
    <t>王聪</t>
  </si>
  <si>
    <t>王河春</t>
  </si>
  <si>
    <t>登登地</t>
  </si>
  <si>
    <t>王敏方（51年）</t>
  </si>
  <si>
    <t>黄泥吧地</t>
  </si>
  <si>
    <t>石板地</t>
  </si>
  <si>
    <t>下亩2</t>
  </si>
  <si>
    <t>方春华</t>
  </si>
  <si>
    <t>方方地</t>
  </si>
  <si>
    <t>徐自群（王子根）</t>
  </si>
  <si>
    <t>上亩2</t>
  </si>
  <si>
    <t>王会崇</t>
  </si>
  <si>
    <t>卷子地</t>
  </si>
  <si>
    <t>幺瓜地</t>
  </si>
  <si>
    <t>刘会庸</t>
  </si>
  <si>
    <t>8分地</t>
  </si>
  <si>
    <t>王会平</t>
  </si>
  <si>
    <t>撮基地</t>
  </si>
  <si>
    <t>底弯弯</t>
  </si>
  <si>
    <t>王志强</t>
  </si>
  <si>
    <t>1.5亩地</t>
  </si>
  <si>
    <t>3亩8地</t>
  </si>
  <si>
    <t>大瑶平</t>
  </si>
  <si>
    <t>台台地</t>
  </si>
  <si>
    <t>嘴嘴地</t>
  </si>
  <si>
    <t>杨淑明大地</t>
  </si>
  <si>
    <t>刘壁英</t>
  </si>
  <si>
    <t>鸡嘴地</t>
  </si>
  <si>
    <t>段秀花</t>
  </si>
  <si>
    <t>大脑壳地</t>
  </si>
  <si>
    <t>王敏元</t>
  </si>
  <si>
    <t>石厂地</t>
  </si>
  <si>
    <t>徐自群</t>
  </si>
  <si>
    <t>向桂花</t>
  </si>
  <si>
    <t>王敏文大地</t>
  </si>
  <si>
    <t>王会根</t>
  </si>
  <si>
    <t>顶弯弯</t>
  </si>
  <si>
    <t>上亩儿</t>
  </si>
  <si>
    <t>扇子地</t>
  </si>
  <si>
    <t>苦弹树地</t>
  </si>
  <si>
    <t>山梗地</t>
  </si>
  <si>
    <t>长地</t>
  </si>
  <si>
    <t>半圈地</t>
  </si>
  <si>
    <t>上尧地</t>
  </si>
  <si>
    <t>梗梗地</t>
  </si>
  <si>
    <t>坟山大地</t>
  </si>
  <si>
    <t>石厂大地</t>
  </si>
  <si>
    <t>王强（原5组）</t>
  </si>
  <si>
    <t>王水明（68年）</t>
  </si>
  <si>
    <t>王水均</t>
  </si>
  <si>
    <t>吴似先</t>
  </si>
  <si>
    <t>吴加勇</t>
  </si>
  <si>
    <t>王桂良</t>
  </si>
  <si>
    <t>王德会</t>
  </si>
  <si>
    <t>王子良</t>
  </si>
  <si>
    <t>王艮川</t>
  </si>
  <si>
    <t>王长清</t>
  </si>
  <si>
    <t>岩脚田</t>
  </si>
  <si>
    <t>王建华</t>
  </si>
  <si>
    <t>太平地</t>
  </si>
  <si>
    <t>王佳勇</t>
  </si>
  <si>
    <t>岩脚地</t>
  </si>
  <si>
    <t>田满均</t>
  </si>
  <si>
    <t>荒山</t>
  </si>
  <si>
    <t>青子树地</t>
  </si>
  <si>
    <t>王敏祥</t>
  </si>
  <si>
    <t>张桂先</t>
  </si>
  <si>
    <t>堰耳朵</t>
  </si>
  <si>
    <t>宋菊明</t>
  </si>
  <si>
    <t>王水明</t>
  </si>
  <si>
    <t>王敏树</t>
  </si>
  <si>
    <t>王木均</t>
  </si>
  <si>
    <t>王俊华</t>
  </si>
  <si>
    <t>燕尾田</t>
  </si>
  <si>
    <t>尖田坎</t>
  </si>
  <si>
    <t>窝窝儿地</t>
  </si>
  <si>
    <t>观音地</t>
  </si>
  <si>
    <t>王河清</t>
  </si>
  <si>
    <t>田凤英</t>
  </si>
  <si>
    <t>杨丽群</t>
  </si>
  <si>
    <t>田坝地</t>
  </si>
  <si>
    <t>曹菊华</t>
  </si>
  <si>
    <t>白辣田</t>
  </si>
  <si>
    <t>王满军</t>
  </si>
  <si>
    <t>王良均</t>
  </si>
  <si>
    <t>王文金</t>
  </si>
  <si>
    <t>王书文</t>
  </si>
  <si>
    <t>燕角田</t>
  </si>
  <si>
    <t>堰杆边</t>
  </si>
  <si>
    <t>燕尾巴田</t>
  </si>
  <si>
    <t>王良军</t>
  </si>
  <si>
    <t>王强（原4组）</t>
  </si>
  <si>
    <t>0..15</t>
  </si>
  <si>
    <t>青枣树地</t>
  </si>
  <si>
    <t>王敏会</t>
  </si>
  <si>
    <t>王敏生</t>
  </si>
  <si>
    <t>弯田</t>
  </si>
  <si>
    <t>王强</t>
  </si>
  <si>
    <t>观音田</t>
  </si>
  <si>
    <t>大方田</t>
  </si>
  <si>
    <t>臭草山</t>
  </si>
  <si>
    <t>黄茎树地</t>
  </si>
  <si>
    <t>坨坨地</t>
  </si>
  <si>
    <t>桑秧地</t>
  </si>
  <si>
    <t>老庙儿</t>
  </si>
  <si>
    <t>汤子均</t>
  </si>
  <si>
    <t>11组</t>
  </si>
  <si>
    <t>瓜瓜地</t>
  </si>
  <si>
    <t>汤思明</t>
  </si>
  <si>
    <t>陈建华</t>
  </si>
  <si>
    <t>刘志军</t>
  </si>
  <si>
    <t>下楼地</t>
  </si>
  <si>
    <t>陈水全</t>
  </si>
  <si>
    <t>汤子光</t>
  </si>
  <si>
    <t>下斑麻地</t>
  </si>
  <si>
    <t>汤子文</t>
  </si>
  <si>
    <t>古井地</t>
  </si>
  <si>
    <t>汤子英</t>
  </si>
  <si>
    <t>汤俊文</t>
  </si>
  <si>
    <t>汤方成</t>
  </si>
  <si>
    <t>柑子树地</t>
  </si>
  <si>
    <t>陈丛书</t>
  </si>
  <si>
    <t>陈述文</t>
  </si>
  <si>
    <t>汤建文</t>
  </si>
  <si>
    <t>夏凤群</t>
  </si>
  <si>
    <t>楼板地</t>
  </si>
  <si>
    <t>汤木春</t>
  </si>
  <si>
    <t>刘学明</t>
  </si>
  <si>
    <t>汤子良</t>
  </si>
  <si>
    <t>陈文华</t>
  </si>
  <si>
    <t>汤建明</t>
  </si>
  <si>
    <t>四亩三儿</t>
  </si>
  <si>
    <t>高雪蝉</t>
  </si>
  <si>
    <t>徐文兵</t>
  </si>
  <si>
    <t>汤根明</t>
  </si>
  <si>
    <t>汤洪明</t>
  </si>
  <si>
    <t>刘志君</t>
  </si>
  <si>
    <t>郭淑芳</t>
  </si>
  <si>
    <t>汤思华</t>
  </si>
  <si>
    <t>汤佳惠</t>
  </si>
  <si>
    <t>汤子均/汤小均</t>
  </si>
  <si>
    <t>汤小凤</t>
  </si>
  <si>
    <t>汤玉成</t>
  </si>
  <si>
    <t>汤德钦</t>
  </si>
  <si>
    <t>汤子群</t>
  </si>
  <si>
    <t>汤思水</t>
  </si>
  <si>
    <t>汤聪英</t>
  </si>
  <si>
    <t>汤思礼</t>
  </si>
  <si>
    <t>汤家兴</t>
  </si>
  <si>
    <t>汤勇</t>
  </si>
  <si>
    <t>汤德成</t>
  </si>
  <si>
    <t>陈世林</t>
  </si>
  <si>
    <t>礼信田</t>
  </si>
  <si>
    <t>汤德清</t>
  </si>
  <si>
    <t>汤小均</t>
  </si>
  <si>
    <t>花椒田</t>
  </si>
  <si>
    <t>梁家勤</t>
  </si>
  <si>
    <t>长秧田</t>
  </si>
  <si>
    <t>河片田</t>
  </si>
  <si>
    <t>上沙田</t>
  </si>
  <si>
    <t>汤小军</t>
  </si>
  <si>
    <t>下沙田</t>
  </si>
  <si>
    <t>陈良尤</t>
  </si>
  <si>
    <t>梁家兴</t>
  </si>
  <si>
    <t>秧田</t>
  </si>
  <si>
    <t>汤学君</t>
  </si>
  <si>
    <t>五亩大田</t>
  </si>
  <si>
    <t>汤思友</t>
  </si>
  <si>
    <t>陈国全</t>
  </si>
  <si>
    <t>汤思君</t>
  </si>
  <si>
    <t>油房地</t>
  </si>
  <si>
    <t>刘德华</t>
  </si>
  <si>
    <t>陈良优</t>
  </si>
  <si>
    <t>黄泥田</t>
  </si>
  <si>
    <t>刘春先</t>
  </si>
  <si>
    <t>汤红明</t>
  </si>
  <si>
    <t>汤春木</t>
  </si>
  <si>
    <t>过路大地</t>
  </si>
  <si>
    <t>尖田</t>
  </si>
  <si>
    <t>黄铃树田</t>
  </si>
  <si>
    <t>桐子树田</t>
  </si>
  <si>
    <t>油房田</t>
  </si>
  <si>
    <t>上杯田</t>
  </si>
  <si>
    <t>下杯田</t>
  </si>
  <si>
    <t>张召庆</t>
  </si>
  <si>
    <t>陈光华</t>
  </si>
  <si>
    <t>爪爪地</t>
  </si>
  <si>
    <t>陈德君</t>
  </si>
  <si>
    <t>当头地</t>
  </si>
  <si>
    <t>当头地田</t>
  </si>
  <si>
    <t>集体（陈国权）</t>
  </si>
  <si>
    <t>堰胜田</t>
  </si>
  <si>
    <t>堰心田</t>
  </si>
  <si>
    <t>干跃田</t>
  </si>
  <si>
    <t>谢宝田</t>
  </si>
  <si>
    <t>牛角田</t>
  </si>
  <si>
    <t>李姓田</t>
  </si>
  <si>
    <t>汪淑华</t>
  </si>
  <si>
    <t>汤子根</t>
  </si>
  <si>
    <t>孟子树田</t>
  </si>
  <si>
    <t>岩干地</t>
  </si>
  <si>
    <t>李明英</t>
  </si>
  <si>
    <t>汤学军</t>
  </si>
  <si>
    <t>血宝田</t>
  </si>
  <si>
    <t>刘志均</t>
  </si>
  <si>
    <t>团田</t>
  </si>
  <si>
    <t>汤家沟大田</t>
  </si>
  <si>
    <t>猪腰子田</t>
  </si>
  <si>
    <t>大花田（英英屋外）</t>
  </si>
  <si>
    <t>大地田</t>
  </si>
  <si>
    <t>汤学均</t>
  </si>
  <si>
    <t>花椒地</t>
  </si>
  <si>
    <t>汤红兵</t>
  </si>
  <si>
    <t>高雪婵</t>
  </si>
  <si>
    <t>格子田</t>
  </si>
  <si>
    <t>大土地田</t>
  </si>
  <si>
    <t>王会永</t>
  </si>
  <si>
    <t>12组</t>
  </si>
  <si>
    <t>王德明</t>
  </si>
  <si>
    <t>王怡梅</t>
  </si>
  <si>
    <t>区木树田</t>
  </si>
  <si>
    <t>王敏均</t>
  </si>
  <si>
    <t>李雪花</t>
  </si>
  <si>
    <t>向功明</t>
  </si>
  <si>
    <t>枇杷田</t>
  </si>
  <si>
    <t>汤建军（67）</t>
  </si>
  <si>
    <t>幺堰河边</t>
  </si>
  <si>
    <t>王敏江</t>
  </si>
  <si>
    <t>河边田</t>
  </si>
  <si>
    <t>汤火全</t>
  </si>
  <si>
    <t>和尚田</t>
  </si>
  <si>
    <t>花果树田</t>
  </si>
  <si>
    <t>程群林</t>
  </si>
  <si>
    <t>榜榜田</t>
  </si>
  <si>
    <t>下榜榜田</t>
  </si>
  <si>
    <t>王会明</t>
  </si>
  <si>
    <t>黄紧坡地</t>
  </si>
  <si>
    <t>落堂地</t>
  </si>
  <si>
    <t>王长均</t>
  </si>
  <si>
    <t>王长军</t>
  </si>
  <si>
    <t>王敏建</t>
  </si>
  <si>
    <t>王长江</t>
  </si>
  <si>
    <t>下榜田</t>
  </si>
  <si>
    <t>黄口坡</t>
  </si>
  <si>
    <t>李前均</t>
  </si>
  <si>
    <t>曲木树田</t>
  </si>
  <si>
    <t>王翠英</t>
  </si>
  <si>
    <t>汤志文</t>
  </si>
  <si>
    <t>辜志刚</t>
  </si>
  <si>
    <t>磁骨田坝</t>
  </si>
  <si>
    <t>汤火明</t>
  </si>
  <si>
    <t>李春华</t>
  </si>
  <si>
    <t>小堰塘地</t>
  </si>
  <si>
    <t>李成德</t>
  </si>
  <si>
    <t>梨儿树地</t>
  </si>
  <si>
    <t>肖火容</t>
  </si>
  <si>
    <t>堰塘地</t>
  </si>
  <si>
    <t>汤举胜</t>
  </si>
  <si>
    <t>片片地</t>
  </si>
  <si>
    <t>黄柱田</t>
  </si>
  <si>
    <t>李德清</t>
  </si>
  <si>
    <t>仰天文田</t>
  </si>
  <si>
    <t>辜玉英</t>
  </si>
  <si>
    <t>汤龙江</t>
  </si>
  <si>
    <t>李响</t>
  </si>
  <si>
    <t>锁口大田</t>
  </si>
  <si>
    <t>郑翠英</t>
  </si>
  <si>
    <t>李德强</t>
  </si>
  <si>
    <t>顺山干田</t>
  </si>
  <si>
    <t>李彰德</t>
  </si>
  <si>
    <t>汤俊明</t>
  </si>
  <si>
    <t>李子树地</t>
  </si>
  <si>
    <t>李仲书</t>
  </si>
  <si>
    <t>李秀明</t>
  </si>
  <si>
    <t>小湾田</t>
  </si>
  <si>
    <t>辜长根</t>
  </si>
  <si>
    <t>李贵章</t>
  </si>
  <si>
    <t>未量，荒地进不去</t>
  </si>
  <si>
    <t>李前兵</t>
  </si>
  <si>
    <t>李章钦</t>
  </si>
  <si>
    <t>汤举德</t>
  </si>
  <si>
    <t>泥巴地</t>
  </si>
  <si>
    <t>过水秋田</t>
  </si>
  <si>
    <t>沿沟田</t>
  </si>
  <si>
    <t>汤友全</t>
  </si>
  <si>
    <t>李志兵</t>
  </si>
  <si>
    <t>搂影田</t>
  </si>
  <si>
    <t>溜溜田</t>
  </si>
  <si>
    <t>辜玉强</t>
  </si>
  <si>
    <t>汤德根</t>
  </si>
  <si>
    <t>下青岗地</t>
  </si>
  <si>
    <t>汤举国</t>
  </si>
  <si>
    <t>汤建均（合力3队）</t>
  </si>
  <si>
    <t>水机田</t>
  </si>
  <si>
    <t>汤小兵</t>
  </si>
  <si>
    <t>汤举明</t>
  </si>
  <si>
    <t>汤玉飞</t>
  </si>
  <si>
    <t>流流田</t>
  </si>
  <si>
    <t>河口田</t>
  </si>
  <si>
    <t>王会永（合力3社）</t>
  </si>
  <si>
    <t>李前明</t>
  </si>
  <si>
    <t>汤友权</t>
  </si>
  <si>
    <t>土地田</t>
  </si>
  <si>
    <t>唐儿田</t>
  </si>
  <si>
    <t>长安田</t>
  </si>
  <si>
    <t>肖火荣</t>
  </si>
  <si>
    <t>落当田</t>
  </si>
  <si>
    <t>大湾田</t>
  </si>
  <si>
    <t>辜立群</t>
  </si>
  <si>
    <t>汤建均（72年）</t>
  </si>
  <si>
    <t>边边地</t>
  </si>
  <si>
    <t>夏竹田</t>
  </si>
  <si>
    <t>青刚坡</t>
  </si>
  <si>
    <t>林田</t>
  </si>
  <si>
    <t>李前金</t>
  </si>
  <si>
    <t>下新田坝</t>
  </si>
  <si>
    <t>黄竹田</t>
  </si>
  <si>
    <t>黄柳树地</t>
  </si>
  <si>
    <t>李文钦</t>
  </si>
  <si>
    <t>李德钦</t>
  </si>
  <si>
    <t>羊叉地</t>
  </si>
  <si>
    <t>中书地</t>
  </si>
  <si>
    <t>下花地</t>
  </si>
  <si>
    <t>李文清</t>
  </si>
  <si>
    <t>大路边</t>
  </si>
  <si>
    <t>汤建均（72）</t>
  </si>
  <si>
    <t>田坝儿</t>
  </si>
  <si>
    <t>小花生地</t>
  </si>
  <si>
    <t>石为强地</t>
  </si>
  <si>
    <t>大路地</t>
  </si>
  <si>
    <t>小沙地</t>
  </si>
  <si>
    <t>李长德</t>
  </si>
  <si>
    <t>广子石地</t>
  </si>
  <si>
    <t>李志彬</t>
  </si>
  <si>
    <t>大老壳地</t>
  </si>
  <si>
    <t>采耙田</t>
  </si>
  <si>
    <t>右山地</t>
  </si>
  <si>
    <t>要朋地</t>
  </si>
  <si>
    <t>林勇</t>
  </si>
  <si>
    <t>遍遍地</t>
  </si>
  <si>
    <t>王九明（坚决2组）</t>
  </si>
  <si>
    <t>大半边田</t>
  </si>
  <si>
    <t>0.8-0.73到第二批</t>
  </si>
  <si>
    <t>王守权屋外</t>
  </si>
  <si>
    <t>八分地</t>
  </si>
  <si>
    <t>新田坝</t>
  </si>
  <si>
    <t>黄羊种养殖循环项目土地丈量表</t>
  </si>
  <si>
    <t>汤建均（68）</t>
  </si>
  <si>
    <t>汤火明（小）</t>
  </si>
  <si>
    <t>汤火明（大）</t>
  </si>
  <si>
    <t>12.31补</t>
  </si>
  <si>
    <t>边边</t>
  </si>
  <si>
    <t xml:space="preserve">                                                                                                                                                 </t>
  </si>
  <si>
    <t>王永红</t>
  </si>
  <si>
    <t>王建国（1999）</t>
  </si>
  <si>
    <t>佘子霞</t>
  </si>
  <si>
    <t xml:space="preserve"> </t>
  </si>
  <si>
    <t>身份证号码</t>
  </si>
  <si>
    <t>土块类型
（田或土）</t>
  </si>
  <si>
    <t>单价
（元）</t>
  </si>
  <si>
    <t>金额
（元）</t>
  </si>
  <si>
    <t>合计金额
（元）</t>
  </si>
  <si>
    <t>电话</t>
  </si>
  <si>
    <t>郑茂钦</t>
  </si>
  <si>
    <t>刘桂英</t>
  </si>
  <si>
    <t>游建军</t>
  </si>
  <si>
    <t>舒菊花</t>
  </si>
  <si>
    <t>王学明1965年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</si>
</sst>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4">
    <font>
      <sz val="11"/>
      <color theme="1"/>
      <name val="宋体"/>
      <charset val="134"/>
      <scheme val="minor"/>
    </font>
    <font>
      <b/>
      <sz val="22"/>
      <name val="宋体"/>
      <charset val="134"/>
    </font>
    <font>
      <sz val="12"/>
      <name val="宋体"/>
      <charset val="134"/>
    </font>
    <font>
      <sz val="10"/>
      <name val="Arial"/>
      <charset val="0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Administrator\Desktop\&#20013;&#23703;&#26449;&#25143;&#31821;&#20449;&#24687;&#12289;&#21355;&#29983;&#36153;&#12289;&#38376;&#29260;&#21495;&#26126;&#32454;&#34920;&#65288;&#24050;&#26680;&#20943;&#27515;&#20129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新户籍"/>
      <sheetName val="sheet1中岗村户籍"/>
      <sheetName val="2"/>
      <sheetName val="低保"/>
      <sheetName val="残疾"/>
      <sheetName val="户主"/>
      <sheetName val="场镇户籍"/>
      <sheetName val="重阳节"/>
      <sheetName val="5组"/>
      <sheetName val="1组"/>
      <sheetName val="3组"/>
      <sheetName val="11组"/>
      <sheetName val="12组"/>
      <sheetName val="13组"/>
      <sheetName val="6组"/>
      <sheetName val="7组"/>
      <sheetName val="8组"/>
      <sheetName val="9组"/>
      <sheetName val="10组"/>
      <sheetName val="4组"/>
    </sheetNames>
    <sheetDataSet>
      <sheetData sheetId="0"/>
      <sheetData sheetId="1">
        <row r="1">
          <cell r="C1" t="str">
            <v>身份证号</v>
          </cell>
          <cell r="D1" t="str">
            <v>性别</v>
          </cell>
          <cell r="E1" t="str">
            <v>民族</v>
          </cell>
          <cell r="F1" t="str">
            <v>出生日期</v>
          </cell>
          <cell r="G1" t="str">
            <v>年龄</v>
          </cell>
          <cell r="H1" t="str">
            <v>户籍地址</v>
          </cell>
          <cell r="I1" t="str">
            <v>电话号码</v>
          </cell>
        </row>
        <row r="2">
          <cell r="C2" t="str">
            <v>511421201707120336</v>
          </cell>
          <cell r="D2" t="str">
            <v>男</v>
          </cell>
          <cell r="E2" t="str">
            <v>汉族</v>
          </cell>
          <cell r="F2" t="str">
            <v>20170712</v>
          </cell>
          <cell r="G2">
            <v>5</v>
          </cell>
          <cell r="H2" t="str">
            <v>四川省仁寿县贵平镇中岗村1组</v>
          </cell>
          <cell r="I2" t="str">
            <v>迁出</v>
          </cell>
        </row>
        <row r="3">
          <cell r="C3" t="str">
            <v>513822198609156955</v>
          </cell>
          <cell r="D3" t="str">
            <v>男</v>
          </cell>
          <cell r="E3" t="str">
            <v>汉族</v>
          </cell>
          <cell r="F3" t="str">
            <v>19860915</v>
          </cell>
          <cell r="G3">
            <v>36</v>
          </cell>
          <cell r="H3" t="str">
            <v>四川省仁寿县贵平镇中岗村1组</v>
          </cell>
          <cell r="I3" t="str">
            <v>迁出</v>
          </cell>
        </row>
        <row r="4">
          <cell r="C4" t="str">
            <v>511121193403026945</v>
          </cell>
          <cell r="D4" t="str">
            <v>女</v>
          </cell>
          <cell r="E4" t="str">
            <v>汉族</v>
          </cell>
          <cell r="F4" t="str">
            <v>19340302</v>
          </cell>
          <cell r="G4">
            <v>88</v>
          </cell>
          <cell r="H4" t="str">
            <v>四川省仁寿县贵平镇中岗村1组</v>
          </cell>
          <cell r="I4" t="str">
            <v>死亡</v>
          </cell>
        </row>
        <row r="5">
          <cell r="C5" t="str">
            <v>511121193812276945</v>
          </cell>
          <cell r="D5" t="str">
            <v>女</v>
          </cell>
          <cell r="E5" t="str">
            <v>汉族</v>
          </cell>
          <cell r="F5" t="str">
            <v>19381227</v>
          </cell>
          <cell r="G5">
            <v>84</v>
          </cell>
          <cell r="H5" t="str">
            <v>四川省仁寿县贵平镇中岗村1组</v>
          </cell>
          <cell r="I5" t="str">
            <v>死亡</v>
          </cell>
        </row>
        <row r="6">
          <cell r="C6" t="str">
            <v>51382220030522674X</v>
          </cell>
          <cell r="D6" t="str">
            <v>女</v>
          </cell>
          <cell r="E6" t="str">
            <v>汉族</v>
          </cell>
          <cell r="F6" t="str">
            <v>20030522</v>
          </cell>
          <cell r="G6">
            <v>19</v>
          </cell>
          <cell r="H6" t="str">
            <v>四川省仁寿县贵平镇中岗村1组</v>
          </cell>
          <cell r="I6" t="str">
            <v>?</v>
          </cell>
        </row>
        <row r="7">
          <cell r="C7" t="str">
            <v>511121196401086964</v>
          </cell>
          <cell r="D7" t="str">
            <v>女</v>
          </cell>
          <cell r="E7" t="str">
            <v>汉族</v>
          </cell>
          <cell r="F7" t="str">
            <v>19640108</v>
          </cell>
          <cell r="G7">
            <v>58</v>
          </cell>
          <cell r="H7" t="str">
            <v>四川省仁寿县贵平镇中岗村1组</v>
          </cell>
          <cell r="I7" t="str">
            <v>18848439451</v>
          </cell>
        </row>
        <row r="8">
          <cell r="C8" t="str">
            <v>511121194803126931</v>
          </cell>
          <cell r="D8" t="str">
            <v>男</v>
          </cell>
          <cell r="E8" t="str">
            <v>汉族</v>
          </cell>
          <cell r="F8" t="str">
            <v>19480312</v>
          </cell>
          <cell r="G8">
            <v>74</v>
          </cell>
          <cell r="H8" t="str">
            <v>四川省仁寿县贵平镇中岗村2组</v>
          </cell>
        </row>
        <row r="9">
          <cell r="C9" t="str">
            <v>511121195104236941</v>
          </cell>
          <cell r="D9" t="str">
            <v>女</v>
          </cell>
          <cell r="E9" t="str">
            <v>汉族</v>
          </cell>
          <cell r="F9" t="str">
            <v>19510423</v>
          </cell>
          <cell r="G9">
            <v>71</v>
          </cell>
          <cell r="H9" t="str">
            <v>四川省仁寿县贵平镇中岗村2组</v>
          </cell>
        </row>
        <row r="10">
          <cell r="C10" t="str">
            <v>511121197011236933</v>
          </cell>
          <cell r="D10" t="str">
            <v>男</v>
          </cell>
          <cell r="E10" t="str">
            <v>汉族</v>
          </cell>
          <cell r="F10" t="str">
            <v>19701123</v>
          </cell>
          <cell r="G10">
            <v>52</v>
          </cell>
          <cell r="H10" t="str">
            <v>四川省仁寿县贵平镇中岗村2组</v>
          </cell>
          <cell r="I10" t="str">
            <v>13880166167</v>
          </cell>
        </row>
        <row r="11">
          <cell r="C11" t="str">
            <v>513822199303076949</v>
          </cell>
          <cell r="D11" t="str">
            <v>女</v>
          </cell>
          <cell r="E11" t="str">
            <v>汉族</v>
          </cell>
          <cell r="F11" t="str">
            <v>19930307</v>
          </cell>
          <cell r="G11">
            <v>29</v>
          </cell>
          <cell r="H11" t="str">
            <v>四川省仁寿县贵平镇中岗村2组</v>
          </cell>
          <cell r="I11" t="str">
            <v>18398612445</v>
          </cell>
        </row>
        <row r="12">
          <cell r="C12" t="str">
            <v>511121195509156931</v>
          </cell>
          <cell r="D12" t="str">
            <v>男</v>
          </cell>
          <cell r="E12" t="str">
            <v>汉族</v>
          </cell>
          <cell r="F12" t="str">
            <v>19550915</v>
          </cell>
          <cell r="G12">
            <v>67</v>
          </cell>
          <cell r="H12" t="str">
            <v>四川省仁寿县贵平镇中岗村2组</v>
          </cell>
          <cell r="I12" t="str">
            <v>18583862363</v>
          </cell>
        </row>
        <row r="13">
          <cell r="C13" t="str">
            <v>511121195510156947</v>
          </cell>
          <cell r="D13" t="str">
            <v>女</v>
          </cell>
          <cell r="E13" t="str">
            <v>汉族</v>
          </cell>
          <cell r="F13" t="str">
            <v>19551015</v>
          </cell>
          <cell r="G13">
            <v>67</v>
          </cell>
          <cell r="H13" t="str">
            <v>四川省仁寿县贵平镇中岗村2组</v>
          </cell>
        </row>
        <row r="14">
          <cell r="C14" t="str">
            <v>511121198203146937</v>
          </cell>
          <cell r="D14" t="str">
            <v>男</v>
          </cell>
          <cell r="E14" t="str">
            <v>汉族</v>
          </cell>
          <cell r="F14" t="str">
            <v>19820314</v>
          </cell>
          <cell r="G14">
            <v>40</v>
          </cell>
          <cell r="H14" t="str">
            <v>四川省仁寿县贵平镇中岗村2组</v>
          </cell>
        </row>
        <row r="15">
          <cell r="C15" t="str">
            <v>511121197912106933</v>
          </cell>
          <cell r="D15" t="str">
            <v>男</v>
          </cell>
          <cell r="E15" t="str">
            <v>汉族</v>
          </cell>
          <cell r="F15" t="str">
            <v>19791210</v>
          </cell>
          <cell r="G15">
            <v>43</v>
          </cell>
          <cell r="H15" t="str">
            <v>四川省仁寿县贵平镇中岗村2组</v>
          </cell>
          <cell r="I15" t="str">
            <v>13679072466</v>
          </cell>
        </row>
        <row r="16">
          <cell r="C16" t="str">
            <v>513822200303086691</v>
          </cell>
          <cell r="D16" t="str">
            <v>男</v>
          </cell>
          <cell r="E16" t="str">
            <v>汉族</v>
          </cell>
          <cell r="F16" t="str">
            <v>20030308</v>
          </cell>
          <cell r="G16">
            <v>19</v>
          </cell>
          <cell r="H16" t="str">
            <v>四川省仁寿县贵平镇中岗村2组</v>
          </cell>
          <cell r="I16" t="str">
            <v>15228804346</v>
          </cell>
        </row>
        <row r="17">
          <cell r="C17" t="str">
            <v>513822198301046944</v>
          </cell>
          <cell r="D17" t="str">
            <v>女</v>
          </cell>
          <cell r="E17" t="str">
            <v>汉族</v>
          </cell>
          <cell r="F17" t="str">
            <v>19830104</v>
          </cell>
          <cell r="G17">
            <v>39</v>
          </cell>
          <cell r="H17" t="str">
            <v>四川省仁寿县贵平镇中岗村2组</v>
          </cell>
          <cell r="I17" t="str">
            <v>13408084673</v>
          </cell>
        </row>
        <row r="18">
          <cell r="C18" t="str">
            <v>513822198001286946</v>
          </cell>
          <cell r="D18" t="str">
            <v>女</v>
          </cell>
          <cell r="E18" t="str">
            <v>汉族</v>
          </cell>
          <cell r="F18" t="str">
            <v>19800128</v>
          </cell>
          <cell r="G18">
            <v>42</v>
          </cell>
          <cell r="H18" t="str">
            <v>四川省仁寿县贵平镇中岗村2组</v>
          </cell>
          <cell r="I18" t="str">
            <v>18780008628</v>
          </cell>
        </row>
        <row r="19">
          <cell r="C19" t="str">
            <v>511421200307156730</v>
          </cell>
          <cell r="D19" t="str">
            <v>男</v>
          </cell>
          <cell r="E19" t="str">
            <v>汉族</v>
          </cell>
          <cell r="F19" t="str">
            <v>20030715</v>
          </cell>
          <cell r="G19">
            <v>19</v>
          </cell>
          <cell r="H19" t="str">
            <v>四川省仁寿县贵平镇中岗村2组</v>
          </cell>
          <cell r="I19" t="str">
            <v>18808216114</v>
          </cell>
        </row>
        <row r="20">
          <cell r="C20" t="str">
            <v>511421200610176726</v>
          </cell>
          <cell r="D20" t="str">
            <v>女</v>
          </cell>
          <cell r="E20" t="str">
            <v>汉族</v>
          </cell>
          <cell r="F20" t="str">
            <v>20061017</v>
          </cell>
          <cell r="G20">
            <v>16</v>
          </cell>
          <cell r="H20" t="str">
            <v>四川省仁寿县贵平镇中岗村2组</v>
          </cell>
          <cell r="I20" t="str">
            <v>18140466844</v>
          </cell>
        </row>
        <row r="21">
          <cell r="C21" t="str">
            <v>511121196701236936</v>
          </cell>
          <cell r="D21" t="str">
            <v>男</v>
          </cell>
          <cell r="E21" t="str">
            <v>汉族</v>
          </cell>
          <cell r="F21" t="str">
            <v>19670123</v>
          </cell>
          <cell r="G21">
            <v>55</v>
          </cell>
          <cell r="H21" t="str">
            <v>四川省仁寿县贵平镇中岗村2组</v>
          </cell>
          <cell r="I21" t="str">
            <v>17361190121</v>
          </cell>
        </row>
        <row r="22">
          <cell r="C22" t="str">
            <v>51112119711010694X</v>
          </cell>
          <cell r="D22" t="str">
            <v>女</v>
          </cell>
          <cell r="E22" t="str">
            <v>汉族</v>
          </cell>
          <cell r="F22" t="str">
            <v>19711010</v>
          </cell>
          <cell r="G22">
            <v>51</v>
          </cell>
          <cell r="H22" t="str">
            <v>四川省仁寿县贵平镇中岗村2组</v>
          </cell>
          <cell r="I22" t="str">
            <v>15114241444</v>
          </cell>
        </row>
        <row r="23">
          <cell r="C23" t="str">
            <v>513822199404236948</v>
          </cell>
          <cell r="D23" t="str">
            <v>女</v>
          </cell>
          <cell r="E23" t="str">
            <v>汉族</v>
          </cell>
          <cell r="F23" t="str">
            <v>19940423</v>
          </cell>
          <cell r="G23">
            <v>28</v>
          </cell>
          <cell r="H23" t="str">
            <v>四川省仁寿县贵平镇中岗村2组</v>
          </cell>
        </row>
        <row r="24">
          <cell r="C24" t="str">
            <v>51142120191022013X</v>
          </cell>
          <cell r="D24" t="str">
            <v>男</v>
          </cell>
          <cell r="E24" t="str">
            <v>汉族</v>
          </cell>
          <cell r="F24" t="str">
            <v>20191022</v>
          </cell>
          <cell r="G24">
            <v>3</v>
          </cell>
          <cell r="H24" t="str">
            <v>四川省仁寿县贵平镇中岗村2组</v>
          </cell>
        </row>
        <row r="25">
          <cell r="C25" t="str">
            <v>513822199412016945</v>
          </cell>
          <cell r="D25" t="str">
            <v>女</v>
          </cell>
          <cell r="E25" t="str">
            <v>汉族</v>
          </cell>
          <cell r="F25" t="str">
            <v>19941201</v>
          </cell>
          <cell r="G25">
            <v>28</v>
          </cell>
          <cell r="H25" t="str">
            <v>四川省仁寿县贵平镇中岗村2组</v>
          </cell>
          <cell r="I25" t="str">
            <v>19982665670</v>
          </cell>
        </row>
        <row r="26">
          <cell r="C26" t="str">
            <v>511121194912056733</v>
          </cell>
          <cell r="D26" t="str">
            <v>男</v>
          </cell>
          <cell r="E26" t="str">
            <v>汉族</v>
          </cell>
          <cell r="F26" t="str">
            <v>19491205</v>
          </cell>
          <cell r="G26">
            <v>73</v>
          </cell>
          <cell r="H26" t="str">
            <v>四川省仁寿县贵平镇中岗村2组</v>
          </cell>
          <cell r="I26" t="str">
            <v>18161482195</v>
          </cell>
        </row>
        <row r="27">
          <cell r="C27" t="str">
            <v>511121194904266941</v>
          </cell>
          <cell r="D27" t="str">
            <v>女</v>
          </cell>
          <cell r="E27" t="str">
            <v>汉族</v>
          </cell>
          <cell r="F27" t="str">
            <v>19490426</v>
          </cell>
          <cell r="G27">
            <v>73</v>
          </cell>
          <cell r="H27" t="str">
            <v>四川省仁寿县贵平镇中岗村2组</v>
          </cell>
        </row>
        <row r="28">
          <cell r="C28" t="str">
            <v>511121197112106935</v>
          </cell>
          <cell r="D28" t="str">
            <v>男</v>
          </cell>
          <cell r="E28" t="str">
            <v>汉族</v>
          </cell>
          <cell r="F28" t="str">
            <v>19711210</v>
          </cell>
          <cell r="G28">
            <v>51</v>
          </cell>
          <cell r="H28" t="str">
            <v>四川省仁寿县贵平镇中岗村2组</v>
          </cell>
          <cell r="I28" t="str">
            <v>18782056756</v>
          </cell>
        </row>
        <row r="29">
          <cell r="C29" t="str">
            <v>511121197005206949</v>
          </cell>
          <cell r="D29" t="str">
            <v>女</v>
          </cell>
          <cell r="E29" t="str">
            <v>汉族</v>
          </cell>
          <cell r="F29" t="str">
            <v>19700520</v>
          </cell>
          <cell r="G29">
            <v>52</v>
          </cell>
          <cell r="H29" t="str">
            <v>四川省仁寿县贵平镇中岗村2组</v>
          </cell>
          <cell r="I29" t="str">
            <v>18780009128</v>
          </cell>
        </row>
        <row r="30">
          <cell r="C30" t="str">
            <v>513822199212076951</v>
          </cell>
          <cell r="D30" t="str">
            <v>男</v>
          </cell>
          <cell r="E30" t="str">
            <v>汉族</v>
          </cell>
          <cell r="F30" t="str">
            <v>19921207</v>
          </cell>
          <cell r="G30">
            <v>30</v>
          </cell>
          <cell r="H30" t="str">
            <v>四川省仁寿县贵平镇中岗村2组</v>
          </cell>
          <cell r="I30" t="str">
            <v>18228530925</v>
          </cell>
        </row>
        <row r="31">
          <cell r="C31" t="str">
            <v>513822199407276945</v>
          </cell>
          <cell r="D31" t="str">
            <v>女</v>
          </cell>
          <cell r="E31" t="str">
            <v>汉族</v>
          </cell>
          <cell r="F31" t="str">
            <v>19940727</v>
          </cell>
          <cell r="G31">
            <v>28</v>
          </cell>
          <cell r="H31" t="str">
            <v>四川省仁寿县贵平镇中岗村2组</v>
          </cell>
          <cell r="I31" t="str">
            <v>18382332993</v>
          </cell>
        </row>
        <row r="32">
          <cell r="C32" t="str">
            <v>513822199602130183</v>
          </cell>
          <cell r="D32" t="str">
            <v>女</v>
          </cell>
          <cell r="E32" t="str">
            <v>汉族</v>
          </cell>
          <cell r="F32" t="str">
            <v>19960213</v>
          </cell>
          <cell r="G32">
            <v>26</v>
          </cell>
          <cell r="H32" t="str">
            <v>四川省仁寿县贵平镇中岗村2组</v>
          </cell>
          <cell r="I32" t="str">
            <v>15756246740</v>
          </cell>
        </row>
        <row r="33">
          <cell r="C33" t="str">
            <v>511421201811050091</v>
          </cell>
          <cell r="D33" t="str">
            <v>男</v>
          </cell>
          <cell r="E33" t="str">
            <v>汉族</v>
          </cell>
          <cell r="F33" t="str">
            <v>20181105</v>
          </cell>
          <cell r="G33">
            <v>4</v>
          </cell>
          <cell r="H33" t="str">
            <v>四川省仁寿县贵平镇中岗村2组</v>
          </cell>
        </row>
        <row r="34">
          <cell r="C34" t="str">
            <v>511121198011076938</v>
          </cell>
          <cell r="D34" t="str">
            <v>男</v>
          </cell>
          <cell r="E34" t="str">
            <v>汉族</v>
          </cell>
          <cell r="F34" t="str">
            <v>19801107</v>
          </cell>
          <cell r="G34">
            <v>42</v>
          </cell>
          <cell r="H34" t="str">
            <v>四川省仁寿县贵平镇中岗村2组</v>
          </cell>
          <cell r="I34" t="str">
            <v>17740954201</v>
          </cell>
        </row>
        <row r="35">
          <cell r="C35" t="str">
            <v>511121198106206782</v>
          </cell>
          <cell r="D35" t="str">
            <v>女</v>
          </cell>
          <cell r="E35" t="str">
            <v>汉族</v>
          </cell>
          <cell r="F35" t="str">
            <v>19810620</v>
          </cell>
          <cell r="G35">
            <v>41</v>
          </cell>
          <cell r="H35" t="str">
            <v>四川省仁寿县贵平镇中岗村2组</v>
          </cell>
          <cell r="I35" t="str">
            <v>18783319036</v>
          </cell>
        </row>
        <row r="36">
          <cell r="C36" t="str">
            <v>513822200407266734</v>
          </cell>
          <cell r="D36" t="str">
            <v>男</v>
          </cell>
          <cell r="E36" t="str">
            <v>汉族</v>
          </cell>
          <cell r="F36" t="str">
            <v>20040726</v>
          </cell>
          <cell r="G36">
            <v>18</v>
          </cell>
          <cell r="H36" t="str">
            <v>四川省仁寿县贵平镇中岗村2组</v>
          </cell>
          <cell r="I36" t="str">
            <v>17740955375</v>
          </cell>
        </row>
        <row r="37">
          <cell r="C37" t="str">
            <v>511421201411076882</v>
          </cell>
          <cell r="D37" t="str">
            <v>女</v>
          </cell>
          <cell r="E37" t="str">
            <v>汉族</v>
          </cell>
          <cell r="F37" t="str">
            <v>20141107</v>
          </cell>
          <cell r="G37">
            <v>8</v>
          </cell>
          <cell r="H37" t="str">
            <v>四川省仁寿县贵平镇中岗村2组</v>
          </cell>
        </row>
        <row r="38">
          <cell r="C38" t="str">
            <v>511121195311276938</v>
          </cell>
          <cell r="D38" t="str">
            <v>男</v>
          </cell>
          <cell r="E38" t="str">
            <v>汉族</v>
          </cell>
          <cell r="F38" t="str">
            <v>19531127</v>
          </cell>
          <cell r="G38">
            <v>69</v>
          </cell>
          <cell r="H38" t="str">
            <v>四川省仁寿县贵平镇中岗村2组</v>
          </cell>
          <cell r="I38" t="str">
            <v>18284527616</v>
          </cell>
        </row>
        <row r="39">
          <cell r="C39" t="str">
            <v>511121195402056949</v>
          </cell>
          <cell r="D39" t="str">
            <v>女</v>
          </cell>
          <cell r="E39" t="str">
            <v>汉族</v>
          </cell>
          <cell r="F39" t="str">
            <v>19540205</v>
          </cell>
          <cell r="G39">
            <v>68</v>
          </cell>
          <cell r="H39" t="str">
            <v>四川省仁寿县贵平镇中岗村2组</v>
          </cell>
        </row>
        <row r="40">
          <cell r="C40" t="str">
            <v>511121198001026937</v>
          </cell>
          <cell r="D40" t="str">
            <v>男</v>
          </cell>
          <cell r="E40" t="str">
            <v>汉族</v>
          </cell>
          <cell r="F40" t="str">
            <v>19800102</v>
          </cell>
          <cell r="G40">
            <v>42</v>
          </cell>
          <cell r="H40" t="str">
            <v>四川省仁寿县贵平镇中岗村2组</v>
          </cell>
          <cell r="I40" t="str">
            <v>17738559316</v>
          </cell>
        </row>
        <row r="41">
          <cell r="C41" t="str">
            <v>511323198205154029</v>
          </cell>
          <cell r="D41" t="str">
            <v>女</v>
          </cell>
          <cell r="E41" t="str">
            <v>汉族</v>
          </cell>
          <cell r="F41" t="str">
            <v>19820515</v>
          </cell>
          <cell r="G41">
            <v>40</v>
          </cell>
          <cell r="H41" t="str">
            <v>四川省仁寿县贵平镇中岗村2组</v>
          </cell>
          <cell r="I41" t="str">
            <v>18702841929</v>
          </cell>
        </row>
        <row r="42">
          <cell r="C42" t="str">
            <v>513822200202066720</v>
          </cell>
          <cell r="D42" t="str">
            <v>女</v>
          </cell>
          <cell r="E42" t="str">
            <v>汉族</v>
          </cell>
          <cell r="F42" t="str">
            <v>20020206</v>
          </cell>
          <cell r="G42">
            <v>20</v>
          </cell>
          <cell r="H42" t="str">
            <v>四川省仁寿县贵平镇中岗村2组</v>
          </cell>
          <cell r="I42" t="str">
            <v>18381184181</v>
          </cell>
        </row>
        <row r="43">
          <cell r="C43" t="str">
            <v>511421200912086910</v>
          </cell>
          <cell r="D43" t="str">
            <v>男</v>
          </cell>
          <cell r="E43" t="str">
            <v>汉族</v>
          </cell>
          <cell r="F43" t="str">
            <v>20091208</v>
          </cell>
          <cell r="G43">
            <v>13</v>
          </cell>
          <cell r="H43" t="str">
            <v>四川省仁寿县贵平镇中岗村2组</v>
          </cell>
        </row>
        <row r="44">
          <cell r="C44" t="str">
            <v>511121197409256934</v>
          </cell>
          <cell r="D44" t="str">
            <v>男</v>
          </cell>
          <cell r="E44" t="str">
            <v>汉族</v>
          </cell>
          <cell r="F44" t="str">
            <v>19740925</v>
          </cell>
          <cell r="G44">
            <v>48</v>
          </cell>
          <cell r="H44" t="str">
            <v>四川省仁寿县贵平镇中岗村2组</v>
          </cell>
          <cell r="I44" t="str">
            <v>13540761200</v>
          </cell>
        </row>
        <row r="45">
          <cell r="C45" t="str">
            <v>513822200002246735</v>
          </cell>
          <cell r="D45" t="str">
            <v>男</v>
          </cell>
          <cell r="E45" t="str">
            <v>汉族</v>
          </cell>
          <cell r="F45" t="str">
            <v>20000224</v>
          </cell>
          <cell r="G45">
            <v>22</v>
          </cell>
          <cell r="H45" t="str">
            <v>四川省仁寿县贵平镇中岗村2组</v>
          </cell>
          <cell r="I45" t="str">
            <v>18284241398</v>
          </cell>
        </row>
        <row r="46">
          <cell r="C46" t="str">
            <v>511121197610176709</v>
          </cell>
          <cell r="D46" t="str">
            <v>女</v>
          </cell>
          <cell r="E46" t="str">
            <v>汉族</v>
          </cell>
          <cell r="F46" t="str">
            <v>19761017</v>
          </cell>
          <cell r="G46">
            <v>46</v>
          </cell>
          <cell r="H46" t="str">
            <v>四川省仁寿县贵平镇中岗村2组</v>
          </cell>
          <cell r="I46" t="str">
            <v>13882149468</v>
          </cell>
        </row>
        <row r="47">
          <cell r="C47" t="str">
            <v>511121193312026931</v>
          </cell>
          <cell r="D47" t="str">
            <v>男</v>
          </cell>
          <cell r="E47" t="str">
            <v>汉族</v>
          </cell>
          <cell r="F47" t="str">
            <v>19331202</v>
          </cell>
          <cell r="G47">
            <v>89</v>
          </cell>
          <cell r="H47" t="str">
            <v>四川省仁寿县贵平镇中岗村2组</v>
          </cell>
        </row>
        <row r="48">
          <cell r="C48" t="str">
            <v>511121196009246935</v>
          </cell>
          <cell r="D48" t="str">
            <v>男</v>
          </cell>
          <cell r="E48" t="str">
            <v>汉族</v>
          </cell>
          <cell r="F48" t="str">
            <v>19600924</v>
          </cell>
          <cell r="G48">
            <v>62</v>
          </cell>
          <cell r="H48" t="str">
            <v>四川省仁寿县贵平镇中岗村2组</v>
          </cell>
          <cell r="I48" t="str">
            <v>13006419388</v>
          </cell>
        </row>
        <row r="49">
          <cell r="C49" t="str">
            <v>511121196403036944</v>
          </cell>
          <cell r="D49" t="str">
            <v>女</v>
          </cell>
          <cell r="E49" t="str">
            <v>汉族</v>
          </cell>
          <cell r="F49" t="str">
            <v>19640303</v>
          </cell>
          <cell r="G49">
            <v>58</v>
          </cell>
          <cell r="H49" t="str">
            <v>四川省仁寿县贵平镇中岗村2组</v>
          </cell>
          <cell r="I49" t="str">
            <v>18384716956</v>
          </cell>
        </row>
        <row r="50">
          <cell r="C50" t="str">
            <v>51382219830910693X</v>
          </cell>
          <cell r="D50" t="str">
            <v>男</v>
          </cell>
          <cell r="E50" t="str">
            <v>汉族</v>
          </cell>
          <cell r="F50" t="str">
            <v>19830910</v>
          </cell>
          <cell r="G50">
            <v>39</v>
          </cell>
          <cell r="H50" t="str">
            <v>四川省仁寿县贵平镇中岗村2组</v>
          </cell>
          <cell r="I50" t="str">
            <v>13980369885</v>
          </cell>
        </row>
        <row r="51">
          <cell r="C51" t="str">
            <v>513822198706136948</v>
          </cell>
          <cell r="D51" t="str">
            <v>女</v>
          </cell>
          <cell r="E51" t="str">
            <v>汉族</v>
          </cell>
          <cell r="F51" t="str">
            <v>19870613</v>
          </cell>
          <cell r="G51">
            <v>35</v>
          </cell>
          <cell r="H51" t="str">
            <v>四川省仁寿县贵平镇中岗村2组</v>
          </cell>
        </row>
        <row r="52">
          <cell r="C52" t="str">
            <v>511421201410246851</v>
          </cell>
          <cell r="D52" t="str">
            <v>男</v>
          </cell>
          <cell r="E52" t="str">
            <v>汉族</v>
          </cell>
          <cell r="F52" t="str">
            <v>20141024</v>
          </cell>
          <cell r="G52">
            <v>8</v>
          </cell>
          <cell r="H52" t="str">
            <v>四川省仁寿县贵平镇中岗村2组</v>
          </cell>
        </row>
        <row r="53">
          <cell r="C53" t="str">
            <v>511121196403066932</v>
          </cell>
          <cell r="D53" t="str">
            <v>男</v>
          </cell>
          <cell r="E53" t="str">
            <v>汉族</v>
          </cell>
          <cell r="F53" t="str">
            <v>19640306</v>
          </cell>
          <cell r="G53">
            <v>58</v>
          </cell>
          <cell r="H53" t="str">
            <v>四川省仁寿县贵平镇中岗村2组</v>
          </cell>
          <cell r="I53" t="str">
            <v>15208193028</v>
          </cell>
        </row>
        <row r="54">
          <cell r="C54" t="str">
            <v>51112119670511694X</v>
          </cell>
          <cell r="D54" t="str">
            <v>女</v>
          </cell>
          <cell r="E54" t="str">
            <v>汉族</v>
          </cell>
          <cell r="F54" t="str">
            <v>19670511</v>
          </cell>
          <cell r="G54">
            <v>55</v>
          </cell>
          <cell r="H54" t="str">
            <v>四川省仁寿县贵平镇中岗村2组</v>
          </cell>
          <cell r="I54" t="str">
            <v>13990340603</v>
          </cell>
        </row>
        <row r="55">
          <cell r="C55" t="str">
            <v>511121197002286939</v>
          </cell>
          <cell r="D55" t="str">
            <v>男</v>
          </cell>
          <cell r="E55" t="str">
            <v>汉族</v>
          </cell>
          <cell r="F55" t="str">
            <v>19700228</v>
          </cell>
          <cell r="G55">
            <v>52</v>
          </cell>
          <cell r="H55" t="str">
            <v>四川省仁寿县贵平镇中岗村2组</v>
          </cell>
          <cell r="I55" t="str">
            <v>13990385272</v>
          </cell>
        </row>
        <row r="56">
          <cell r="C56" t="str">
            <v>511121192612046948</v>
          </cell>
          <cell r="D56" t="str">
            <v>女</v>
          </cell>
          <cell r="E56" t="str">
            <v>汉族</v>
          </cell>
          <cell r="F56" t="str">
            <v>19261204</v>
          </cell>
          <cell r="G56">
            <v>96</v>
          </cell>
          <cell r="H56" t="str">
            <v>四川省仁寿县贵平镇中岗村2组</v>
          </cell>
        </row>
        <row r="57">
          <cell r="C57" t="str">
            <v>511121197209226941</v>
          </cell>
          <cell r="D57" t="str">
            <v>女</v>
          </cell>
          <cell r="E57" t="str">
            <v>汉族</v>
          </cell>
          <cell r="F57" t="str">
            <v>19720922</v>
          </cell>
          <cell r="G57">
            <v>50</v>
          </cell>
          <cell r="H57" t="str">
            <v>四川省仁寿县贵平镇中岗村2组</v>
          </cell>
          <cell r="I57" t="str">
            <v>18728350506</v>
          </cell>
        </row>
        <row r="58">
          <cell r="C58" t="str">
            <v>510525199209221687</v>
          </cell>
          <cell r="D58" t="str">
            <v>女</v>
          </cell>
          <cell r="E58" t="str">
            <v>汉族</v>
          </cell>
          <cell r="F58" t="str">
            <v>19920922</v>
          </cell>
          <cell r="G58">
            <v>30</v>
          </cell>
          <cell r="H58" t="str">
            <v>四川省仁寿县贵平镇中岗村2组</v>
          </cell>
          <cell r="I58" t="str">
            <v>18113202401</v>
          </cell>
        </row>
        <row r="59">
          <cell r="C59" t="str">
            <v>513822199206026931</v>
          </cell>
          <cell r="D59" t="str">
            <v>男</v>
          </cell>
          <cell r="E59" t="str">
            <v>汉族</v>
          </cell>
          <cell r="F59" t="str">
            <v>19920602</v>
          </cell>
          <cell r="G59">
            <v>30</v>
          </cell>
          <cell r="H59" t="str">
            <v>四川省仁寿县贵平镇中岗村2组</v>
          </cell>
          <cell r="I59" t="str">
            <v>13648130090</v>
          </cell>
        </row>
        <row r="60">
          <cell r="C60" t="str">
            <v>511121197412056933</v>
          </cell>
          <cell r="D60" t="str">
            <v>男</v>
          </cell>
          <cell r="E60" t="str">
            <v>汉族</v>
          </cell>
          <cell r="F60" t="str">
            <v>19741205</v>
          </cell>
          <cell r="G60">
            <v>48</v>
          </cell>
          <cell r="H60" t="str">
            <v>四川省仁寿县贵平镇中岗村2组</v>
          </cell>
          <cell r="I60" t="str">
            <v>15074476888</v>
          </cell>
        </row>
        <row r="61">
          <cell r="C61" t="str">
            <v>511121197707266938</v>
          </cell>
          <cell r="D61" t="str">
            <v>男</v>
          </cell>
          <cell r="E61" t="str">
            <v>汉族</v>
          </cell>
          <cell r="F61" t="str">
            <v>19770726</v>
          </cell>
          <cell r="G61">
            <v>45</v>
          </cell>
          <cell r="H61" t="str">
            <v>四川省仁寿县贵平镇中岗村2组</v>
          </cell>
          <cell r="I61" t="str">
            <v>18208145188</v>
          </cell>
        </row>
        <row r="62">
          <cell r="C62" t="str">
            <v>511121194212186932</v>
          </cell>
          <cell r="D62" t="str">
            <v>男</v>
          </cell>
          <cell r="E62" t="str">
            <v>汉族</v>
          </cell>
          <cell r="F62" t="str">
            <v>19421218</v>
          </cell>
          <cell r="G62">
            <v>80</v>
          </cell>
          <cell r="H62" t="str">
            <v>四川省仁寿县贵平镇中岗村2组</v>
          </cell>
          <cell r="I62" t="str">
            <v>13398140845</v>
          </cell>
        </row>
        <row r="63">
          <cell r="C63" t="str">
            <v>511121195211156947</v>
          </cell>
          <cell r="D63" t="str">
            <v>女</v>
          </cell>
          <cell r="E63" t="str">
            <v>汉族</v>
          </cell>
          <cell r="F63" t="str">
            <v>19521115</v>
          </cell>
          <cell r="G63">
            <v>70</v>
          </cell>
          <cell r="H63" t="str">
            <v>四川省仁寿县贵平镇中岗村2组</v>
          </cell>
        </row>
        <row r="64">
          <cell r="C64" t="str">
            <v>511121194810236936</v>
          </cell>
          <cell r="D64" t="str">
            <v>男</v>
          </cell>
          <cell r="E64" t="str">
            <v>汉族</v>
          </cell>
          <cell r="F64" t="str">
            <v>19481023</v>
          </cell>
          <cell r="G64">
            <v>74</v>
          </cell>
          <cell r="H64" t="str">
            <v>四川省仁寿县贵平镇中岗村2组</v>
          </cell>
          <cell r="I64" t="str">
            <v>13154952781</v>
          </cell>
        </row>
        <row r="65">
          <cell r="C65" t="str">
            <v>511121194911136942</v>
          </cell>
          <cell r="D65" t="str">
            <v>女</v>
          </cell>
          <cell r="E65" t="str">
            <v>汉族</v>
          </cell>
          <cell r="F65" t="str">
            <v>19491113</v>
          </cell>
          <cell r="G65">
            <v>73</v>
          </cell>
          <cell r="H65" t="str">
            <v>四川省仁寿县贵平镇中岗村2组</v>
          </cell>
        </row>
        <row r="66">
          <cell r="C66" t="str">
            <v>511121197711216933</v>
          </cell>
          <cell r="D66" t="str">
            <v>男</v>
          </cell>
          <cell r="E66" t="str">
            <v>汉族</v>
          </cell>
          <cell r="F66" t="str">
            <v>19771121</v>
          </cell>
          <cell r="G66">
            <v>45</v>
          </cell>
          <cell r="H66" t="str">
            <v>四川省仁寿县贵平镇中岗村2组</v>
          </cell>
          <cell r="I66" t="str">
            <v>13088008086</v>
          </cell>
        </row>
        <row r="67">
          <cell r="C67" t="str">
            <v>511421200102226723</v>
          </cell>
          <cell r="D67" t="str">
            <v>女</v>
          </cell>
          <cell r="E67" t="str">
            <v>汉族</v>
          </cell>
          <cell r="F67" t="str">
            <v>20010222</v>
          </cell>
          <cell r="G67">
            <v>21</v>
          </cell>
          <cell r="H67" t="str">
            <v>四川省仁寿县贵平镇中岗村2组</v>
          </cell>
        </row>
        <row r="68">
          <cell r="C68" t="str">
            <v>511121197411166946</v>
          </cell>
          <cell r="D68" t="str">
            <v>女</v>
          </cell>
          <cell r="E68" t="str">
            <v>汉族</v>
          </cell>
          <cell r="F68" t="str">
            <v>19741116</v>
          </cell>
          <cell r="G68">
            <v>48</v>
          </cell>
          <cell r="H68" t="str">
            <v>四川省仁寿县贵平镇中岗村2组</v>
          </cell>
          <cell r="I68" t="str">
            <v>15928509363</v>
          </cell>
        </row>
        <row r="69">
          <cell r="C69" t="str">
            <v>511121198001096943</v>
          </cell>
          <cell r="D69" t="str">
            <v>女</v>
          </cell>
          <cell r="E69" t="str">
            <v>汉族</v>
          </cell>
          <cell r="F69" t="str">
            <v>19800109</v>
          </cell>
          <cell r="G69">
            <v>42</v>
          </cell>
          <cell r="H69" t="str">
            <v>四川省仁寿县贵平镇中岗村2组</v>
          </cell>
          <cell r="I69" t="str">
            <v>?</v>
          </cell>
        </row>
        <row r="70">
          <cell r="C70" t="str">
            <v>511421200510086766</v>
          </cell>
          <cell r="D70" t="str">
            <v>女</v>
          </cell>
          <cell r="E70" t="str">
            <v>汉族</v>
          </cell>
          <cell r="F70" t="str">
            <v>20051008</v>
          </cell>
          <cell r="G70">
            <v>17</v>
          </cell>
          <cell r="H70" t="str">
            <v>四川省仁寿县贵平镇中岗村2组</v>
          </cell>
        </row>
        <row r="71">
          <cell r="C71" t="str">
            <v>511121197203046958</v>
          </cell>
          <cell r="D71" t="str">
            <v>男</v>
          </cell>
          <cell r="E71" t="str">
            <v>汉族</v>
          </cell>
          <cell r="F71" t="str">
            <v>19720304</v>
          </cell>
          <cell r="G71">
            <v>50</v>
          </cell>
          <cell r="H71" t="str">
            <v>四川省仁寿县贵平镇中岗村2组</v>
          </cell>
          <cell r="I71" t="str">
            <v>15928457768</v>
          </cell>
        </row>
        <row r="72">
          <cell r="C72" t="str">
            <v>511121197510036741</v>
          </cell>
          <cell r="D72" t="str">
            <v>女</v>
          </cell>
          <cell r="E72" t="str">
            <v>汉族</v>
          </cell>
          <cell r="F72" t="str">
            <v>19751003</v>
          </cell>
          <cell r="G72">
            <v>47</v>
          </cell>
          <cell r="H72" t="str">
            <v>四川省仁寿县贵平镇中岗村2组</v>
          </cell>
          <cell r="I72" t="str">
            <v>15828048251</v>
          </cell>
        </row>
        <row r="73">
          <cell r="C73" t="str">
            <v>513822199608266954</v>
          </cell>
          <cell r="D73" t="str">
            <v>男</v>
          </cell>
          <cell r="E73" t="str">
            <v>汉族</v>
          </cell>
          <cell r="F73" t="str">
            <v>19960826</v>
          </cell>
          <cell r="G73">
            <v>26</v>
          </cell>
          <cell r="H73" t="str">
            <v>四川省仁寿县贵平镇中岗村2组</v>
          </cell>
          <cell r="I73" t="str">
            <v>13683472445</v>
          </cell>
        </row>
        <row r="74">
          <cell r="C74" t="str">
            <v>511121196002086932</v>
          </cell>
          <cell r="D74" t="str">
            <v>男</v>
          </cell>
          <cell r="E74" t="str">
            <v>汉族</v>
          </cell>
          <cell r="F74" t="str">
            <v>19600208</v>
          </cell>
          <cell r="G74">
            <v>62</v>
          </cell>
          <cell r="H74" t="str">
            <v>四川省仁寿县贵平镇中岗村2组</v>
          </cell>
          <cell r="I74" t="str">
            <v>13408522367</v>
          </cell>
        </row>
        <row r="75">
          <cell r="C75" t="str">
            <v>511121196707106948</v>
          </cell>
          <cell r="D75" t="str">
            <v>女</v>
          </cell>
          <cell r="E75" t="str">
            <v>汉族</v>
          </cell>
          <cell r="F75" t="str">
            <v>19670710</v>
          </cell>
          <cell r="G75">
            <v>55</v>
          </cell>
          <cell r="H75" t="str">
            <v>四川省仁寿县贵平镇中岗村2组</v>
          </cell>
          <cell r="I75" t="str">
            <v>13678028203</v>
          </cell>
        </row>
        <row r="76">
          <cell r="C76" t="str">
            <v>51112119700411695X</v>
          </cell>
          <cell r="D76" t="str">
            <v>男</v>
          </cell>
          <cell r="E76" t="str">
            <v>汉族</v>
          </cell>
          <cell r="F76" t="str">
            <v>19700411</v>
          </cell>
          <cell r="G76">
            <v>52</v>
          </cell>
          <cell r="H76" t="str">
            <v>四川省仁寿县贵平镇中岗村2组</v>
          </cell>
          <cell r="I76" t="str">
            <v>13881991732</v>
          </cell>
        </row>
        <row r="77">
          <cell r="C77" t="str">
            <v>510902197310311183</v>
          </cell>
          <cell r="D77" t="str">
            <v>女</v>
          </cell>
          <cell r="E77" t="str">
            <v>汉族</v>
          </cell>
          <cell r="F77" t="str">
            <v>19731031</v>
          </cell>
          <cell r="G77">
            <v>49</v>
          </cell>
          <cell r="H77" t="str">
            <v>四川省仁寿县贵平镇中岗村2组</v>
          </cell>
          <cell r="I77" t="str">
            <v>18328301069</v>
          </cell>
        </row>
        <row r="78">
          <cell r="C78" t="str">
            <v>513822199411236743</v>
          </cell>
          <cell r="D78" t="str">
            <v>女</v>
          </cell>
          <cell r="E78" t="str">
            <v>汉族</v>
          </cell>
          <cell r="F78" t="str">
            <v>19941123</v>
          </cell>
          <cell r="G78">
            <v>28</v>
          </cell>
          <cell r="H78" t="str">
            <v>四川省仁寿县贵平镇中岗村2组</v>
          </cell>
          <cell r="I78" t="str">
            <v>13882229640</v>
          </cell>
        </row>
        <row r="79">
          <cell r="C79" t="str">
            <v>511421202004300319</v>
          </cell>
          <cell r="D79" t="str">
            <v>男</v>
          </cell>
          <cell r="E79" t="str">
            <v>汉族</v>
          </cell>
          <cell r="F79" t="str">
            <v>20200430</v>
          </cell>
          <cell r="G79">
            <v>2</v>
          </cell>
          <cell r="H79" t="str">
            <v>四川省仁寿县贵平镇中岗村2组</v>
          </cell>
        </row>
        <row r="80">
          <cell r="C80" t="str">
            <v>511121196611276934</v>
          </cell>
          <cell r="D80" t="str">
            <v>男</v>
          </cell>
          <cell r="E80" t="str">
            <v>汉族</v>
          </cell>
          <cell r="F80" t="str">
            <v>19661127</v>
          </cell>
          <cell r="G80">
            <v>56</v>
          </cell>
          <cell r="H80" t="str">
            <v>四川省仁寿县贵平镇中岗村2组</v>
          </cell>
          <cell r="I80" t="str">
            <v>18228144192</v>
          </cell>
        </row>
        <row r="81">
          <cell r="C81" t="str">
            <v>51142120120422685X</v>
          </cell>
          <cell r="D81" t="str">
            <v>男</v>
          </cell>
          <cell r="E81" t="str">
            <v>汉族</v>
          </cell>
          <cell r="F81" t="str">
            <v>20120422</v>
          </cell>
          <cell r="G81">
            <v>10</v>
          </cell>
          <cell r="H81" t="str">
            <v>四川省仁寿县贵平镇中岗村2组</v>
          </cell>
        </row>
        <row r="82">
          <cell r="C82" t="str">
            <v>513822198804156934</v>
          </cell>
          <cell r="D82" t="str">
            <v>男</v>
          </cell>
          <cell r="E82" t="str">
            <v>汉族</v>
          </cell>
          <cell r="F82" t="str">
            <v>19880415</v>
          </cell>
          <cell r="G82">
            <v>34</v>
          </cell>
          <cell r="H82" t="str">
            <v>四川省仁寿县贵平镇中岗村2组</v>
          </cell>
          <cell r="I82" t="str">
            <v>16608307145</v>
          </cell>
        </row>
        <row r="83">
          <cell r="C83" t="str">
            <v>511121196712246945</v>
          </cell>
          <cell r="D83" t="str">
            <v>女</v>
          </cell>
          <cell r="E83" t="str">
            <v>汉族</v>
          </cell>
          <cell r="F83" t="str">
            <v>19671224</v>
          </cell>
          <cell r="G83">
            <v>55</v>
          </cell>
          <cell r="H83" t="str">
            <v>四川省仁寿县贵平镇中岗村2组</v>
          </cell>
          <cell r="I83" t="str">
            <v>18282479263</v>
          </cell>
        </row>
        <row r="84">
          <cell r="C84" t="str">
            <v>513822199511076943</v>
          </cell>
          <cell r="D84" t="str">
            <v>女</v>
          </cell>
          <cell r="E84" t="str">
            <v>汉族</v>
          </cell>
          <cell r="F84" t="str">
            <v>19951107</v>
          </cell>
          <cell r="G84">
            <v>27</v>
          </cell>
          <cell r="H84" t="str">
            <v>四川省仁寿县贵平镇中岗村2组</v>
          </cell>
        </row>
        <row r="85">
          <cell r="C85" t="str">
            <v>513822199307296949</v>
          </cell>
          <cell r="D85" t="str">
            <v>女</v>
          </cell>
          <cell r="E85" t="str">
            <v>汉族</v>
          </cell>
          <cell r="F85" t="str">
            <v>19930729</v>
          </cell>
          <cell r="G85">
            <v>29</v>
          </cell>
          <cell r="H85" t="str">
            <v>四川省仁寿县贵平镇中岗村2组</v>
          </cell>
          <cell r="I85" t="str">
            <v>18698537029</v>
          </cell>
        </row>
        <row r="86">
          <cell r="C86" t="str">
            <v>513822199801136932</v>
          </cell>
          <cell r="D86" t="str">
            <v>男</v>
          </cell>
          <cell r="E86" t="str">
            <v>汉族</v>
          </cell>
          <cell r="F86" t="str">
            <v>19980113</v>
          </cell>
          <cell r="G86">
            <v>24</v>
          </cell>
          <cell r="H86" t="str">
            <v>四川省仁寿县贵平镇中岗村2组</v>
          </cell>
          <cell r="I86" t="str">
            <v>17612803607</v>
          </cell>
        </row>
        <row r="87">
          <cell r="C87" t="str">
            <v>511121195112246939</v>
          </cell>
          <cell r="D87" t="str">
            <v>男</v>
          </cell>
          <cell r="E87" t="str">
            <v>汉族</v>
          </cell>
          <cell r="F87" t="str">
            <v>19511224</v>
          </cell>
          <cell r="G87">
            <v>71</v>
          </cell>
          <cell r="H87" t="str">
            <v>四川省仁寿县贵平镇中岗村2组</v>
          </cell>
        </row>
        <row r="88">
          <cell r="C88" t="str">
            <v>511121195410026934</v>
          </cell>
          <cell r="D88" t="str">
            <v>男</v>
          </cell>
          <cell r="E88" t="str">
            <v>汉族</v>
          </cell>
          <cell r="F88" t="str">
            <v>19541002</v>
          </cell>
          <cell r="G88">
            <v>68</v>
          </cell>
          <cell r="H88" t="str">
            <v>四川省仁寿县贵平镇中岗村2组</v>
          </cell>
          <cell r="I88" t="str">
            <v>15282367128</v>
          </cell>
        </row>
        <row r="89">
          <cell r="C89" t="str">
            <v>511121195407156949</v>
          </cell>
          <cell r="D89" t="str">
            <v>女</v>
          </cell>
          <cell r="E89" t="str">
            <v>汉族</v>
          </cell>
          <cell r="F89" t="str">
            <v>19540715</v>
          </cell>
          <cell r="G89">
            <v>68</v>
          </cell>
          <cell r="H89" t="str">
            <v>四川省仁寿县贵平镇中岗村2组</v>
          </cell>
        </row>
        <row r="90">
          <cell r="C90" t="str">
            <v>511121197906186973</v>
          </cell>
          <cell r="D90" t="str">
            <v>男</v>
          </cell>
          <cell r="E90" t="str">
            <v>汉族</v>
          </cell>
          <cell r="F90" t="str">
            <v>19790618</v>
          </cell>
          <cell r="G90">
            <v>43</v>
          </cell>
          <cell r="H90" t="str">
            <v>四川省仁寿县贵平镇中岗村2组</v>
          </cell>
          <cell r="I90" t="str">
            <v>18381165292</v>
          </cell>
        </row>
        <row r="91">
          <cell r="C91" t="str">
            <v>511222197804289527</v>
          </cell>
          <cell r="D91" t="str">
            <v>女</v>
          </cell>
          <cell r="E91" t="str">
            <v>汉族</v>
          </cell>
          <cell r="F91" t="str">
            <v>19780428</v>
          </cell>
          <cell r="G91">
            <v>44</v>
          </cell>
          <cell r="H91" t="str">
            <v>四川省仁寿县贵平镇中岗村2组</v>
          </cell>
          <cell r="I91" t="str">
            <v>18284528177</v>
          </cell>
        </row>
        <row r="92">
          <cell r="C92" t="str">
            <v>511121198107086938</v>
          </cell>
          <cell r="D92" t="str">
            <v>男</v>
          </cell>
          <cell r="E92" t="str">
            <v>汉族</v>
          </cell>
          <cell r="F92" t="str">
            <v>19810708</v>
          </cell>
          <cell r="G92">
            <v>41</v>
          </cell>
          <cell r="H92" t="str">
            <v>四川省仁寿县贵平镇中岗村2组</v>
          </cell>
          <cell r="I92" t="str">
            <v>?</v>
          </cell>
        </row>
        <row r="93">
          <cell r="C93" t="str">
            <v>513822200304186790</v>
          </cell>
          <cell r="D93" t="str">
            <v>男</v>
          </cell>
          <cell r="E93" t="str">
            <v>汉族</v>
          </cell>
          <cell r="F93" t="str">
            <v>20030418</v>
          </cell>
          <cell r="G93">
            <v>19</v>
          </cell>
          <cell r="H93" t="str">
            <v>四川省仁寿县贵平镇中岗村2组</v>
          </cell>
          <cell r="I93" t="str">
            <v>17713785043</v>
          </cell>
        </row>
        <row r="94">
          <cell r="C94" t="str">
            <v>511421200408246698</v>
          </cell>
          <cell r="D94" t="str">
            <v>男</v>
          </cell>
          <cell r="E94" t="str">
            <v>汉族</v>
          </cell>
          <cell r="F94" t="str">
            <v>20040824</v>
          </cell>
          <cell r="G94">
            <v>18</v>
          </cell>
          <cell r="H94" t="str">
            <v>四川省仁寿县贵平镇中岗村2组</v>
          </cell>
          <cell r="I94" t="str">
            <v>13108432573</v>
          </cell>
        </row>
        <row r="95">
          <cell r="C95" t="str">
            <v>511421201001176741</v>
          </cell>
          <cell r="D95" t="str">
            <v>女</v>
          </cell>
          <cell r="E95" t="str">
            <v>汉族</v>
          </cell>
          <cell r="F95" t="str">
            <v>20100117</v>
          </cell>
          <cell r="G95">
            <v>12</v>
          </cell>
          <cell r="H95" t="str">
            <v>四川省仁寿县贵平镇中岗村2组</v>
          </cell>
          <cell r="I95" t="str">
            <v>?</v>
          </cell>
        </row>
        <row r="96">
          <cell r="C96" t="str">
            <v>511121197610256936</v>
          </cell>
          <cell r="D96" t="str">
            <v>男</v>
          </cell>
          <cell r="E96" t="str">
            <v>汉族</v>
          </cell>
          <cell r="F96" t="str">
            <v>19761025</v>
          </cell>
          <cell r="G96">
            <v>46</v>
          </cell>
          <cell r="H96" t="str">
            <v>四川省仁寿县贵平镇中岗村2组</v>
          </cell>
          <cell r="I96" t="str">
            <v>15984302253</v>
          </cell>
        </row>
        <row r="97">
          <cell r="C97" t="str">
            <v>51112119531124694X</v>
          </cell>
          <cell r="D97" t="str">
            <v>女</v>
          </cell>
          <cell r="E97" t="str">
            <v>汉族</v>
          </cell>
          <cell r="F97" t="str">
            <v>19531124</v>
          </cell>
          <cell r="G97">
            <v>69</v>
          </cell>
          <cell r="H97" t="str">
            <v>四川省仁寿县贵平镇中岗村2组</v>
          </cell>
          <cell r="I97" t="str">
            <v>15182249810</v>
          </cell>
        </row>
        <row r="98">
          <cell r="C98" t="str">
            <v>511121197611169025</v>
          </cell>
          <cell r="D98" t="str">
            <v>女</v>
          </cell>
          <cell r="E98" t="str">
            <v>汉族</v>
          </cell>
          <cell r="F98" t="str">
            <v>19761116</v>
          </cell>
          <cell r="G98">
            <v>46</v>
          </cell>
          <cell r="H98" t="str">
            <v>四川省仁寿县贵平镇中岗村2组</v>
          </cell>
        </row>
        <row r="99">
          <cell r="C99" t="str">
            <v>511421199801086760</v>
          </cell>
          <cell r="D99" t="str">
            <v>女</v>
          </cell>
          <cell r="E99" t="str">
            <v>汉族</v>
          </cell>
          <cell r="F99" t="str">
            <v>19980108</v>
          </cell>
          <cell r="G99">
            <v>24</v>
          </cell>
          <cell r="H99" t="str">
            <v>四川省仁寿县贵平镇中岗村2组</v>
          </cell>
          <cell r="I99" t="str">
            <v>18483603412</v>
          </cell>
        </row>
        <row r="100">
          <cell r="C100" t="str">
            <v>511421201204016860</v>
          </cell>
          <cell r="D100" t="str">
            <v>女</v>
          </cell>
          <cell r="E100" t="str">
            <v>汉族</v>
          </cell>
          <cell r="F100" t="str">
            <v>20120401</v>
          </cell>
          <cell r="G100">
            <v>10</v>
          </cell>
          <cell r="H100" t="str">
            <v>四川省仁寿县贵平镇中岗村2组</v>
          </cell>
        </row>
        <row r="101">
          <cell r="C101" t="str">
            <v>511121197303236935</v>
          </cell>
          <cell r="D101" t="str">
            <v>男</v>
          </cell>
          <cell r="E101" t="str">
            <v>汉族</v>
          </cell>
          <cell r="F101" t="str">
            <v>19730323</v>
          </cell>
          <cell r="G101">
            <v>49</v>
          </cell>
          <cell r="H101" t="str">
            <v>四川省仁寿县贵平镇中岗村2组</v>
          </cell>
          <cell r="I101" t="str">
            <v>13548096083</v>
          </cell>
        </row>
        <row r="102">
          <cell r="C102" t="str">
            <v>513822200110036719</v>
          </cell>
          <cell r="D102" t="str">
            <v>男</v>
          </cell>
          <cell r="E102" t="str">
            <v>汉族</v>
          </cell>
          <cell r="F102" t="str">
            <v>20011003</v>
          </cell>
          <cell r="G102">
            <v>21</v>
          </cell>
          <cell r="H102" t="str">
            <v>四川省仁寿县贵平镇中岗村2组</v>
          </cell>
          <cell r="I102" t="str">
            <v>18506728103</v>
          </cell>
        </row>
        <row r="103">
          <cell r="C103" t="str">
            <v>511421201303306855</v>
          </cell>
          <cell r="D103" t="str">
            <v>男</v>
          </cell>
          <cell r="E103" t="str">
            <v>汉族</v>
          </cell>
          <cell r="F103" t="str">
            <v>20130330</v>
          </cell>
          <cell r="G103">
            <v>9</v>
          </cell>
          <cell r="H103" t="str">
            <v>四川省仁寿县贵平镇中岗村2组</v>
          </cell>
        </row>
        <row r="104">
          <cell r="C104" t="str">
            <v>511121196909276937</v>
          </cell>
          <cell r="D104" t="str">
            <v>男</v>
          </cell>
          <cell r="E104" t="str">
            <v>汉族</v>
          </cell>
          <cell r="F104" t="str">
            <v>19690927</v>
          </cell>
          <cell r="G104">
            <v>53</v>
          </cell>
          <cell r="H104" t="str">
            <v>四川省仁寿县贵平镇中岗村2组</v>
          </cell>
          <cell r="I104" t="str">
            <v>13548222726</v>
          </cell>
        </row>
        <row r="105">
          <cell r="C105" t="str">
            <v>51112119710106694X</v>
          </cell>
          <cell r="D105" t="str">
            <v>女</v>
          </cell>
          <cell r="E105" t="str">
            <v>汉族</v>
          </cell>
          <cell r="F105" t="str">
            <v>19710106</v>
          </cell>
          <cell r="G105">
            <v>51</v>
          </cell>
          <cell r="H105" t="str">
            <v>四川省仁寿县贵平镇中岗村2组</v>
          </cell>
          <cell r="I105" t="str">
            <v>15990319296</v>
          </cell>
        </row>
        <row r="106">
          <cell r="C106" t="str">
            <v>513822199206186935</v>
          </cell>
          <cell r="D106" t="str">
            <v>男</v>
          </cell>
          <cell r="E106" t="str">
            <v>汉族</v>
          </cell>
          <cell r="F106" t="str">
            <v>19920618</v>
          </cell>
          <cell r="G106">
            <v>30</v>
          </cell>
          <cell r="H106" t="str">
            <v>四川省仁寿县贵平镇中岗村2组</v>
          </cell>
          <cell r="I106" t="str">
            <v>15182246613</v>
          </cell>
        </row>
        <row r="107">
          <cell r="C107" t="str">
            <v>511421201201166863</v>
          </cell>
          <cell r="D107" t="str">
            <v>女</v>
          </cell>
          <cell r="E107" t="str">
            <v>汉族</v>
          </cell>
          <cell r="F107" t="str">
            <v>20120116</v>
          </cell>
          <cell r="G107">
            <v>10</v>
          </cell>
          <cell r="H107" t="str">
            <v>四川省仁寿县贵平镇中岗村2组</v>
          </cell>
        </row>
        <row r="108">
          <cell r="C108" t="str">
            <v>511121196809126958</v>
          </cell>
          <cell r="D108" t="str">
            <v>男</v>
          </cell>
          <cell r="E108" t="str">
            <v>汉族</v>
          </cell>
          <cell r="F108" t="str">
            <v>19680912</v>
          </cell>
          <cell r="G108">
            <v>54</v>
          </cell>
          <cell r="H108" t="str">
            <v>四川省仁寿县贵平镇中岗村2组</v>
          </cell>
          <cell r="I108" t="str">
            <v>13880183822</v>
          </cell>
        </row>
        <row r="109">
          <cell r="C109" t="str">
            <v>513822199406026944</v>
          </cell>
          <cell r="D109" t="str">
            <v>女</v>
          </cell>
          <cell r="E109" t="str">
            <v>汉族</v>
          </cell>
          <cell r="F109" t="str">
            <v>19940602</v>
          </cell>
          <cell r="G109">
            <v>28</v>
          </cell>
          <cell r="H109" t="str">
            <v>四川省仁寿县贵平镇中岗村2组</v>
          </cell>
          <cell r="I109" t="str">
            <v>15198146761</v>
          </cell>
        </row>
        <row r="110">
          <cell r="C110" t="str">
            <v>511121197206176707</v>
          </cell>
          <cell r="D110" t="str">
            <v>女</v>
          </cell>
          <cell r="E110" t="str">
            <v>汉族</v>
          </cell>
          <cell r="F110" t="str">
            <v>19720617</v>
          </cell>
          <cell r="G110">
            <v>50</v>
          </cell>
          <cell r="H110" t="str">
            <v>四川省仁寿县贵平镇中岗村2组</v>
          </cell>
          <cell r="I110" t="str">
            <v>13540390806</v>
          </cell>
        </row>
        <row r="111">
          <cell r="C111" t="str">
            <v>511121194304126945</v>
          </cell>
          <cell r="D111" t="str">
            <v>女</v>
          </cell>
          <cell r="E111" t="str">
            <v>汉族</v>
          </cell>
          <cell r="F111" t="str">
            <v>19430412</v>
          </cell>
          <cell r="G111">
            <v>79</v>
          </cell>
          <cell r="H111" t="str">
            <v>四川省仁寿县贵平镇中岗村2组</v>
          </cell>
        </row>
        <row r="112">
          <cell r="C112" t="str">
            <v>51112119640124693X</v>
          </cell>
          <cell r="D112" t="str">
            <v>男</v>
          </cell>
          <cell r="E112" t="str">
            <v>汉族</v>
          </cell>
          <cell r="F112" t="str">
            <v>19640124</v>
          </cell>
          <cell r="G112">
            <v>58</v>
          </cell>
          <cell r="H112" t="str">
            <v>四川省仁寿县贵平镇中岗村2组</v>
          </cell>
          <cell r="I112" t="str">
            <v>集体户</v>
          </cell>
        </row>
        <row r="113">
          <cell r="C113" t="str">
            <v>51112119680920694X</v>
          </cell>
          <cell r="D113" t="str">
            <v>女</v>
          </cell>
          <cell r="E113" t="str">
            <v>汉族</v>
          </cell>
          <cell r="F113" t="str">
            <v>19680920</v>
          </cell>
          <cell r="G113">
            <v>54</v>
          </cell>
          <cell r="H113" t="str">
            <v>四川省仁寿县贵平镇中岗村2组</v>
          </cell>
          <cell r="I113" t="str">
            <v>13688345298</v>
          </cell>
        </row>
        <row r="114">
          <cell r="C114" t="str">
            <v>513822199411046931</v>
          </cell>
          <cell r="D114" t="str">
            <v>男</v>
          </cell>
          <cell r="E114" t="str">
            <v>汉族</v>
          </cell>
          <cell r="F114" t="str">
            <v>19941104</v>
          </cell>
          <cell r="G114">
            <v>28</v>
          </cell>
          <cell r="H114" t="str">
            <v>四川省仁寿县贵平镇中岗村2组</v>
          </cell>
          <cell r="I114" t="str">
            <v>18280266907</v>
          </cell>
        </row>
        <row r="115">
          <cell r="C115" t="str">
            <v>513822199008306932</v>
          </cell>
          <cell r="D115" t="str">
            <v>男</v>
          </cell>
          <cell r="E115" t="str">
            <v>汉族</v>
          </cell>
          <cell r="F115" t="str">
            <v>19900830</v>
          </cell>
          <cell r="G115">
            <v>32</v>
          </cell>
          <cell r="H115" t="str">
            <v>四川省仁寿县贵平镇中岗村2组</v>
          </cell>
          <cell r="I115" t="str">
            <v>15882497592</v>
          </cell>
        </row>
        <row r="116">
          <cell r="C116" t="str">
            <v>511121197207206955</v>
          </cell>
          <cell r="D116" t="str">
            <v>男</v>
          </cell>
          <cell r="E116" t="str">
            <v>汉族</v>
          </cell>
          <cell r="F116" t="str">
            <v>19720720</v>
          </cell>
          <cell r="G116">
            <v>50</v>
          </cell>
          <cell r="H116" t="str">
            <v>四川省仁寿县贵平镇中岗村2组</v>
          </cell>
          <cell r="I116" t="str">
            <v>13558835069</v>
          </cell>
        </row>
        <row r="117">
          <cell r="C117" t="str">
            <v>511121197211246941</v>
          </cell>
          <cell r="D117" t="str">
            <v>女</v>
          </cell>
          <cell r="E117" t="str">
            <v>汉族</v>
          </cell>
          <cell r="F117" t="str">
            <v>19721124</v>
          </cell>
          <cell r="G117">
            <v>50</v>
          </cell>
          <cell r="H117" t="str">
            <v>四川省仁寿县贵平镇中岗村2组</v>
          </cell>
          <cell r="I117" t="str">
            <v>13880310651</v>
          </cell>
        </row>
        <row r="118">
          <cell r="C118" t="str">
            <v>513822199209186930</v>
          </cell>
          <cell r="D118" t="str">
            <v>男</v>
          </cell>
          <cell r="E118" t="str">
            <v>汉族</v>
          </cell>
          <cell r="F118" t="str">
            <v>19920918</v>
          </cell>
          <cell r="G118">
            <v>30</v>
          </cell>
          <cell r="H118" t="str">
            <v>四川省仁寿县贵平镇中岗村2组</v>
          </cell>
          <cell r="I118" t="str">
            <v>15281055197</v>
          </cell>
        </row>
        <row r="119">
          <cell r="C119" t="str">
            <v>511421201111026859</v>
          </cell>
          <cell r="D119" t="str">
            <v>男</v>
          </cell>
          <cell r="E119" t="str">
            <v>汉族</v>
          </cell>
          <cell r="F119" t="str">
            <v>20111102</v>
          </cell>
          <cell r="G119">
            <v>11</v>
          </cell>
          <cell r="H119" t="str">
            <v>四川省仁寿县贵平镇中岗村2组</v>
          </cell>
        </row>
        <row r="120">
          <cell r="C120" t="str">
            <v>511121197103166936</v>
          </cell>
          <cell r="D120" t="str">
            <v>男</v>
          </cell>
          <cell r="E120" t="str">
            <v>汉族</v>
          </cell>
          <cell r="F120" t="str">
            <v>19710316</v>
          </cell>
          <cell r="G120">
            <v>51</v>
          </cell>
          <cell r="H120" t="str">
            <v>四川省仁寿县贵平镇中岗村2组</v>
          </cell>
          <cell r="I120" t="str">
            <v>18384760068</v>
          </cell>
        </row>
        <row r="121">
          <cell r="C121" t="str">
            <v>511121197010046943</v>
          </cell>
          <cell r="D121" t="str">
            <v>女</v>
          </cell>
          <cell r="E121" t="str">
            <v>汉族</v>
          </cell>
          <cell r="F121" t="str">
            <v>19701004</v>
          </cell>
          <cell r="G121">
            <v>52</v>
          </cell>
          <cell r="H121" t="str">
            <v>四川省仁寿县贵平镇中岗村2组</v>
          </cell>
          <cell r="I121" t="str">
            <v>13880819974</v>
          </cell>
        </row>
        <row r="122">
          <cell r="C122" t="str">
            <v>513822199505146933</v>
          </cell>
          <cell r="D122" t="str">
            <v>男</v>
          </cell>
          <cell r="E122" t="str">
            <v>汉族</v>
          </cell>
          <cell r="F122" t="str">
            <v>19950514</v>
          </cell>
          <cell r="G122">
            <v>27</v>
          </cell>
          <cell r="H122" t="str">
            <v>四川省仁寿县贵平镇中岗村2组</v>
          </cell>
          <cell r="I122" t="str">
            <v>17713617764</v>
          </cell>
        </row>
        <row r="123">
          <cell r="C123" t="str">
            <v>511121196309176932</v>
          </cell>
          <cell r="D123" t="str">
            <v>男</v>
          </cell>
          <cell r="E123" t="str">
            <v>汉族</v>
          </cell>
          <cell r="F123" t="str">
            <v>19630917</v>
          </cell>
          <cell r="G123">
            <v>59</v>
          </cell>
          <cell r="H123" t="str">
            <v>四川省仁寿县贵平镇中岗村2组</v>
          </cell>
          <cell r="I123" t="str">
            <v>13990324463</v>
          </cell>
        </row>
        <row r="124">
          <cell r="C124" t="str">
            <v>51112119670810694X</v>
          </cell>
          <cell r="D124" t="str">
            <v>女</v>
          </cell>
          <cell r="E124" t="str">
            <v>汉族</v>
          </cell>
          <cell r="F124" t="str">
            <v>19670810</v>
          </cell>
          <cell r="G124">
            <v>55</v>
          </cell>
          <cell r="H124" t="str">
            <v>四川省仁寿县贵平镇中岗村2组</v>
          </cell>
        </row>
        <row r="125">
          <cell r="C125" t="str">
            <v>513822199108156935</v>
          </cell>
          <cell r="D125" t="str">
            <v>男</v>
          </cell>
          <cell r="E125" t="str">
            <v>汉族</v>
          </cell>
          <cell r="F125" t="str">
            <v>19910815</v>
          </cell>
          <cell r="G125">
            <v>31</v>
          </cell>
          <cell r="H125" t="str">
            <v>四川省仁寿县贵平镇中岗村2组</v>
          </cell>
          <cell r="I125" t="str">
            <v>13880390184</v>
          </cell>
        </row>
        <row r="126">
          <cell r="C126" t="str">
            <v>510922199308187149</v>
          </cell>
          <cell r="D126" t="str">
            <v>女</v>
          </cell>
          <cell r="E126" t="str">
            <v>汉族</v>
          </cell>
          <cell r="F126" t="str">
            <v>19930818</v>
          </cell>
          <cell r="G126">
            <v>29</v>
          </cell>
          <cell r="H126" t="str">
            <v>四川省仁寿县贵平镇中岗村2组</v>
          </cell>
          <cell r="I126" t="str">
            <v>18780045929</v>
          </cell>
        </row>
        <row r="127">
          <cell r="C127" t="str">
            <v>513822199211206937</v>
          </cell>
          <cell r="D127" t="str">
            <v>男</v>
          </cell>
          <cell r="E127" t="str">
            <v>汉族</v>
          </cell>
          <cell r="F127" t="str">
            <v>19921120</v>
          </cell>
          <cell r="G127">
            <v>30</v>
          </cell>
          <cell r="H127" t="str">
            <v>四川省仁寿县贵平镇中岗村2组</v>
          </cell>
          <cell r="I127" t="str">
            <v>18228118586</v>
          </cell>
        </row>
        <row r="128">
          <cell r="C128" t="str">
            <v>511421201912180215</v>
          </cell>
          <cell r="D128" t="str">
            <v>男</v>
          </cell>
          <cell r="E128" t="str">
            <v>汉族</v>
          </cell>
          <cell r="F128" t="str">
            <v>20191218</v>
          </cell>
          <cell r="G128">
            <v>3</v>
          </cell>
          <cell r="H128" t="str">
            <v>四川省仁寿县贵平镇中岗村2组</v>
          </cell>
        </row>
        <row r="129">
          <cell r="C129" t="str">
            <v>511121197510146932</v>
          </cell>
          <cell r="D129" t="str">
            <v>男</v>
          </cell>
          <cell r="E129" t="str">
            <v>汉族</v>
          </cell>
          <cell r="F129" t="str">
            <v>19751014</v>
          </cell>
          <cell r="G129">
            <v>47</v>
          </cell>
          <cell r="H129" t="str">
            <v>四川省仁寿县贵平镇中岗村2组</v>
          </cell>
          <cell r="I129" t="str">
            <v>13808216385</v>
          </cell>
        </row>
        <row r="130">
          <cell r="C130" t="str">
            <v>511421200601236758</v>
          </cell>
          <cell r="D130" t="str">
            <v>男</v>
          </cell>
          <cell r="E130" t="str">
            <v>汉族</v>
          </cell>
          <cell r="F130" t="str">
            <v>20060123</v>
          </cell>
          <cell r="G130">
            <v>16</v>
          </cell>
          <cell r="H130" t="str">
            <v>四川省仁寿县贵平镇中岗村2组</v>
          </cell>
        </row>
        <row r="131">
          <cell r="C131" t="str">
            <v>511121195609257334</v>
          </cell>
          <cell r="D131" t="str">
            <v>男</v>
          </cell>
          <cell r="E131" t="str">
            <v>汉族</v>
          </cell>
          <cell r="F131" t="str">
            <v>19560925</v>
          </cell>
          <cell r="G131">
            <v>66</v>
          </cell>
          <cell r="H131" t="str">
            <v>四川省仁寿县贵平镇中岗村2组</v>
          </cell>
          <cell r="I131" t="str">
            <v>18782231335</v>
          </cell>
        </row>
        <row r="132">
          <cell r="C132" t="str">
            <v>511121194608076940</v>
          </cell>
          <cell r="D132" t="str">
            <v>女</v>
          </cell>
          <cell r="E132" t="str">
            <v>汉族</v>
          </cell>
          <cell r="F132" t="str">
            <v>19460807</v>
          </cell>
          <cell r="G132">
            <v>76</v>
          </cell>
          <cell r="H132" t="str">
            <v>四川省仁寿县贵平镇中岗村2组</v>
          </cell>
        </row>
        <row r="133">
          <cell r="C133" t="str">
            <v>511121197409185806</v>
          </cell>
          <cell r="D133" t="str">
            <v>女</v>
          </cell>
          <cell r="E133" t="str">
            <v>汉族</v>
          </cell>
          <cell r="F133" t="str">
            <v>19740918</v>
          </cell>
          <cell r="G133">
            <v>48</v>
          </cell>
          <cell r="H133" t="str">
            <v>四川省仁寿县贵平镇中岗村2组</v>
          </cell>
          <cell r="I133" t="str">
            <v>15928579198</v>
          </cell>
        </row>
        <row r="134">
          <cell r="C134" t="str">
            <v>511121194704076932</v>
          </cell>
          <cell r="D134" t="str">
            <v>男</v>
          </cell>
          <cell r="E134" t="str">
            <v>汉族</v>
          </cell>
          <cell r="F134" t="str">
            <v>19470407</v>
          </cell>
          <cell r="G134">
            <v>75</v>
          </cell>
          <cell r="H134" t="str">
            <v>四川省仁寿县贵平镇中岗村2组</v>
          </cell>
          <cell r="I134" t="str">
            <v>15983340059</v>
          </cell>
        </row>
        <row r="135">
          <cell r="C135" t="str">
            <v>511121194703226943</v>
          </cell>
          <cell r="D135" t="str">
            <v>女</v>
          </cell>
          <cell r="E135" t="str">
            <v>汉族</v>
          </cell>
          <cell r="F135" t="str">
            <v>19470322</v>
          </cell>
          <cell r="G135">
            <v>75</v>
          </cell>
          <cell r="H135" t="str">
            <v>四川省仁寿县贵平镇中岗村2组</v>
          </cell>
        </row>
        <row r="136">
          <cell r="C136" t="str">
            <v>511121197808306935</v>
          </cell>
          <cell r="D136" t="str">
            <v>男</v>
          </cell>
          <cell r="E136" t="str">
            <v>汉族</v>
          </cell>
          <cell r="F136" t="str">
            <v>19780830</v>
          </cell>
          <cell r="G136">
            <v>44</v>
          </cell>
          <cell r="H136" t="str">
            <v>四川省仁寿县贵平镇中岗村2组</v>
          </cell>
        </row>
        <row r="137">
          <cell r="C137" t="str">
            <v>511121197309056943</v>
          </cell>
          <cell r="D137" t="str">
            <v>女</v>
          </cell>
          <cell r="E137" t="str">
            <v>汉族</v>
          </cell>
          <cell r="F137" t="str">
            <v>19730905</v>
          </cell>
          <cell r="G137">
            <v>49</v>
          </cell>
          <cell r="H137" t="str">
            <v>四川省仁寿县贵平镇中岗村2组</v>
          </cell>
          <cell r="I137" t="str">
            <v>13679007786</v>
          </cell>
        </row>
        <row r="138">
          <cell r="C138" t="str">
            <v>511121197412066939</v>
          </cell>
          <cell r="D138" t="str">
            <v>男</v>
          </cell>
          <cell r="E138" t="str">
            <v>汉族</v>
          </cell>
          <cell r="F138" t="str">
            <v>19741206</v>
          </cell>
          <cell r="G138">
            <v>48</v>
          </cell>
          <cell r="H138" t="str">
            <v>四川省仁寿县贵平镇中岗村2组</v>
          </cell>
          <cell r="I138" t="str">
            <v>13730894139</v>
          </cell>
        </row>
        <row r="139">
          <cell r="C139" t="str">
            <v>513030197701267828</v>
          </cell>
          <cell r="D139" t="str">
            <v>女</v>
          </cell>
          <cell r="E139" t="str">
            <v>汉族</v>
          </cell>
          <cell r="F139" t="str">
            <v>19770126</v>
          </cell>
          <cell r="G139">
            <v>45</v>
          </cell>
          <cell r="H139" t="str">
            <v>四川省仁寿县贵平镇中岗村2组</v>
          </cell>
        </row>
        <row r="140">
          <cell r="C140" t="str">
            <v>513822199811106956</v>
          </cell>
          <cell r="D140" t="str">
            <v>男</v>
          </cell>
          <cell r="E140" t="str">
            <v>汉族</v>
          </cell>
          <cell r="F140" t="str">
            <v>19981110</v>
          </cell>
          <cell r="G140">
            <v>24</v>
          </cell>
          <cell r="H140" t="str">
            <v>四川省仁寿县贵平镇中岗村2组</v>
          </cell>
          <cell r="I140" t="str">
            <v>18384710481</v>
          </cell>
        </row>
        <row r="141">
          <cell r="C141" t="str">
            <v>513822199811106948</v>
          </cell>
          <cell r="D141" t="str">
            <v>女</v>
          </cell>
          <cell r="E141" t="str">
            <v>汉族</v>
          </cell>
          <cell r="F141" t="str">
            <v>19981110</v>
          </cell>
          <cell r="G141">
            <v>24</v>
          </cell>
          <cell r="H141" t="str">
            <v>四川省仁寿县贵平镇中岗村2组</v>
          </cell>
          <cell r="I141" t="str">
            <v>18584820210</v>
          </cell>
        </row>
        <row r="142">
          <cell r="C142" t="str">
            <v>511121196309136930</v>
          </cell>
          <cell r="D142" t="str">
            <v>男</v>
          </cell>
          <cell r="E142" t="str">
            <v>汉族</v>
          </cell>
          <cell r="F142" t="str">
            <v>19630913</v>
          </cell>
          <cell r="G142">
            <v>59</v>
          </cell>
          <cell r="H142" t="str">
            <v>四川省仁寿县贵平镇中岗村2组</v>
          </cell>
          <cell r="I142" t="str">
            <v>13404061868</v>
          </cell>
        </row>
        <row r="143">
          <cell r="C143" t="str">
            <v>51112119640128694X</v>
          </cell>
          <cell r="D143" t="str">
            <v>女</v>
          </cell>
          <cell r="E143" t="str">
            <v>汉族</v>
          </cell>
          <cell r="F143" t="str">
            <v>19640128</v>
          </cell>
          <cell r="G143">
            <v>58</v>
          </cell>
          <cell r="H143" t="str">
            <v>四川省仁寿县贵平镇中岗村2组</v>
          </cell>
          <cell r="I143" t="str">
            <v>13548231917</v>
          </cell>
        </row>
        <row r="144">
          <cell r="C144" t="str">
            <v>51382219830312693X</v>
          </cell>
          <cell r="D144" t="str">
            <v>男</v>
          </cell>
          <cell r="E144" t="str">
            <v>汉族</v>
          </cell>
          <cell r="F144" t="str">
            <v>19830312</v>
          </cell>
          <cell r="G144">
            <v>39</v>
          </cell>
          <cell r="H144" t="str">
            <v>四川省仁寿县贵平镇中岗村2组</v>
          </cell>
          <cell r="I144" t="str">
            <v>13880305359</v>
          </cell>
        </row>
        <row r="145">
          <cell r="C145" t="str">
            <v>511121193209036947</v>
          </cell>
          <cell r="D145" t="str">
            <v>女</v>
          </cell>
          <cell r="E145" t="str">
            <v>汉族</v>
          </cell>
          <cell r="F145" t="str">
            <v>19320903</v>
          </cell>
          <cell r="G145">
            <v>90</v>
          </cell>
          <cell r="H145" t="str">
            <v>四川省仁寿县贵平镇中岗村2组</v>
          </cell>
          <cell r="I145" t="str">
            <v>死亡2022.3月</v>
          </cell>
        </row>
        <row r="146">
          <cell r="C146" t="str">
            <v>51112119750624912X</v>
          </cell>
          <cell r="D146" t="str">
            <v>女</v>
          </cell>
          <cell r="E146" t="str">
            <v>汉族</v>
          </cell>
          <cell r="F146" t="str">
            <v>19750624</v>
          </cell>
          <cell r="G146">
            <v>47</v>
          </cell>
          <cell r="H146" t="str">
            <v>四川省仁寿县贵平镇中岗村2组</v>
          </cell>
          <cell r="I146" t="str">
            <v>15884307543</v>
          </cell>
        </row>
        <row r="147">
          <cell r="C147" t="str">
            <v>51382219950905696X</v>
          </cell>
          <cell r="D147" t="str">
            <v>女</v>
          </cell>
          <cell r="E147" t="str">
            <v>汉族</v>
          </cell>
          <cell r="F147" t="str">
            <v>19950905</v>
          </cell>
          <cell r="G147">
            <v>27</v>
          </cell>
          <cell r="H147" t="str">
            <v>四川省仁寿县贵平镇中岗村2组</v>
          </cell>
          <cell r="I147" t="str">
            <v>17628650994</v>
          </cell>
        </row>
        <row r="148">
          <cell r="C148" t="str">
            <v>513822200011106718</v>
          </cell>
          <cell r="D148" t="str">
            <v>男</v>
          </cell>
          <cell r="E148" t="str">
            <v>汉族</v>
          </cell>
          <cell r="F148" t="str">
            <v>20001110</v>
          </cell>
          <cell r="G148">
            <v>22</v>
          </cell>
          <cell r="H148" t="str">
            <v>四川省仁寿县贵平镇中岗村2组</v>
          </cell>
          <cell r="I148" t="str">
            <v>18225831280</v>
          </cell>
        </row>
        <row r="149">
          <cell r="C149" t="str">
            <v>511121197008166938</v>
          </cell>
          <cell r="D149" t="str">
            <v>男</v>
          </cell>
          <cell r="E149" t="str">
            <v>汉族</v>
          </cell>
          <cell r="F149" t="str">
            <v>19700816</v>
          </cell>
          <cell r="G149">
            <v>52</v>
          </cell>
          <cell r="H149" t="str">
            <v>四川省仁寿县贵平镇中岗村2组</v>
          </cell>
          <cell r="I149" t="str">
            <v>13890365554</v>
          </cell>
        </row>
        <row r="150">
          <cell r="C150" t="str">
            <v>511121197006206967</v>
          </cell>
          <cell r="D150" t="str">
            <v>女</v>
          </cell>
          <cell r="E150" t="str">
            <v>汉族</v>
          </cell>
          <cell r="F150" t="str">
            <v>19700620</v>
          </cell>
          <cell r="G150">
            <v>52</v>
          </cell>
          <cell r="H150" t="str">
            <v>四川省仁寿县贵平镇中岗村2组</v>
          </cell>
          <cell r="I150" t="str">
            <v>13118358050</v>
          </cell>
        </row>
        <row r="151">
          <cell r="C151" t="str">
            <v>513822199312266963</v>
          </cell>
          <cell r="D151" t="str">
            <v>女</v>
          </cell>
          <cell r="E151" t="str">
            <v>汉族</v>
          </cell>
          <cell r="F151" t="str">
            <v>19931226</v>
          </cell>
          <cell r="G151">
            <v>29</v>
          </cell>
          <cell r="H151" t="str">
            <v>四川省仁寿县贵平镇中岗村2组</v>
          </cell>
          <cell r="I151" t="str">
            <v>18280293065</v>
          </cell>
        </row>
        <row r="152">
          <cell r="C152" t="str">
            <v>513822199902146961</v>
          </cell>
          <cell r="D152" t="str">
            <v>女</v>
          </cell>
          <cell r="E152" t="str">
            <v>汉族</v>
          </cell>
          <cell r="F152" t="str">
            <v>19990214</v>
          </cell>
          <cell r="G152">
            <v>23</v>
          </cell>
          <cell r="H152" t="str">
            <v>四川省仁寿县贵平镇中岗村2组</v>
          </cell>
          <cell r="I152" t="str">
            <v>18728327949</v>
          </cell>
        </row>
        <row r="153">
          <cell r="C153" t="str">
            <v>511121197410186945</v>
          </cell>
          <cell r="D153" t="str">
            <v>女</v>
          </cell>
          <cell r="E153" t="str">
            <v>汉族</v>
          </cell>
          <cell r="F153" t="str">
            <v>19741018</v>
          </cell>
          <cell r="G153">
            <v>48</v>
          </cell>
          <cell r="H153" t="str">
            <v>四川省仁寿县贵平镇中岗村2组</v>
          </cell>
        </row>
        <row r="154">
          <cell r="C154" t="str">
            <v>513822200212086725</v>
          </cell>
          <cell r="D154" t="str">
            <v>女</v>
          </cell>
          <cell r="E154" t="str">
            <v>汉族</v>
          </cell>
          <cell r="F154" t="str">
            <v>20021208</v>
          </cell>
          <cell r="G154">
            <v>20</v>
          </cell>
          <cell r="H154" t="str">
            <v>四川省仁寿县贵平镇中岗村2组</v>
          </cell>
        </row>
        <row r="155">
          <cell r="C155" t="str">
            <v>511121195712295937</v>
          </cell>
          <cell r="D155" t="str">
            <v>男</v>
          </cell>
          <cell r="E155" t="str">
            <v>汉族</v>
          </cell>
          <cell r="F155" t="str">
            <v>19571229</v>
          </cell>
          <cell r="G155">
            <v>65</v>
          </cell>
          <cell r="H155" t="str">
            <v>四川省仁寿县贵平镇中岗村2组</v>
          </cell>
          <cell r="I155" t="str">
            <v>13980745770</v>
          </cell>
        </row>
        <row r="156">
          <cell r="C156" t="str">
            <v>511121195607126947</v>
          </cell>
          <cell r="D156" t="str">
            <v>女</v>
          </cell>
          <cell r="E156" t="str">
            <v>汉族</v>
          </cell>
          <cell r="F156" t="str">
            <v>19560712</v>
          </cell>
          <cell r="G156">
            <v>66</v>
          </cell>
          <cell r="H156" t="str">
            <v>四川省仁寿县贵平镇中岗村2组</v>
          </cell>
          <cell r="I156" t="str">
            <v>15828619804</v>
          </cell>
        </row>
        <row r="157">
          <cell r="C157" t="str">
            <v>511121196503056934</v>
          </cell>
          <cell r="D157" t="str">
            <v>男</v>
          </cell>
          <cell r="E157" t="str">
            <v>汉族</v>
          </cell>
          <cell r="F157" t="str">
            <v>19650305</v>
          </cell>
          <cell r="G157">
            <v>57</v>
          </cell>
          <cell r="H157" t="str">
            <v>四川省仁寿县贵平镇中岗村2组</v>
          </cell>
          <cell r="I157" t="str">
            <v>13548198459</v>
          </cell>
        </row>
        <row r="158">
          <cell r="C158" t="str">
            <v>511421199006266703</v>
          </cell>
          <cell r="D158" t="str">
            <v>女</v>
          </cell>
          <cell r="E158" t="str">
            <v>汉族</v>
          </cell>
          <cell r="F158" t="str">
            <v>19900626</v>
          </cell>
          <cell r="G158">
            <v>32</v>
          </cell>
          <cell r="H158" t="str">
            <v>四川省仁寿县贵平镇中岗村2组</v>
          </cell>
        </row>
        <row r="159">
          <cell r="C159" t="str">
            <v>511121196408176938</v>
          </cell>
          <cell r="D159" t="str">
            <v>男</v>
          </cell>
          <cell r="E159" t="str">
            <v>汉族</v>
          </cell>
          <cell r="F159" t="str">
            <v>19640817</v>
          </cell>
          <cell r="G159">
            <v>58</v>
          </cell>
          <cell r="H159" t="str">
            <v>四川省仁寿县贵平镇中岗村2组</v>
          </cell>
          <cell r="I159" t="str">
            <v>13548147920</v>
          </cell>
        </row>
        <row r="160">
          <cell r="C160" t="str">
            <v>513822198911066934</v>
          </cell>
          <cell r="D160" t="str">
            <v>男</v>
          </cell>
          <cell r="E160" t="str">
            <v>汉族</v>
          </cell>
          <cell r="F160" t="str">
            <v>19891106</v>
          </cell>
          <cell r="G160">
            <v>33</v>
          </cell>
          <cell r="H160" t="str">
            <v>四川省仁寿县贵平镇中岗村2组</v>
          </cell>
          <cell r="I160" t="str">
            <v>15882245784</v>
          </cell>
        </row>
        <row r="161">
          <cell r="C161" t="str">
            <v>511121196604276944</v>
          </cell>
          <cell r="D161" t="str">
            <v>女</v>
          </cell>
          <cell r="E161" t="str">
            <v>汉族</v>
          </cell>
          <cell r="F161" t="str">
            <v>19660427</v>
          </cell>
          <cell r="G161">
            <v>56</v>
          </cell>
          <cell r="H161" t="str">
            <v>四川省仁寿县贵平镇中岗村2组</v>
          </cell>
          <cell r="I161" t="str">
            <v>18783351709</v>
          </cell>
        </row>
        <row r="162">
          <cell r="C162" t="str">
            <v>513822198704166940</v>
          </cell>
          <cell r="D162" t="str">
            <v>女</v>
          </cell>
          <cell r="E162" t="str">
            <v>汉族</v>
          </cell>
          <cell r="F162" t="str">
            <v>19870416</v>
          </cell>
          <cell r="G162">
            <v>35</v>
          </cell>
          <cell r="H162" t="str">
            <v>四川省仁寿县贵平镇中岗村2组</v>
          </cell>
          <cell r="I162" t="str">
            <v>15928534109</v>
          </cell>
        </row>
        <row r="163">
          <cell r="C163" t="str">
            <v>511421201312046864</v>
          </cell>
          <cell r="D163" t="str">
            <v>女</v>
          </cell>
          <cell r="E163" t="str">
            <v>汉族</v>
          </cell>
          <cell r="F163" t="str">
            <v>20131204</v>
          </cell>
          <cell r="G163">
            <v>9</v>
          </cell>
          <cell r="H163" t="str">
            <v>四川省仁寿县贵平镇中岗村2组</v>
          </cell>
        </row>
        <row r="164">
          <cell r="C164" t="str">
            <v>511421201804010200</v>
          </cell>
          <cell r="D164" t="str">
            <v>女</v>
          </cell>
          <cell r="E164" t="str">
            <v>汉族</v>
          </cell>
          <cell r="F164" t="str">
            <v>20180401</v>
          </cell>
          <cell r="G164">
            <v>4</v>
          </cell>
          <cell r="H164" t="str">
            <v>四川省仁寿县贵平镇中岗村2组</v>
          </cell>
        </row>
        <row r="165">
          <cell r="C165" t="str">
            <v>513902199204035340</v>
          </cell>
          <cell r="D165" t="str">
            <v>女</v>
          </cell>
          <cell r="E165" t="str">
            <v>汉族</v>
          </cell>
          <cell r="F165" t="str">
            <v>19920403</v>
          </cell>
          <cell r="G165">
            <v>30</v>
          </cell>
          <cell r="H165" t="str">
            <v>四川省仁寿县贵平镇中岗村2组</v>
          </cell>
          <cell r="I165" t="str">
            <v>13980626147</v>
          </cell>
        </row>
        <row r="166">
          <cell r="C166" t="str">
            <v>51112119630620693X</v>
          </cell>
          <cell r="D166" t="str">
            <v>男</v>
          </cell>
          <cell r="E166" t="str">
            <v>汉族</v>
          </cell>
          <cell r="F166" t="str">
            <v>19630620</v>
          </cell>
          <cell r="G166">
            <v>59</v>
          </cell>
          <cell r="H166" t="str">
            <v>四川省仁寿县贵平镇中岗村2组</v>
          </cell>
          <cell r="I166" t="str">
            <v>13890348782</v>
          </cell>
        </row>
        <row r="167">
          <cell r="C167" t="str">
            <v>510227197507056867</v>
          </cell>
          <cell r="D167" t="str">
            <v>女</v>
          </cell>
          <cell r="E167" t="str">
            <v>汉族</v>
          </cell>
          <cell r="F167" t="str">
            <v>19750705</v>
          </cell>
          <cell r="G167">
            <v>47</v>
          </cell>
          <cell r="H167" t="str">
            <v>四川省仁寿县贵平镇中岗村2组</v>
          </cell>
          <cell r="I167" t="str">
            <v>15984319975</v>
          </cell>
        </row>
        <row r="168">
          <cell r="C168" t="str">
            <v>511421199003266695</v>
          </cell>
          <cell r="D168" t="str">
            <v>男</v>
          </cell>
          <cell r="E168" t="str">
            <v>汉族</v>
          </cell>
          <cell r="F168" t="str">
            <v>19900326</v>
          </cell>
          <cell r="G168">
            <v>32</v>
          </cell>
          <cell r="H168" t="str">
            <v>四川省仁寿县贵平镇中岗村2组</v>
          </cell>
          <cell r="I168" t="str">
            <v>13006412073</v>
          </cell>
        </row>
        <row r="169">
          <cell r="C169" t="str">
            <v>513822199702106789</v>
          </cell>
          <cell r="D169" t="str">
            <v>女</v>
          </cell>
          <cell r="E169" t="str">
            <v>汉族</v>
          </cell>
          <cell r="F169" t="str">
            <v>19970210</v>
          </cell>
          <cell r="G169">
            <v>25</v>
          </cell>
          <cell r="H169" t="str">
            <v>四川省仁寿县贵平镇中岗村2组</v>
          </cell>
          <cell r="I169" t="str">
            <v>15828528112</v>
          </cell>
        </row>
        <row r="170">
          <cell r="C170" t="str">
            <v>513822198301296943</v>
          </cell>
          <cell r="D170" t="str">
            <v>女</v>
          </cell>
          <cell r="E170" t="str">
            <v>汉族</v>
          </cell>
          <cell r="F170" t="str">
            <v>19830129</v>
          </cell>
          <cell r="G170">
            <v>39</v>
          </cell>
          <cell r="H170" t="str">
            <v>四川省仁寿县贵平镇中岗村2组</v>
          </cell>
        </row>
        <row r="171">
          <cell r="C171" t="str">
            <v>511121194605156937</v>
          </cell>
          <cell r="D171" t="str">
            <v>男</v>
          </cell>
          <cell r="E171" t="str">
            <v>汉族</v>
          </cell>
          <cell r="F171" t="str">
            <v>19460515</v>
          </cell>
          <cell r="G171">
            <v>76</v>
          </cell>
          <cell r="H171" t="str">
            <v>四川省仁寿县贵平镇中岗村2组</v>
          </cell>
        </row>
        <row r="172">
          <cell r="C172" t="str">
            <v>511121194512156946</v>
          </cell>
          <cell r="D172" t="str">
            <v>女</v>
          </cell>
          <cell r="E172" t="str">
            <v>汉族</v>
          </cell>
          <cell r="F172" t="str">
            <v>19451215</v>
          </cell>
          <cell r="G172">
            <v>77</v>
          </cell>
          <cell r="H172" t="str">
            <v>四川省仁寿县贵平镇中岗村2组</v>
          </cell>
          <cell r="I172" t="str">
            <v>18227936305</v>
          </cell>
        </row>
        <row r="173">
          <cell r="C173" t="str">
            <v>511121197510176963</v>
          </cell>
          <cell r="D173" t="str">
            <v>女</v>
          </cell>
          <cell r="E173" t="str">
            <v>汉族</v>
          </cell>
          <cell r="F173" t="str">
            <v>19751017</v>
          </cell>
          <cell r="G173">
            <v>47</v>
          </cell>
          <cell r="H173" t="str">
            <v>四川省仁寿县贵平镇中岗村2组</v>
          </cell>
          <cell r="I173" t="str">
            <v>15542098811</v>
          </cell>
        </row>
        <row r="174">
          <cell r="C174" t="str">
            <v>511121195409306939</v>
          </cell>
          <cell r="D174" t="str">
            <v>男</v>
          </cell>
          <cell r="E174" t="str">
            <v>汉族</v>
          </cell>
          <cell r="F174" t="str">
            <v>19540930</v>
          </cell>
          <cell r="G174">
            <v>68</v>
          </cell>
          <cell r="H174" t="str">
            <v>四川省仁寿县贵平镇中岗村2组</v>
          </cell>
        </row>
        <row r="175">
          <cell r="C175" t="str">
            <v>511121196007016941</v>
          </cell>
          <cell r="D175" t="str">
            <v>女</v>
          </cell>
          <cell r="E175" t="str">
            <v>汉族</v>
          </cell>
          <cell r="F175" t="str">
            <v>19600701</v>
          </cell>
          <cell r="G175">
            <v>62</v>
          </cell>
          <cell r="H175" t="str">
            <v>四川省仁寿县贵平镇中岗村2组</v>
          </cell>
        </row>
        <row r="176">
          <cell r="C176" t="str">
            <v>513822198504116949</v>
          </cell>
          <cell r="D176" t="str">
            <v>女</v>
          </cell>
          <cell r="E176" t="str">
            <v>汉族</v>
          </cell>
          <cell r="F176" t="str">
            <v>19850411</v>
          </cell>
          <cell r="G176">
            <v>37</v>
          </cell>
          <cell r="H176" t="str">
            <v>四川省仁寿县贵平镇中岗村2组</v>
          </cell>
        </row>
        <row r="177">
          <cell r="C177" t="str">
            <v>511121197206026936</v>
          </cell>
          <cell r="D177" t="str">
            <v>男</v>
          </cell>
          <cell r="E177" t="str">
            <v>汉族</v>
          </cell>
          <cell r="F177" t="str">
            <v>19720602</v>
          </cell>
          <cell r="G177">
            <v>50</v>
          </cell>
          <cell r="H177" t="str">
            <v>四川省仁寿县贵平镇中岗村2组</v>
          </cell>
        </row>
        <row r="178">
          <cell r="C178" t="str">
            <v>511121197210109005</v>
          </cell>
          <cell r="D178" t="str">
            <v>女</v>
          </cell>
          <cell r="E178" t="str">
            <v>汉族</v>
          </cell>
          <cell r="F178" t="str">
            <v>19721010</v>
          </cell>
          <cell r="G178">
            <v>50</v>
          </cell>
          <cell r="H178" t="str">
            <v>四川省仁寿县贵平镇中岗村2组</v>
          </cell>
        </row>
        <row r="179">
          <cell r="C179" t="str">
            <v>513822199506156930</v>
          </cell>
          <cell r="D179" t="str">
            <v>男</v>
          </cell>
          <cell r="E179" t="str">
            <v>汉族</v>
          </cell>
          <cell r="F179" t="str">
            <v>19950615</v>
          </cell>
          <cell r="G179">
            <v>27</v>
          </cell>
          <cell r="H179" t="str">
            <v>四川省仁寿县贵平镇中岗村2组</v>
          </cell>
        </row>
        <row r="180">
          <cell r="C180" t="str">
            <v>511121196811166932</v>
          </cell>
          <cell r="D180" t="str">
            <v>男</v>
          </cell>
          <cell r="E180" t="str">
            <v>汉族</v>
          </cell>
          <cell r="F180" t="str">
            <v>19681116</v>
          </cell>
          <cell r="G180">
            <v>54</v>
          </cell>
          <cell r="H180" t="str">
            <v>四川省仁寿县贵平镇中岗村2组</v>
          </cell>
          <cell r="I180" t="str">
            <v>13540366737</v>
          </cell>
        </row>
        <row r="181">
          <cell r="C181" t="str">
            <v>511421200509306717</v>
          </cell>
          <cell r="D181" t="str">
            <v>男</v>
          </cell>
          <cell r="E181" t="str">
            <v>汉族</v>
          </cell>
          <cell r="F181" t="str">
            <v>20050930</v>
          </cell>
          <cell r="G181">
            <v>17</v>
          </cell>
          <cell r="H181" t="str">
            <v>四川省仁寿县贵平镇中岗村2组</v>
          </cell>
        </row>
        <row r="182">
          <cell r="C182" t="str">
            <v>51112119690424694X</v>
          </cell>
          <cell r="D182" t="str">
            <v>女</v>
          </cell>
          <cell r="E182" t="str">
            <v>汉族</v>
          </cell>
          <cell r="F182" t="str">
            <v>19690424</v>
          </cell>
          <cell r="G182">
            <v>53</v>
          </cell>
          <cell r="H182" t="str">
            <v>四川省仁寿县贵平镇中岗村2组</v>
          </cell>
          <cell r="I182" t="str">
            <v>18224429043</v>
          </cell>
        </row>
        <row r="183">
          <cell r="C183" t="str">
            <v>511121193508206934</v>
          </cell>
          <cell r="D183" t="str">
            <v>男</v>
          </cell>
          <cell r="E183" t="str">
            <v>汉族</v>
          </cell>
          <cell r="F183" t="str">
            <v>19350820</v>
          </cell>
          <cell r="G183">
            <v>87</v>
          </cell>
          <cell r="H183" t="str">
            <v>四川省仁寿县贵平镇中岗村2组</v>
          </cell>
          <cell r="I183" t="str">
            <v>17781161242</v>
          </cell>
        </row>
        <row r="184">
          <cell r="C184" t="str">
            <v>513822199403306932</v>
          </cell>
          <cell r="D184" t="str">
            <v>男</v>
          </cell>
          <cell r="E184" t="str">
            <v>汉族</v>
          </cell>
          <cell r="F184" t="str">
            <v>19940330</v>
          </cell>
          <cell r="G184">
            <v>28</v>
          </cell>
          <cell r="H184" t="str">
            <v>四川省仁寿县贵平镇中岗村2组</v>
          </cell>
          <cell r="I184" t="str">
            <v>13550150350</v>
          </cell>
        </row>
        <row r="185">
          <cell r="C185" t="str">
            <v>511421201903100295</v>
          </cell>
          <cell r="D185" t="str">
            <v>男</v>
          </cell>
          <cell r="E185" t="str">
            <v>汉族</v>
          </cell>
          <cell r="F185" t="str">
            <v>20190310</v>
          </cell>
          <cell r="G185">
            <v>3</v>
          </cell>
          <cell r="H185" t="str">
            <v>四川省仁寿县贵平镇中岗村2组</v>
          </cell>
        </row>
        <row r="186">
          <cell r="C186" t="str">
            <v>510923199908066224</v>
          </cell>
          <cell r="D186" t="str">
            <v>女</v>
          </cell>
          <cell r="E186" t="str">
            <v>汉族</v>
          </cell>
          <cell r="F186" t="str">
            <v>19990806</v>
          </cell>
          <cell r="G186">
            <v>23</v>
          </cell>
          <cell r="H186" t="str">
            <v>四川省仁寿县贵平镇中岗村2组</v>
          </cell>
        </row>
        <row r="187">
          <cell r="C187" t="str">
            <v>511121196309256932</v>
          </cell>
          <cell r="D187" t="str">
            <v>男</v>
          </cell>
          <cell r="E187" t="str">
            <v>汉族</v>
          </cell>
          <cell r="F187" t="str">
            <v>19630925</v>
          </cell>
          <cell r="G187">
            <v>59</v>
          </cell>
          <cell r="H187" t="str">
            <v>四川省仁寿县贵平镇中岗村2组</v>
          </cell>
          <cell r="I187" t="str">
            <v>18328371165</v>
          </cell>
        </row>
        <row r="188">
          <cell r="C188" t="str">
            <v>51112119551018696X</v>
          </cell>
          <cell r="D188" t="str">
            <v>女</v>
          </cell>
          <cell r="E188" t="str">
            <v>汉族</v>
          </cell>
          <cell r="F188" t="str">
            <v>19551018</v>
          </cell>
          <cell r="G188">
            <v>67</v>
          </cell>
          <cell r="H188" t="str">
            <v>四川省仁寿县贵平镇中岗村2组</v>
          </cell>
          <cell r="I188">
            <v>18728383535</v>
          </cell>
        </row>
        <row r="189">
          <cell r="C189" t="str">
            <v>511121195503146935</v>
          </cell>
          <cell r="D189" t="str">
            <v>男</v>
          </cell>
          <cell r="E189" t="str">
            <v>汉族</v>
          </cell>
          <cell r="F189" t="str">
            <v>19550314</v>
          </cell>
          <cell r="G189">
            <v>67</v>
          </cell>
          <cell r="H189" t="str">
            <v>四川省仁寿县贵平镇中岗村2组</v>
          </cell>
          <cell r="I189" t="str">
            <v>13688251385</v>
          </cell>
        </row>
        <row r="190">
          <cell r="C190" t="str">
            <v>513822198706166960</v>
          </cell>
          <cell r="D190" t="str">
            <v>女</v>
          </cell>
          <cell r="E190" t="str">
            <v>汉族</v>
          </cell>
          <cell r="F190" t="str">
            <v>19870616</v>
          </cell>
          <cell r="G190">
            <v>35</v>
          </cell>
          <cell r="H190" t="str">
            <v>四川省仁寿县贵平镇中岗村2组</v>
          </cell>
          <cell r="I190" t="str">
            <v>15282330112</v>
          </cell>
        </row>
        <row r="191">
          <cell r="C191" t="str">
            <v>511121195701043646</v>
          </cell>
          <cell r="D191" t="str">
            <v>女</v>
          </cell>
          <cell r="E191" t="str">
            <v>汉族</v>
          </cell>
          <cell r="F191" t="str">
            <v>19570104</v>
          </cell>
          <cell r="G191">
            <v>65</v>
          </cell>
          <cell r="H191" t="str">
            <v>四川省仁寿县贵平镇中岗村2组</v>
          </cell>
          <cell r="I191" t="str">
            <v>15282313349</v>
          </cell>
        </row>
        <row r="192">
          <cell r="C192" t="str">
            <v>511121198110156933</v>
          </cell>
          <cell r="D192" t="str">
            <v>男</v>
          </cell>
          <cell r="E192" t="str">
            <v>汉族</v>
          </cell>
          <cell r="F192" t="str">
            <v>19811015</v>
          </cell>
          <cell r="G192">
            <v>41</v>
          </cell>
          <cell r="H192" t="str">
            <v>四川省仁寿县贵平镇中岗村2组</v>
          </cell>
          <cell r="I192" t="str">
            <v>15528898638</v>
          </cell>
        </row>
        <row r="193">
          <cell r="C193" t="str">
            <v>511421201611160173</v>
          </cell>
          <cell r="D193" t="str">
            <v>男</v>
          </cell>
          <cell r="E193" t="str">
            <v>汉族</v>
          </cell>
          <cell r="F193" t="str">
            <v>20161116</v>
          </cell>
          <cell r="G193">
            <v>6</v>
          </cell>
          <cell r="H193" t="str">
            <v>四川省仁寿县贵平镇中岗村2组</v>
          </cell>
        </row>
        <row r="194">
          <cell r="C194" t="str">
            <v>511121196902286956</v>
          </cell>
          <cell r="D194" t="str">
            <v>男</v>
          </cell>
          <cell r="E194" t="str">
            <v>汉族</v>
          </cell>
          <cell r="F194" t="str">
            <v>19690228</v>
          </cell>
          <cell r="G194">
            <v>53</v>
          </cell>
          <cell r="H194" t="str">
            <v>四川省仁寿县贵平镇中岗村2组</v>
          </cell>
          <cell r="I194" t="str">
            <v>15982857698</v>
          </cell>
        </row>
        <row r="195">
          <cell r="C195" t="str">
            <v>513822199602086952</v>
          </cell>
          <cell r="D195" t="str">
            <v>男</v>
          </cell>
          <cell r="E195" t="str">
            <v>汉族</v>
          </cell>
          <cell r="F195" t="str">
            <v>19960208</v>
          </cell>
          <cell r="G195">
            <v>26</v>
          </cell>
          <cell r="H195" t="str">
            <v>四川省仁寿县贵平镇中岗村2组</v>
          </cell>
          <cell r="I195" t="str">
            <v>15828438012</v>
          </cell>
        </row>
        <row r="196">
          <cell r="C196" t="str">
            <v>513822199610216948</v>
          </cell>
          <cell r="D196" t="str">
            <v>女</v>
          </cell>
          <cell r="E196" t="str">
            <v>汉族</v>
          </cell>
          <cell r="F196" t="str">
            <v>19961021</v>
          </cell>
          <cell r="G196">
            <v>26</v>
          </cell>
          <cell r="H196" t="str">
            <v>四川省仁寿县贵平镇中岗村2组</v>
          </cell>
        </row>
        <row r="197">
          <cell r="C197" t="str">
            <v>51112119720128694X</v>
          </cell>
          <cell r="D197" t="str">
            <v>女</v>
          </cell>
          <cell r="E197" t="str">
            <v>汉族</v>
          </cell>
          <cell r="F197" t="str">
            <v>19720128</v>
          </cell>
          <cell r="G197">
            <v>50</v>
          </cell>
          <cell r="H197" t="str">
            <v>四川省仁寿县贵平镇中岗村2组</v>
          </cell>
          <cell r="I197" t="str">
            <v>18224036426</v>
          </cell>
        </row>
        <row r="198">
          <cell r="C198" t="str">
            <v>511121197410186953</v>
          </cell>
          <cell r="D198" t="str">
            <v>男</v>
          </cell>
          <cell r="E198" t="str">
            <v>汉族</v>
          </cell>
          <cell r="F198" t="str">
            <v>19741018</v>
          </cell>
          <cell r="G198">
            <v>48</v>
          </cell>
          <cell r="H198" t="str">
            <v>四川省仁寿县贵平镇中岗村2组</v>
          </cell>
          <cell r="I198" t="str">
            <v>13982036208</v>
          </cell>
        </row>
        <row r="199">
          <cell r="C199" t="str">
            <v>511421201104076786</v>
          </cell>
          <cell r="D199" t="str">
            <v>女</v>
          </cell>
          <cell r="E199" t="str">
            <v>汉族</v>
          </cell>
          <cell r="F199" t="str">
            <v>20110407</v>
          </cell>
          <cell r="G199">
            <v>11</v>
          </cell>
          <cell r="H199" t="str">
            <v>四川省仁寿县贵平镇中岗村2组</v>
          </cell>
        </row>
        <row r="200">
          <cell r="C200" t="str">
            <v>511421201708130309</v>
          </cell>
          <cell r="D200" t="str">
            <v>女</v>
          </cell>
          <cell r="E200" t="str">
            <v>汉族</v>
          </cell>
          <cell r="F200" t="str">
            <v>20170813</v>
          </cell>
          <cell r="G200">
            <v>5</v>
          </cell>
          <cell r="H200" t="str">
            <v>四川省仁寿县贵平镇中岗村2组</v>
          </cell>
        </row>
        <row r="201">
          <cell r="C201" t="str">
            <v>51112119800419694X</v>
          </cell>
          <cell r="D201" t="str">
            <v>女</v>
          </cell>
          <cell r="E201" t="str">
            <v>汉族</v>
          </cell>
          <cell r="F201" t="str">
            <v>19800419</v>
          </cell>
          <cell r="G201">
            <v>42</v>
          </cell>
          <cell r="H201" t="str">
            <v>四川省仁寿县贵平镇中岗村2组</v>
          </cell>
          <cell r="I201" t="str">
            <v>13688302927</v>
          </cell>
        </row>
        <row r="202">
          <cell r="C202" t="str">
            <v>511121195601256935</v>
          </cell>
          <cell r="D202" t="str">
            <v>男</v>
          </cell>
          <cell r="E202" t="str">
            <v>汉族</v>
          </cell>
          <cell r="F202" t="str">
            <v>19560125</v>
          </cell>
          <cell r="G202">
            <v>66</v>
          </cell>
          <cell r="H202" t="str">
            <v>四川省仁寿县贵平镇中岗村2组</v>
          </cell>
          <cell r="I202" t="str">
            <v>15928725338</v>
          </cell>
        </row>
        <row r="203">
          <cell r="C203" t="str">
            <v>511121195710256942</v>
          </cell>
          <cell r="D203" t="str">
            <v>女</v>
          </cell>
          <cell r="E203" t="str">
            <v>汉族</v>
          </cell>
          <cell r="F203" t="str">
            <v>19571025</v>
          </cell>
          <cell r="G203">
            <v>65</v>
          </cell>
          <cell r="H203" t="str">
            <v>四川省仁寿县贵平镇中岗村2组</v>
          </cell>
          <cell r="I203" t="str">
            <v>15828621640</v>
          </cell>
        </row>
        <row r="204">
          <cell r="C204" t="str">
            <v>511121197709286940</v>
          </cell>
          <cell r="D204" t="str">
            <v>女</v>
          </cell>
          <cell r="E204" t="str">
            <v>汉族</v>
          </cell>
          <cell r="F204" t="str">
            <v>19770928</v>
          </cell>
          <cell r="G204">
            <v>45</v>
          </cell>
          <cell r="H204" t="str">
            <v>四川省仁寿县贵平镇中岗村2组</v>
          </cell>
          <cell r="I204" t="str">
            <v>13508075606</v>
          </cell>
        </row>
        <row r="205">
          <cell r="C205" t="str">
            <v>513822199206286936</v>
          </cell>
          <cell r="D205" t="str">
            <v>男</v>
          </cell>
          <cell r="E205" t="str">
            <v>汉族</v>
          </cell>
          <cell r="F205" t="str">
            <v>19920628</v>
          </cell>
          <cell r="G205">
            <v>30</v>
          </cell>
          <cell r="H205" t="str">
            <v>四川省仁寿县贵平镇中岗村2组</v>
          </cell>
          <cell r="I205" t="str">
            <v>18682653680</v>
          </cell>
        </row>
        <row r="206">
          <cell r="C206" t="str">
            <v>511121196808096945</v>
          </cell>
          <cell r="D206" t="str">
            <v>女</v>
          </cell>
          <cell r="E206" t="str">
            <v>汉族</v>
          </cell>
          <cell r="F206" t="str">
            <v>19680809</v>
          </cell>
          <cell r="G206">
            <v>54</v>
          </cell>
          <cell r="H206" t="str">
            <v>四川省仁寿县贵平镇中岗村2组</v>
          </cell>
          <cell r="I206" t="str">
            <v>19183317861</v>
          </cell>
        </row>
        <row r="207">
          <cell r="C207" t="str">
            <v>513822199001056942</v>
          </cell>
          <cell r="D207" t="str">
            <v>女</v>
          </cell>
          <cell r="E207" t="str">
            <v>汉族</v>
          </cell>
          <cell r="F207" t="str">
            <v>19900105</v>
          </cell>
          <cell r="G207">
            <v>32</v>
          </cell>
          <cell r="H207" t="str">
            <v>四川省仁寿县贵平镇中岗村2组</v>
          </cell>
        </row>
        <row r="208">
          <cell r="C208" t="str">
            <v>511121195301276934</v>
          </cell>
          <cell r="D208" t="str">
            <v>男</v>
          </cell>
          <cell r="E208" t="str">
            <v>汉族</v>
          </cell>
          <cell r="F208" t="str">
            <v>19530127</v>
          </cell>
          <cell r="G208">
            <v>69</v>
          </cell>
          <cell r="H208" t="str">
            <v>四川省仁寿县贵平镇中岗村2组</v>
          </cell>
          <cell r="I208" t="str">
            <v>13808207438</v>
          </cell>
        </row>
        <row r="209">
          <cell r="C209" t="str">
            <v>511121195303156944</v>
          </cell>
          <cell r="D209" t="str">
            <v>女</v>
          </cell>
          <cell r="E209" t="str">
            <v>汉族</v>
          </cell>
          <cell r="F209" t="str">
            <v>19530315</v>
          </cell>
          <cell r="G209">
            <v>69</v>
          </cell>
          <cell r="H209" t="str">
            <v>四川省仁寿县贵平镇中岗村2组</v>
          </cell>
          <cell r="I209" t="str">
            <v>15228854786</v>
          </cell>
        </row>
        <row r="210">
          <cell r="C210" t="str">
            <v>511121198203156932</v>
          </cell>
          <cell r="D210" t="str">
            <v>男</v>
          </cell>
          <cell r="E210" t="str">
            <v>汉族</v>
          </cell>
          <cell r="F210" t="str">
            <v>19820315</v>
          </cell>
          <cell r="G210">
            <v>40</v>
          </cell>
          <cell r="H210" t="str">
            <v>四川省仁寿县贵平镇中岗村2组</v>
          </cell>
          <cell r="I210" t="str">
            <v>13086661178</v>
          </cell>
        </row>
        <row r="211">
          <cell r="C211" t="str">
            <v>513822200308266712</v>
          </cell>
          <cell r="D211" t="str">
            <v>男</v>
          </cell>
          <cell r="E211" t="str">
            <v>汉族</v>
          </cell>
          <cell r="F211" t="str">
            <v>20030826</v>
          </cell>
          <cell r="G211">
            <v>19</v>
          </cell>
          <cell r="H211" t="str">
            <v>四川省仁寿县贵平镇中岗村2组</v>
          </cell>
          <cell r="I211" t="str">
            <v>1998352160</v>
          </cell>
        </row>
        <row r="212">
          <cell r="C212" t="str">
            <v>511121197507086940</v>
          </cell>
          <cell r="D212" t="str">
            <v>女</v>
          </cell>
          <cell r="E212" t="str">
            <v>汉族</v>
          </cell>
          <cell r="F212" t="str">
            <v>19750708</v>
          </cell>
          <cell r="G212">
            <v>47</v>
          </cell>
          <cell r="H212" t="str">
            <v>四川省仁寿县贵平镇中岗村2组</v>
          </cell>
        </row>
        <row r="213">
          <cell r="C213" t="str">
            <v>51382219831121020X</v>
          </cell>
          <cell r="D213" t="str">
            <v>女</v>
          </cell>
          <cell r="E213" t="str">
            <v>汉族</v>
          </cell>
          <cell r="F213" t="str">
            <v>19831121</v>
          </cell>
          <cell r="G213">
            <v>39</v>
          </cell>
          <cell r="H213" t="str">
            <v>四川省仁寿县贵平镇中岗村2组</v>
          </cell>
          <cell r="I213" t="str">
            <v>13258318094</v>
          </cell>
        </row>
        <row r="214">
          <cell r="C214" t="str">
            <v>511421201108280178</v>
          </cell>
          <cell r="D214" t="str">
            <v>男</v>
          </cell>
          <cell r="E214" t="str">
            <v>汉族</v>
          </cell>
          <cell r="F214" t="str">
            <v>20110828</v>
          </cell>
          <cell r="G214">
            <v>11</v>
          </cell>
          <cell r="H214" t="str">
            <v>四川省仁寿县贵平镇中岗村2组</v>
          </cell>
        </row>
        <row r="215">
          <cell r="C215" t="str">
            <v>511121196904206956</v>
          </cell>
          <cell r="D215" t="str">
            <v>男</v>
          </cell>
          <cell r="E215" t="str">
            <v>汉族</v>
          </cell>
          <cell r="F215" t="str">
            <v>19690420</v>
          </cell>
          <cell r="G215">
            <v>53</v>
          </cell>
          <cell r="H215" t="str">
            <v>四川省仁寿县贵平镇中岗村2组</v>
          </cell>
          <cell r="I215" t="str">
            <v>13980034458</v>
          </cell>
        </row>
        <row r="216">
          <cell r="C216" t="str">
            <v>511121196206106931</v>
          </cell>
          <cell r="D216" t="str">
            <v>男</v>
          </cell>
          <cell r="E216" t="str">
            <v>汉族</v>
          </cell>
          <cell r="F216" t="str">
            <v>19620610</v>
          </cell>
          <cell r="G216">
            <v>60</v>
          </cell>
          <cell r="H216" t="str">
            <v>四川省仁寿县贵平镇中岗村2组</v>
          </cell>
          <cell r="I216" t="str">
            <v>13882222343</v>
          </cell>
        </row>
        <row r="217">
          <cell r="C217" t="str">
            <v>511121196204136942</v>
          </cell>
          <cell r="D217" t="str">
            <v>女</v>
          </cell>
          <cell r="E217" t="str">
            <v>汉族</v>
          </cell>
          <cell r="F217" t="str">
            <v>19620413</v>
          </cell>
          <cell r="G217">
            <v>60</v>
          </cell>
          <cell r="H217" t="str">
            <v>四川省仁寿县贵平镇中岗村2组</v>
          </cell>
          <cell r="I217" t="str">
            <v>15928432256</v>
          </cell>
        </row>
        <row r="218">
          <cell r="C218" t="str">
            <v>513822198612026940</v>
          </cell>
          <cell r="D218" t="str">
            <v>女</v>
          </cell>
          <cell r="E218" t="str">
            <v>汉族</v>
          </cell>
          <cell r="F218" t="str">
            <v>19861202</v>
          </cell>
          <cell r="G218">
            <v>36</v>
          </cell>
          <cell r="H218" t="str">
            <v>四川省仁寿县贵平镇中岗村2组</v>
          </cell>
          <cell r="I218" t="str">
            <v>?</v>
          </cell>
        </row>
        <row r="219">
          <cell r="C219" t="str">
            <v>511121196209116932</v>
          </cell>
          <cell r="D219" t="str">
            <v>男</v>
          </cell>
          <cell r="E219" t="str">
            <v>汉族</v>
          </cell>
          <cell r="F219" t="str">
            <v>19620911</v>
          </cell>
          <cell r="G219">
            <v>60</v>
          </cell>
          <cell r="H219" t="str">
            <v>四川省仁寿县贵平镇中岗村2组</v>
          </cell>
          <cell r="I219" t="str">
            <v>18302856839</v>
          </cell>
        </row>
        <row r="220">
          <cell r="C220" t="str">
            <v>511121196109016942</v>
          </cell>
          <cell r="D220" t="str">
            <v>女</v>
          </cell>
          <cell r="E220" t="str">
            <v>汉族</v>
          </cell>
          <cell r="F220" t="str">
            <v>19610901</v>
          </cell>
          <cell r="G220">
            <v>61</v>
          </cell>
          <cell r="H220" t="str">
            <v>四川省仁寿县贵平镇中岗村2组</v>
          </cell>
          <cell r="I220" t="str">
            <v>18381430416</v>
          </cell>
        </row>
        <row r="221">
          <cell r="C221" t="str">
            <v>513822198609206959</v>
          </cell>
          <cell r="D221" t="str">
            <v>男</v>
          </cell>
          <cell r="E221" t="str">
            <v>汉族</v>
          </cell>
          <cell r="F221" t="str">
            <v>19860920</v>
          </cell>
          <cell r="G221">
            <v>36</v>
          </cell>
          <cell r="H221" t="str">
            <v>四川省仁寿县贵平镇中岗村2组</v>
          </cell>
          <cell r="I221" t="str">
            <v>18228101822</v>
          </cell>
        </row>
        <row r="222">
          <cell r="C222" t="str">
            <v>513822198409178949</v>
          </cell>
          <cell r="D222" t="str">
            <v>女</v>
          </cell>
          <cell r="E222" t="str">
            <v>汉族</v>
          </cell>
          <cell r="F222" t="str">
            <v>19840917</v>
          </cell>
          <cell r="G222">
            <v>38</v>
          </cell>
          <cell r="H222" t="str">
            <v>四川省仁寿县贵平镇中岗村2组</v>
          </cell>
          <cell r="I222">
            <v>18328133316</v>
          </cell>
        </row>
        <row r="223">
          <cell r="C223" t="str">
            <v>511421200803246700</v>
          </cell>
          <cell r="D223" t="str">
            <v>女</v>
          </cell>
          <cell r="E223" t="str">
            <v>汉族</v>
          </cell>
          <cell r="F223" t="str">
            <v>20080324</v>
          </cell>
          <cell r="G223">
            <v>14</v>
          </cell>
          <cell r="H223" t="str">
            <v>四川省仁寿县贵平镇中岗村2组</v>
          </cell>
        </row>
        <row r="224">
          <cell r="C224" t="str">
            <v>51382219870510694X</v>
          </cell>
          <cell r="D224" t="str">
            <v>女</v>
          </cell>
          <cell r="E224" t="str">
            <v>汉族</v>
          </cell>
          <cell r="F224" t="str">
            <v>19870510</v>
          </cell>
          <cell r="G224">
            <v>35</v>
          </cell>
          <cell r="H224" t="str">
            <v>四川省仁寿县贵平镇中岗村2组</v>
          </cell>
          <cell r="I224" t="str">
            <v>13550517307</v>
          </cell>
        </row>
        <row r="225">
          <cell r="C225" t="str">
            <v>511421201003166846</v>
          </cell>
          <cell r="D225" t="str">
            <v>女</v>
          </cell>
          <cell r="E225" t="str">
            <v>汉族</v>
          </cell>
          <cell r="F225" t="str">
            <v>20100316</v>
          </cell>
          <cell r="G225">
            <v>12</v>
          </cell>
          <cell r="H225" t="str">
            <v>四川省仁寿县贵平镇中岗村2组</v>
          </cell>
        </row>
        <row r="226">
          <cell r="C226" t="str">
            <v>511421201309256860</v>
          </cell>
          <cell r="D226" t="str">
            <v>女</v>
          </cell>
          <cell r="E226" t="str">
            <v>汉族</v>
          </cell>
          <cell r="F226" t="str">
            <v>20130925</v>
          </cell>
          <cell r="G226">
            <v>9</v>
          </cell>
          <cell r="H226" t="str">
            <v>四川省仁寿县贵平镇中岗村2组</v>
          </cell>
        </row>
        <row r="227">
          <cell r="C227" t="str">
            <v>511121195802086936</v>
          </cell>
          <cell r="D227" t="str">
            <v>男</v>
          </cell>
          <cell r="E227" t="str">
            <v>汉族</v>
          </cell>
          <cell r="F227" t="str">
            <v>19580208</v>
          </cell>
          <cell r="G227">
            <v>64</v>
          </cell>
          <cell r="H227" t="str">
            <v>四川省仁寿县贵平镇中岗村2组</v>
          </cell>
          <cell r="I227" t="str">
            <v>18482243851</v>
          </cell>
        </row>
        <row r="228">
          <cell r="C228" t="str">
            <v>511121195809106944</v>
          </cell>
          <cell r="D228" t="str">
            <v>女</v>
          </cell>
          <cell r="E228" t="str">
            <v>汉族</v>
          </cell>
          <cell r="F228" t="str">
            <v>19580910</v>
          </cell>
          <cell r="G228">
            <v>64</v>
          </cell>
          <cell r="H228" t="str">
            <v>四川省仁寿县贵平镇中岗村2组</v>
          </cell>
          <cell r="I228" t="str">
            <v>13438987673</v>
          </cell>
        </row>
        <row r="229">
          <cell r="C229" t="str">
            <v>51112119690305695X</v>
          </cell>
          <cell r="D229" t="str">
            <v>男</v>
          </cell>
          <cell r="E229" t="str">
            <v>汉族</v>
          </cell>
          <cell r="F229" t="str">
            <v>19690305</v>
          </cell>
          <cell r="G229">
            <v>53</v>
          </cell>
          <cell r="H229" t="str">
            <v>四川省仁寿县贵平镇中岗村2组</v>
          </cell>
          <cell r="I229" t="str">
            <v>18782245570</v>
          </cell>
        </row>
        <row r="230">
          <cell r="C230" t="str">
            <v>513822198911286953</v>
          </cell>
          <cell r="D230" t="str">
            <v>男</v>
          </cell>
          <cell r="E230" t="str">
            <v>汉族</v>
          </cell>
          <cell r="F230" t="str">
            <v>19891128</v>
          </cell>
          <cell r="G230">
            <v>33</v>
          </cell>
          <cell r="H230" t="str">
            <v>四川省仁寿县贵平镇中岗村2组</v>
          </cell>
        </row>
        <row r="231">
          <cell r="C231" t="str">
            <v>513822199203186956</v>
          </cell>
          <cell r="D231" t="str">
            <v>男</v>
          </cell>
          <cell r="E231" t="str">
            <v>汉族</v>
          </cell>
          <cell r="F231" t="str">
            <v>19920318</v>
          </cell>
          <cell r="G231">
            <v>30</v>
          </cell>
          <cell r="H231" t="str">
            <v>四川省仁寿县贵平镇中岗村2组</v>
          </cell>
          <cell r="I231" t="str">
            <v>?</v>
          </cell>
        </row>
        <row r="232">
          <cell r="C232" t="str">
            <v>511027196912122181</v>
          </cell>
          <cell r="D232" t="str">
            <v>女</v>
          </cell>
          <cell r="E232" t="str">
            <v>汉族</v>
          </cell>
          <cell r="F232" t="str">
            <v>19691212</v>
          </cell>
          <cell r="G232">
            <v>53</v>
          </cell>
          <cell r="H232" t="str">
            <v>四川省仁寿县贵平镇中岗村2组</v>
          </cell>
          <cell r="I232" t="str">
            <v>17361194961</v>
          </cell>
        </row>
        <row r="233">
          <cell r="C233" t="str">
            <v>511421201701270018</v>
          </cell>
          <cell r="D233" t="str">
            <v>男</v>
          </cell>
          <cell r="E233" t="str">
            <v>汉族</v>
          </cell>
          <cell r="F233" t="str">
            <v>20170127</v>
          </cell>
          <cell r="G233">
            <v>5</v>
          </cell>
          <cell r="H233" t="str">
            <v>四川省仁寿县贵平镇中岗村2组</v>
          </cell>
        </row>
        <row r="234">
          <cell r="C234" t="str">
            <v>51112119310125693X</v>
          </cell>
          <cell r="D234" t="str">
            <v>男</v>
          </cell>
          <cell r="E234" t="str">
            <v>汉族</v>
          </cell>
          <cell r="F234" t="str">
            <v>19310125</v>
          </cell>
          <cell r="G234">
            <v>91</v>
          </cell>
          <cell r="H234" t="str">
            <v>四川省仁寿县贵平镇中岗村2组</v>
          </cell>
          <cell r="I234" t="str">
            <v>?</v>
          </cell>
        </row>
        <row r="235">
          <cell r="C235" t="str">
            <v>513822199405236931</v>
          </cell>
          <cell r="D235" t="str">
            <v>男</v>
          </cell>
          <cell r="E235" t="str">
            <v>汉族</v>
          </cell>
          <cell r="F235" t="str">
            <v>19940523</v>
          </cell>
          <cell r="G235">
            <v>28</v>
          </cell>
          <cell r="H235" t="str">
            <v>四川省仁寿县贵平镇中岗村2组</v>
          </cell>
        </row>
        <row r="236">
          <cell r="C236" t="str">
            <v>511121194501206936</v>
          </cell>
          <cell r="D236" t="str">
            <v>男</v>
          </cell>
          <cell r="E236" t="str">
            <v>汉族</v>
          </cell>
          <cell r="F236" t="str">
            <v>19450120</v>
          </cell>
          <cell r="G236">
            <v>77</v>
          </cell>
          <cell r="H236" t="str">
            <v>四川省仁寿县贵平镇中岗村2组</v>
          </cell>
          <cell r="I236" t="str">
            <v>19950521463</v>
          </cell>
        </row>
        <row r="237">
          <cell r="C237" t="str">
            <v>513822199208196942</v>
          </cell>
          <cell r="D237" t="str">
            <v>女</v>
          </cell>
          <cell r="E237" t="str">
            <v>汉族</v>
          </cell>
          <cell r="F237" t="str">
            <v>19920819</v>
          </cell>
          <cell r="G237">
            <v>30</v>
          </cell>
          <cell r="H237" t="str">
            <v>四川省仁寿县贵平镇中岗村2组</v>
          </cell>
          <cell r="I237" t="str">
            <v>15583580562</v>
          </cell>
        </row>
        <row r="238">
          <cell r="C238" t="str">
            <v>511121195604046933</v>
          </cell>
          <cell r="D238" t="str">
            <v>男</v>
          </cell>
          <cell r="E238" t="str">
            <v>汉族</v>
          </cell>
          <cell r="F238" t="str">
            <v>19560404</v>
          </cell>
          <cell r="G238">
            <v>66</v>
          </cell>
          <cell r="H238" t="str">
            <v>四川省仁寿县贵平镇中岗村2组</v>
          </cell>
          <cell r="I238" t="str">
            <v>15892702306</v>
          </cell>
        </row>
        <row r="239">
          <cell r="C239" t="str">
            <v>513822198902016935</v>
          </cell>
          <cell r="D239" t="str">
            <v>男</v>
          </cell>
          <cell r="E239" t="str">
            <v>汉族</v>
          </cell>
          <cell r="F239" t="str">
            <v>19890201</v>
          </cell>
          <cell r="G239">
            <v>33</v>
          </cell>
          <cell r="H239" t="str">
            <v>四川省仁寿县贵平镇中岗村2组</v>
          </cell>
          <cell r="I239" t="str">
            <v>13018222898</v>
          </cell>
        </row>
        <row r="240">
          <cell r="C240" t="str">
            <v>513822198706266937</v>
          </cell>
          <cell r="D240" t="str">
            <v>男</v>
          </cell>
          <cell r="E240" t="str">
            <v>汉族</v>
          </cell>
          <cell r="F240" t="str">
            <v>19870626</v>
          </cell>
          <cell r="G240">
            <v>35</v>
          </cell>
          <cell r="H240" t="str">
            <v>四川省仁寿县贵平镇中岗村2组</v>
          </cell>
          <cell r="I240" t="str">
            <v>18224056270</v>
          </cell>
        </row>
        <row r="241">
          <cell r="C241" t="str">
            <v>511121196911186930</v>
          </cell>
          <cell r="D241" t="str">
            <v>男</v>
          </cell>
          <cell r="E241" t="str">
            <v>汉族</v>
          </cell>
          <cell r="F241" t="str">
            <v>19691118</v>
          </cell>
          <cell r="G241">
            <v>53</v>
          </cell>
          <cell r="H241" t="str">
            <v>四川省仁寿县贵平镇中岗村2组</v>
          </cell>
          <cell r="I241" t="str">
            <v>13551809568</v>
          </cell>
        </row>
        <row r="242">
          <cell r="C242" t="str">
            <v>511121194510166948</v>
          </cell>
          <cell r="D242" t="str">
            <v>女</v>
          </cell>
          <cell r="E242" t="str">
            <v>汉族</v>
          </cell>
          <cell r="F242" t="str">
            <v>19451016</v>
          </cell>
          <cell r="G242">
            <v>77</v>
          </cell>
          <cell r="H242" t="str">
            <v>四川省仁寿县贵平镇中岗村2组</v>
          </cell>
          <cell r="I242" t="str">
            <v>13320952209</v>
          </cell>
        </row>
        <row r="243">
          <cell r="C243" t="str">
            <v>511022196601191102</v>
          </cell>
          <cell r="D243" t="str">
            <v>女</v>
          </cell>
          <cell r="E243" t="str">
            <v>汉族</v>
          </cell>
          <cell r="F243" t="str">
            <v>19660119</v>
          </cell>
          <cell r="G243">
            <v>56</v>
          </cell>
          <cell r="H243" t="str">
            <v>四川省仁寿县贵平镇中岗村2组</v>
          </cell>
          <cell r="I243" t="str">
            <v>13980855968</v>
          </cell>
        </row>
        <row r="244">
          <cell r="C244" t="str">
            <v>513822199912286933</v>
          </cell>
          <cell r="D244" t="str">
            <v>男</v>
          </cell>
          <cell r="E244" t="str">
            <v>汉族</v>
          </cell>
          <cell r="F244" t="str">
            <v>19991228</v>
          </cell>
          <cell r="G244">
            <v>23</v>
          </cell>
          <cell r="H244" t="str">
            <v>四川省仁寿县贵平镇中岗村2组</v>
          </cell>
          <cell r="I244" t="str">
            <v>18182120426</v>
          </cell>
        </row>
        <row r="245">
          <cell r="C245" t="str">
            <v>511121197307276934</v>
          </cell>
          <cell r="D245" t="str">
            <v>男</v>
          </cell>
          <cell r="E245" t="str">
            <v>汉族</v>
          </cell>
          <cell r="F245" t="str">
            <v>19730727</v>
          </cell>
          <cell r="G245">
            <v>49</v>
          </cell>
          <cell r="H245" t="str">
            <v>四川省仁寿县贵平镇中岗村2组</v>
          </cell>
        </row>
        <row r="246">
          <cell r="C246" t="str">
            <v>5113221981104212887</v>
          </cell>
          <cell r="D246" t="str">
            <v>女</v>
          </cell>
          <cell r="E246" t="str">
            <v>汉族</v>
          </cell>
          <cell r="F246" t="str">
            <v>19811042</v>
          </cell>
          <cell r="G246">
            <v>41</v>
          </cell>
          <cell r="H246" t="str">
            <v>四川省仁寿县贵平镇中岗村2组</v>
          </cell>
          <cell r="I246" t="str">
            <v>13438490919</v>
          </cell>
        </row>
        <row r="247">
          <cell r="C247" t="str">
            <v>511421200411056713</v>
          </cell>
          <cell r="D247" t="str">
            <v>男</v>
          </cell>
          <cell r="E247" t="str">
            <v>汉族</v>
          </cell>
          <cell r="F247" t="str">
            <v>20041105</v>
          </cell>
          <cell r="G247">
            <v>18</v>
          </cell>
          <cell r="H247" t="str">
            <v>四川省仁寿县贵平镇中岗村2组</v>
          </cell>
        </row>
        <row r="248">
          <cell r="C248" t="str">
            <v>511121197808196932</v>
          </cell>
          <cell r="D248" t="str">
            <v>男</v>
          </cell>
          <cell r="E248" t="str">
            <v>汉族</v>
          </cell>
          <cell r="F248" t="str">
            <v>19780819</v>
          </cell>
          <cell r="G248">
            <v>44</v>
          </cell>
          <cell r="H248" t="str">
            <v>四川省仁寿县贵平镇中岗村2组</v>
          </cell>
          <cell r="I248" t="str">
            <v>15984332298</v>
          </cell>
        </row>
        <row r="249">
          <cell r="C249" t="str">
            <v>51112119481112694X</v>
          </cell>
          <cell r="D249" t="str">
            <v>女</v>
          </cell>
          <cell r="E249" t="str">
            <v>汉族</v>
          </cell>
          <cell r="F249" t="str">
            <v>19481112</v>
          </cell>
          <cell r="G249">
            <v>74</v>
          </cell>
          <cell r="H249" t="str">
            <v>四川省仁寿县贵平镇中岗村2组</v>
          </cell>
          <cell r="I249" t="str">
            <v>?</v>
          </cell>
        </row>
        <row r="250">
          <cell r="C250" t="str">
            <v>511121197907246931</v>
          </cell>
          <cell r="D250" t="str">
            <v>男</v>
          </cell>
          <cell r="E250" t="str">
            <v>汉族</v>
          </cell>
          <cell r="F250" t="str">
            <v>19790724</v>
          </cell>
          <cell r="G250">
            <v>43</v>
          </cell>
          <cell r="H250" t="str">
            <v>四川省仁寿县贵平镇中岗村2组</v>
          </cell>
          <cell r="I250" t="str">
            <v>13699414388</v>
          </cell>
        </row>
        <row r="251">
          <cell r="C251" t="str">
            <v>511027198111261746</v>
          </cell>
          <cell r="D251" t="str">
            <v>女</v>
          </cell>
          <cell r="E251" t="str">
            <v>汉族</v>
          </cell>
          <cell r="F251" t="str">
            <v>19811126</v>
          </cell>
          <cell r="G251">
            <v>41</v>
          </cell>
          <cell r="H251" t="str">
            <v>四川省仁寿县贵平镇中岗村2组</v>
          </cell>
          <cell r="I251" t="str">
            <v>13618035686</v>
          </cell>
        </row>
        <row r="252">
          <cell r="C252" t="str">
            <v>513822200302266690</v>
          </cell>
          <cell r="D252" t="str">
            <v>男</v>
          </cell>
          <cell r="E252" t="str">
            <v>汉族</v>
          </cell>
          <cell r="F252" t="str">
            <v>20030226</v>
          </cell>
          <cell r="G252">
            <v>19</v>
          </cell>
          <cell r="H252" t="str">
            <v>四川省仁寿县贵平镇中岗村2组</v>
          </cell>
        </row>
        <row r="253">
          <cell r="C253" t="str">
            <v>511421201112176867</v>
          </cell>
          <cell r="D253" t="str">
            <v>女</v>
          </cell>
          <cell r="E253" t="str">
            <v>汉族</v>
          </cell>
          <cell r="F253" t="str">
            <v>20111217</v>
          </cell>
          <cell r="G253">
            <v>11</v>
          </cell>
          <cell r="H253" t="str">
            <v>四川省仁寿县贵平镇中岗村2组</v>
          </cell>
        </row>
        <row r="254">
          <cell r="C254" t="str">
            <v>511121195803246946</v>
          </cell>
          <cell r="D254" t="str">
            <v>女</v>
          </cell>
          <cell r="E254" t="str">
            <v>汉族</v>
          </cell>
          <cell r="F254" t="str">
            <v>19580324</v>
          </cell>
          <cell r="G254">
            <v>64</v>
          </cell>
          <cell r="H254" t="str">
            <v>四川省仁寿县贵平镇中岗村2组</v>
          </cell>
          <cell r="I254" t="str">
            <v>15282329202</v>
          </cell>
        </row>
        <row r="255">
          <cell r="C255" t="str">
            <v>513822198508296932</v>
          </cell>
          <cell r="D255" t="str">
            <v>男</v>
          </cell>
          <cell r="E255" t="str">
            <v>汉族</v>
          </cell>
          <cell r="F255" t="str">
            <v>19850829</v>
          </cell>
          <cell r="G255">
            <v>37</v>
          </cell>
          <cell r="H255" t="str">
            <v>四川省仁寿县贵平镇中岗村2组</v>
          </cell>
          <cell r="I255" t="str">
            <v>17380951679</v>
          </cell>
        </row>
        <row r="256">
          <cell r="C256" t="str">
            <v>510623198807166129</v>
          </cell>
          <cell r="D256" t="str">
            <v>女</v>
          </cell>
          <cell r="E256" t="str">
            <v>汉族</v>
          </cell>
          <cell r="F256" t="str">
            <v>19880716</v>
          </cell>
          <cell r="G256">
            <v>34</v>
          </cell>
          <cell r="H256" t="str">
            <v>四川省仁寿县贵平镇中岗村2组</v>
          </cell>
          <cell r="I256" t="str">
            <v>13734918340</v>
          </cell>
        </row>
        <row r="257">
          <cell r="C257" t="str">
            <v>511421200811136704</v>
          </cell>
          <cell r="D257" t="str">
            <v>女</v>
          </cell>
          <cell r="E257" t="str">
            <v>汉族</v>
          </cell>
          <cell r="F257" t="str">
            <v>20081113</v>
          </cell>
          <cell r="G257">
            <v>14</v>
          </cell>
          <cell r="H257" t="str">
            <v>四川省仁寿县贵平镇中岗村2组</v>
          </cell>
        </row>
        <row r="258">
          <cell r="C258" t="str">
            <v>511121194603246963</v>
          </cell>
          <cell r="D258" t="str">
            <v>女</v>
          </cell>
          <cell r="E258" t="str">
            <v>汉族</v>
          </cell>
          <cell r="F258" t="str">
            <v>19460324</v>
          </cell>
          <cell r="G258">
            <v>76</v>
          </cell>
          <cell r="H258" t="str">
            <v>四川省仁寿县贵平镇中岗村2组</v>
          </cell>
        </row>
        <row r="259">
          <cell r="C259" t="str">
            <v>511121194201016946</v>
          </cell>
          <cell r="D259" t="str">
            <v>女</v>
          </cell>
          <cell r="E259" t="str">
            <v>汉族</v>
          </cell>
          <cell r="F259" t="str">
            <v>19420101</v>
          </cell>
          <cell r="G259">
            <v>80</v>
          </cell>
          <cell r="H259" t="str">
            <v>四川省仁寿县贵平镇中岗村2组</v>
          </cell>
          <cell r="I259" t="str">
            <v>13438825461</v>
          </cell>
        </row>
        <row r="260">
          <cell r="C260" t="str">
            <v>511121195209216955</v>
          </cell>
          <cell r="D260" t="str">
            <v>男</v>
          </cell>
          <cell r="E260" t="str">
            <v>汉族</v>
          </cell>
          <cell r="F260" t="str">
            <v>19520921</v>
          </cell>
          <cell r="G260">
            <v>70</v>
          </cell>
          <cell r="H260" t="str">
            <v>四川省仁寿县贵平镇中岗村2组</v>
          </cell>
        </row>
        <row r="261">
          <cell r="C261" t="str">
            <v>513822199008086941</v>
          </cell>
          <cell r="D261" t="str">
            <v>女</v>
          </cell>
          <cell r="E261" t="str">
            <v>汉族</v>
          </cell>
          <cell r="F261" t="str">
            <v>19900808</v>
          </cell>
          <cell r="G261">
            <v>32</v>
          </cell>
          <cell r="H261" t="str">
            <v>四川省仁寿县贵平镇中岗村2组</v>
          </cell>
          <cell r="I261" t="str">
            <v>18040354538</v>
          </cell>
        </row>
        <row r="262">
          <cell r="C262" t="str">
            <v>511421201004226839</v>
          </cell>
          <cell r="D262" t="str">
            <v>男</v>
          </cell>
          <cell r="E262" t="str">
            <v>汉族</v>
          </cell>
          <cell r="F262" t="str">
            <v>20100422</v>
          </cell>
          <cell r="G262">
            <v>12</v>
          </cell>
          <cell r="H262" t="str">
            <v>四川省仁寿县贵平镇中岗村2组</v>
          </cell>
        </row>
        <row r="263">
          <cell r="C263" t="str">
            <v>511121198001046938</v>
          </cell>
          <cell r="D263" t="str">
            <v>男</v>
          </cell>
          <cell r="E263" t="str">
            <v>汉族</v>
          </cell>
          <cell r="F263" t="str">
            <v>19800104</v>
          </cell>
          <cell r="G263">
            <v>42</v>
          </cell>
          <cell r="H263" t="str">
            <v>四川省仁寿县贵平镇中岗村2组</v>
          </cell>
        </row>
        <row r="264">
          <cell r="C264" t="str">
            <v>511121195802226935</v>
          </cell>
          <cell r="D264" t="str">
            <v>男</v>
          </cell>
          <cell r="E264" t="str">
            <v>汉族</v>
          </cell>
          <cell r="F264" t="str">
            <v>19580222</v>
          </cell>
          <cell r="G264">
            <v>64</v>
          </cell>
          <cell r="H264" t="str">
            <v>四川省仁寿县贵平镇中岗村2组</v>
          </cell>
          <cell r="I264" t="str">
            <v>18284507935</v>
          </cell>
        </row>
        <row r="265">
          <cell r="C265" t="str">
            <v>513822198903154889</v>
          </cell>
          <cell r="D265" t="str">
            <v>女</v>
          </cell>
          <cell r="E265" t="str">
            <v>汉族</v>
          </cell>
          <cell r="F265" t="str">
            <v>19890315</v>
          </cell>
          <cell r="G265">
            <v>33</v>
          </cell>
          <cell r="H265" t="str">
            <v>四川省仁寿县贵平镇中岗村2组</v>
          </cell>
          <cell r="I265" t="str">
            <v>13890333407</v>
          </cell>
        </row>
        <row r="266">
          <cell r="C266" t="str">
            <v>511421201701100182</v>
          </cell>
          <cell r="D266" t="str">
            <v>女</v>
          </cell>
          <cell r="E266" t="str">
            <v>汉族</v>
          </cell>
          <cell r="F266" t="str">
            <v>20170110</v>
          </cell>
          <cell r="G266">
            <v>5</v>
          </cell>
          <cell r="H266" t="str">
            <v>四川省仁寿县贵平镇中岗村2组</v>
          </cell>
        </row>
        <row r="267">
          <cell r="C267" t="str">
            <v>511421200901316880</v>
          </cell>
          <cell r="D267" t="str">
            <v>女</v>
          </cell>
          <cell r="E267" t="str">
            <v>汉族</v>
          </cell>
          <cell r="F267" t="str">
            <v>20090131</v>
          </cell>
          <cell r="G267">
            <v>13</v>
          </cell>
          <cell r="H267" t="str">
            <v>四川省仁寿县贵平镇中岗村2组</v>
          </cell>
        </row>
        <row r="268">
          <cell r="C268" t="str">
            <v>511121193411126946</v>
          </cell>
          <cell r="D268" t="str">
            <v>女</v>
          </cell>
          <cell r="E268" t="str">
            <v>汉族</v>
          </cell>
          <cell r="F268" t="str">
            <v>19341112</v>
          </cell>
          <cell r="G268">
            <v>88</v>
          </cell>
          <cell r="H268" t="str">
            <v>四川省仁寿县贵平镇中岗村2组</v>
          </cell>
        </row>
        <row r="269">
          <cell r="C269" t="str">
            <v>511121198201016936</v>
          </cell>
          <cell r="D269" t="str">
            <v>男</v>
          </cell>
          <cell r="E269" t="str">
            <v>汉族</v>
          </cell>
          <cell r="F269" t="str">
            <v>19820101</v>
          </cell>
          <cell r="G269">
            <v>40</v>
          </cell>
          <cell r="H269" t="str">
            <v>四川省仁寿县贵平镇中岗村2组</v>
          </cell>
          <cell r="I269" t="str">
            <v>15208458613</v>
          </cell>
        </row>
        <row r="270">
          <cell r="C270" t="str">
            <v>511121197310186972</v>
          </cell>
          <cell r="D270" t="str">
            <v>男</v>
          </cell>
          <cell r="E270" t="str">
            <v>汉族</v>
          </cell>
          <cell r="F270" t="str">
            <v>19731018</v>
          </cell>
          <cell r="G270">
            <v>49</v>
          </cell>
          <cell r="H270" t="str">
            <v>四川省仁寿县贵平镇中岗村2组</v>
          </cell>
          <cell r="I270" t="str">
            <v>17360626351</v>
          </cell>
        </row>
        <row r="271">
          <cell r="C271" t="str">
            <v>513822199508206962</v>
          </cell>
          <cell r="D271" t="str">
            <v>女</v>
          </cell>
          <cell r="E271" t="str">
            <v>汉族</v>
          </cell>
          <cell r="F271" t="str">
            <v>19950820</v>
          </cell>
          <cell r="G271">
            <v>27</v>
          </cell>
          <cell r="H271" t="str">
            <v>四川省仁寿县贵平镇中岗村2组</v>
          </cell>
          <cell r="I271" t="str">
            <v>15708438967</v>
          </cell>
        </row>
        <row r="272">
          <cell r="C272" t="str">
            <v>513822195508206962</v>
          </cell>
          <cell r="D272" t="str">
            <v>女</v>
          </cell>
          <cell r="E272" t="str">
            <v>汉族</v>
          </cell>
          <cell r="F272" t="str">
            <v>19550820</v>
          </cell>
          <cell r="G272">
            <v>67</v>
          </cell>
          <cell r="H272" t="str">
            <v>四川省仁寿县贵平镇中岗村2组</v>
          </cell>
          <cell r="I272" t="str">
            <v>18482141213</v>
          </cell>
        </row>
        <row r="273">
          <cell r="C273" t="str">
            <v>511121194011076948</v>
          </cell>
          <cell r="D273" t="str">
            <v>女</v>
          </cell>
          <cell r="E273" t="str">
            <v>汉族</v>
          </cell>
          <cell r="F273" t="str">
            <v>19401107</v>
          </cell>
          <cell r="G273">
            <v>82</v>
          </cell>
          <cell r="H273" t="str">
            <v>四川省仁寿县贵平镇中岗村2组</v>
          </cell>
          <cell r="I273" t="str">
            <v>13990323831</v>
          </cell>
        </row>
        <row r="274">
          <cell r="C274" t="str">
            <v>511121197701026941</v>
          </cell>
          <cell r="D274" t="str">
            <v>女</v>
          </cell>
          <cell r="E274" t="str">
            <v>汉族</v>
          </cell>
          <cell r="F274" t="str">
            <v>19770102</v>
          </cell>
          <cell r="G274">
            <v>45</v>
          </cell>
          <cell r="H274" t="str">
            <v>四川省仁寿县贵平镇中岗村2组</v>
          </cell>
          <cell r="I274" t="str">
            <v>13882062888</v>
          </cell>
        </row>
        <row r="275">
          <cell r="C275" t="str">
            <v>511121194704036930</v>
          </cell>
          <cell r="D275" t="str">
            <v>男</v>
          </cell>
          <cell r="E275" t="str">
            <v>汉族</v>
          </cell>
          <cell r="F275" t="str">
            <v>19470403</v>
          </cell>
          <cell r="G275">
            <v>75</v>
          </cell>
          <cell r="H275" t="str">
            <v>四川省仁寿县贵平镇中岗村2组</v>
          </cell>
          <cell r="I275" t="str">
            <v>18783345312</v>
          </cell>
        </row>
        <row r="276">
          <cell r="C276" t="str">
            <v>511121198011126931</v>
          </cell>
          <cell r="D276" t="str">
            <v>男</v>
          </cell>
          <cell r="E276" t="str">
            <v>汉族</v>
          </cell>
          <cell r="F276" t="str">
            <v>19801112</v>
          </cell>
          <cell r="G276">
            <v>42</v>
          </cell>
          <cell r="H276" t="str">
            <v>四川省仁寿县贵平镇中岗村2组</v>
          </cell>
          <cell r="I276" t="str">
            <v>18783345312</v>
          </cell>
        </row>
        <row r="277">
          <cell r="C277" t="str">
            <v>513822200301246735</v>
          </cell>
          <cell r="D277" t="str">
            <v>男</v>
          </cell>
          <cell r="E277" t="str">
            <v>汉族</v>
          </cell>
          <cell r="F277" t="str">
            <v>20030124</v>
          </cell>
          <cell r="G277">
            <v>19</v>
          </cell>
          <cell r="H277" t="str">
            <v>四川省仁寿县贵平镇中岗村2组</v>
          </cell>
          <cell r="I277" t="str">
            <v>18783345312</v>
          </cell>
        </row>
        <row r="278">
          <cell r="C278" t="str">
            <v>511121198103166949</v>
          </cell>
          <cell r="D278" t="str">
            <v>女</v>
          </cell>
          <cell r="E278" t="str">
            <v>汉族</v>
          </cell>
          <cell r="F278" t="str">
            <v>19810316</v>
          </cell>
          <cell r="G278">
            <v>41</v>
          </cell>
          <cell r="H278" t="str">
            <v>四川省仁寿县贵平镇中岗村2组</v>
          </cell>
          <cell r="I278" t="str">
            <v>18783345312</v>
          </cell>
        </row>
        <row r="279">
          <cell r="C279" t="str">
            <v>51112119520329694X</v>
          </cell>
          <cell r="D279" t="str">
            <v>女</v>
          </cell>
          <cell r="E279" t="str">
            <v>汉族</v>
          </cell>
          <cell r="F279" t="str">
            <v>19520329</v>
          </cell>
          <cell r="G279">
            <v>70</v>
          </cell>
          <cell r="H279" t="str">
            <v>四川省仁寿县贵平镇中岗村2组</v>
          </cell>
          <cell r="I279" t="str">
            <v>18783345312</v>
          </cell>
        </row>
        <row r="280">
          <cell r="C280" t="str">
            <v>513822199205126930</v>
          </cell>
          <cell r="D280" t="str">
            <v>男</v>
          </cell>
          <cell r="E280" t="str">
            <v>汉族</v>
          </cell>
          <cell r="F280" t="str">
            <v>19920512</v>
          </cell>
          <cell r="G280">
            <v>30</v>
          </cell>
          <cell r="H280" t="str">
            <v>四川省仁寿县贵平镇中岗村2组</v>
          </cell>
          <cell r="I280" t="str">
            <v>13551239752</v>
          </cell>
        </row>
        <row r="281">
          <cell r="C281" t="str">
            <v>511121197805016940</v>
          </cell>
          <cell r="D281" t="str">
            <v>女</v>
          </cell>
          <cell r="E281" t="str">
            <v>汉族</v>
          </cell>
          <cell r="F281" t="str">
            <v>19780501</v>
          </cell>
          <cell r="G281">
            <v>44</v>
          </cell>
          <cell r="H281" t="str">
            <v>四川省仁寿县贵平镇中岗村2组</v>
          </cell>
          <cell r="I281" t="str">
            <v>15328030354</v>
          </cell>
        </row>
        <row r="282">
          <cell r="C282" t="str">
            <v>51303019680216513X</v>
          </cell>
          <cell r="D282" t="str">
            <v>男</v>
          </cell>
          <cell r="E282" t="str">
            <v>汉族</v>
          </cell>
          <cell r="F282" t="str">
            <v>19680216</v>
          </cell>
          <cell r="G282">
            <v>54</v>
          </cell>
          <cell r="H282" t="str">
            <v>四川省仁寿县贵平镇中岗村2组</v>
          </cell>
          <cell r="I282" t="str">
            <v>13880633803</v>
          </cell>
        </row>
        <row r="283">
          <cell r="C283" t="str">
            <v>513030199707025132</v>
          </cell>
          <cell r="D283" t="str">
            <v>男</v>
          </cell>
          <cell r="E283" t="str">
            <v>汉族</v>
          </cell>
          <cell r="F283" t="str">
            <v>19970702</v>
          </cell>
          <cell r="G283">
            <v>25</v>
          </cell>
          <cell r="H283" t="str">
            <v>四川省仁寿县贵平镇中岗村2组</v>
          </cell>
          <cell r="I283" t="str">
            <v>17358644156</v>
          </cell>
        </row>
        <row r="284">
          <cell r="C284" t="str">
            <v>511121195707126944</v>
          </cell>
          <cell r="D284" t="str">
            <v>女</v>
          </cell>
          <cell r="E284" t="str">
            <v>汉族</v>
          </cell>
          <cell r="F284" t="str">
            <v>19570712</v>
          </cell>
          <cell r="G284">
            <v>65</v>
          </cell>
          <cell r="H284" t="str">
            <v>四川省仁寿县贵平镇中岗村2组</v>
          </cell>
          <cell r="I284" t="str">
            <v>13308192979</v>
          </cell>
        </row>
        <row r="285">
          <cell r="C285" t="str">
            <v>511121198209186948</v>
          </cell>
          <cell r="D285" t="str">
            <v>女</v>
          </cell>
          <cell r="E285" t="str">
            <v>汉族</v>
          </cell>
          <cell r="F285" t="str">
            <v>19820918</v>
          </cell>
          <cell r="G285">
            <v>40</v>
          </cell>
          <cell r="H285" t="str">
            <v>四川省仁寿县贵平镇中岗村2组</v>
          </cell>
          <cell r="I285" t="str">
            <v>?</v>
          </cell>
        </row>
        <row r="286">
          <cell r="C286" t="str">
            <v>513822199207076762</v>
          </cell>
          <cell r="D286" t="str">
            <v>女</v>
          </cell>
          <cell r="E286" t="str">
            <v>汉族</v>
          </cell>
          <cell r="F286" t="str">
            <v>19920707</v>
          </cell>
          <cell r="G286">
            <v>30</v>
          </cell>
          <cell r="H286" t="str">
            <v>四川省仁寿县贵平镇中岗村2组</v>
          </cell>
          <cell r="I286" t="str">
            <v>15760376987</v>
          </cell>
        </row>
        <row r="287">
          <cell r="C287" t="str">
            <v>511121194305296938</v>
          </cell>
          <cell r="D287" t="str">
            <v>男</v>
          </cell>
          <cell r="E287" t="str">
            <v>汉族</v>
          </cell>
          <cell r="F287" t="str">
            <v>19430529</v>
          </cell>
          <cell r="G287">
            <v>79</v>
          </cell>
          <cell r="H287" t="str">
            <v>四川省仁寿县贵平镇中岗村2组</v>
          </cell>
          <cell r="I287" t="str">
            <v>13056613510</v>
          </cell>
        </row>
        <row r="288">
          <cell r="C288" t="str">
            <v>511121194811096947</v>
          </cell>
          <cell r="D288" t="str">
            <v>女</v>
          </cell>
          <cell r="E288" t="str">
            <v>汉族</v>
          </cell>
          <cell r="F288" t="str">
            <v>19481109</v>
          </cell>
          <cell r="G288">
            <v>74</v>
          </cell>
          <cell r="H288" t="str">
            <v>四川省仁寿县贵平镇中岗村2组</v>
          </cell>
        </row>
        <row r="289">
          <cell r="C289" t="str">
            <v>511121197102206932</v>
          </cell>
          <cell r="D289" t="str">
            <v>男</v>
          </cell>
          <cell r="E289" t="str">
            <v>汉族</v>
          </cell>
          <cell r="F289" t="str">
            <v>19710220</v>
          </cell>
          <cell r="G289">
            <v>51</v>
          </cell>
          <cell r="H289" t="str">
            <v>四川省仁寿县贵平镇中岗村2组</v>
          </cell>
          <cell r="I289" t="str">
            <v>13198534738</v>
          </cell>
        </row>
        <row r="290">
          <cell r="C290" t="str">
            <v>511121196908106848</v>
          </cell>
          <cell r="D290" t="str">
            <v>女</v>
          </cell>
          <cell r="E290" t="str">
            <v>汉族</v>
          </cell>
          <cell r="F290" t="str">
            <v>19690810</v>
          </cell>
          <cell r="G290">
            <v>53</v>
          </cell>
          <cell r="H290" t="str">
            <v>四川省仁寿县贵平镇中岗村2组</v>
          </cell>
          <cell r="I290" t="str">
            <v>18180996415</v>
          </cell>
        </row>
        <row r="291">
          <cell r="C291" t="str">
            <v>513822199312056931</v>
          </cell>
          <cell r="D291" t="str">
            <v>男</v>
          </cell>
          <cell r="E291" t="str">
            <v>汉族</v>
          </cell>
          <cell r="F291" t="str">
            <v>19931205</v>
          </cell>
          <cell r="G291">
            <v>29</v>
          </cell>
          <cell r="H291" t="str">
            <v>四川省仁寿县贵平镇中岗村2组</v>
          </cell>
          <cell r="I291" t="str">
            <v>18200207288</v>
          </cell>
        </row>
        <row r="292">
          <cell r="C292" t="str">
            <v>510902199010263625</v>
          </cell>
          <cell r="D292" t="str">
            <v>女</v>
          </cell>
          <cell r="E292" t="str">
            <v>汉族</v>
          </cell>
          <cell r="F292" t="str">
            <v>19901026</v>
          </cell>
          <cell r="G292">
            <v>32</v>
          </cell>
          <cell r="H292" t="str">
            <v>四川省仁寿县贵平镇中岗村2组</v>
          </cell>
          <cell r="I292" t="str">
            <v>13540493098</v>
          </cell>
        </row>
        <row r="293">
          <cell r="C293" t="str">
            <v>51142120190714018X</v>
          </cell>
          <cell r="D293" t="str">
            <v>女</v>
          </cell>
          <cell r="E293" t="str">
            <v>汉族</v>
          </cell>
          <cell r="F293" t="str">
            <v>20190714</v>
          </cell>
          <cell r="G293">
            <v>3</v>
          </cell>
          <cell r="H293" t="str">
            <v>四川省仁寿县贵平镇中岗村2组</v>
          </cell>
        </row>
        <row r="294">
          <cell r="C294" t="str">
            <v>511121192803026958</v>
          </cell>
          <cell r="D294" t="str">
            <v>男</v>
          </cell>
          <cell r="E294" t="str">
            <v>汉族</v>
          </cell>
          <cell r="F294" t="str">
            <v>19280302</v>
          </cell>
          <cell r="G294">
            <v>94</v>
          </cell>
          <cell r="H294" t="str">
            <v>四川省仁寿县贵平镇中岗村2组</v>
          </cell>
        </row>
        <row r="295">
          <cell r="C295" t="str">
            <v>511121195705136946</v>
          </cell>
          <cell r="D295" t="str">
            <v>女</v>
          </cell>
          <cell r="E295" t="str">
            <v>汉族</v>
          </cell>
          <cell r="F295" t="str">
            <v>19570513</v>
          </cell>
          <cell r="G295">
            <v>65</v>
          </cell>
          <cell r="H295" t="str">
            <v>四川省仁寿县贵平镇中岗村2组</v>
          </cell>
          <cell r="I295" t="str">
            <v>死亡2022.3月</v>
          </cell>
        </row>
        <row r="296">
          <cell r="C296" t="str">
            <v>511121198101266938</v>
          </cell>
          <cell r="D296" t="str">
            <v>男</v>
          </cell>
          <cell r="E296" t="str">
            <v>汉族</v>
          </cell>
          <cell r="F296" t="str">
            <v>19810126</v>
          </cell>
          <cell r="G296">
            <v>41</v>
          </cell>
          <cell r="H296" t="str">
            <v>四川省仁寿县贵平镇中岗村2组</v>
          </cell>
          <cell r="I296" t="str">
            <v>15558197982</v>
          </cell>
        </row>
        <row r="297">
          <cell r="C297" t="str">
            <v>511421201211086859</v>
          </cell>
          <cell r="D297" t="str">
            <v>男</v>
          </cell>
          <cell r="E297" t="str">
            <v>汉族</v>
          </cell>
          <cell r="F297" t="str">
            <v>20121108</v>
          </cell>
          <cell r="G297">
            <v>10</v>
          </cell>
          <cell r="H297" t="str">
            <v>四川省仁寿县贵平镇中岗村2组</v>
          </cell>
        </row>
        <row r="298">
          <cell r="C298" t="str">
            <v>511121194303216930</v>
          </cell>
          <cell r="D298" t="str">
            <v>男</v>
          </cell>
          <cell r="E298" t="str">
            <v>汉族</v>
          </cell>
          <cell r="F298" t="str">
            <v>19430321</v>
          </cell>
          <cell r="G298">
            <v>79</v>
          </cell>
          <cell r="H298" t="str">
            <v>四川省仁寿县贵平镇中岗村2组</v>
          </cell>
        </row>
        <row r="299">
          <cell r="C299" t="str">
            <v>511121194802196946</v>
          </cell>
          <cell r="D299" t="str">
            <v>女</v>
          </cell>
          <cell r="E299" t="str">
            <v>汉族</v>
          </cell>
          <cell r="F299" t="str">
            <v>19480219</v>
          </cell>
          <cell r="G299">
            <v>74</v>
          </cell>
          <cell r="H299" t="str">
            <v>四川省仁寿县贵平镇中岗村2组</v>
          </cell>
          <cell r="I299" t="str">
            <v>18381163046</v>
          </cell>
        </row>
        <row r="300">
          <cell r="C300" t="str">
            <v>511121197606226937</v>
          </cell>
          <cell r="D300" t="str">
            <v>男</v>
          </cell>
          <cell r="E300" t="str">
            <v>汉族</v>
          </cell>
          <cell r="F300" t="str">
            <v>19760622</v>
          </cell>
          <cell r="G300">
            <v>46</v>
          </cell>
          <cell r="H300" t="str">
            <v>四川省仁寿县贵平镇中岗村2组</v>
          </cell>
        </row>
        <row r="301">
          <cell r="C301" t="str">
            <v>511121197805136934</v>
          </cell>
          <cell r="D301" t="str">
            <v>男</v>
          </cell>
          <cell r="E301" t="str">
            <v>汉族</v>
          </cell>
          <cell r="F301" t="str">
            <v>19780513</v>
          </cell>
          <cell r="G301">
            <v>44</v>
          </cell>
          <cell r="H301" t="str">
            <v>四川省仁寿县贵平镇中岗村2组</v>
          </cell>
          <cell r="I301" t="str">
            <v>18384708630</v>
          </cell>
        </row>
        <row r="302">
          <cell r="C302" t="str">
            <v>511421201910180473</v>
          </cell>
          <cell r="D302" t="str">
            <v>男</v>
          </cell>
          <cell r="E302" t="str">
            <v>汉族</v>
          </cell>
          <cell r="F302" t="str">
            <v>20191018</v>
          </cell>
          <cell r="G302">
            <v>3</v>
          </cell>
          <cell r="H302" t="str">
            <v>四川省仁寿县贵平镇中岗村2组</v>
          </cell>
        </row>
        <row r="303">
          <cell r="C303" t="str">
            <v>511121198102036931</v>
          </cell>
          <cell r="D303" t="str">
            <v>男</v>
          </cell>
          <cell r="E303" t="str">
            <v>汉族</v>
          </cell>
          <cell r="F303" t="str">
            <v>19810203</v>
          </cell>
          <cell r="G303">
            <v>41</v>
          </cell>
          <cell r="H303" t="str">
            <v>四川省仁寿县贵平镇中岗村2组</v>
          </cell>
          <cell r="I303" t="str">
            <v>18602850686</v>
          </cell>
        </row>
        <row r="304">
          <cell r="C304" t="str">
            <v>511121198209018004</v>
          </cell>
          <cell r="D304" t="str">
            <v>女</v>
          </cell>
          <cell r="E304" t="str">
            <v>汉族</v>
          </cell>
          <cell r="F304" t="str">
            <v>19820901</v>
          </cell>
          <cell r="G304">
            <v>40</v>
          </cell>
          <cell r="H304" t="str">
            <v>四川省仁寿县贵平镇中岗村2组</v>
          </cell>
          <cell r="I304" t="str">
            <v>18628285930</v>
          </cell>
        </row>
        <row r="305">
          <cell r="C305" t="str">
            <v>511421201512170106</v>
          </cell>
          <cell r="D305" t="str">
            <v>女</v>
          </cell>
          <cell r="E305" t="str">
            <v>汉族</v>
          </cell>
          <cell r="F305" t="str">
            <v>20151217</v>
          </cell>
          <cell r="G305">
            <v>7</v>
          </cell>
          <cell r="H305" t="str">
            <v>四川省仁寿县贵平镇中岗村2组</v>
          </cell>
        </row>
        <row r="306">
          <cell r="C306" t="str">
            <v>513822200312158028</v>
          </cell>
          <cell r="D306" t="str">
            <v>女</v>
          </cell>
          <cell r="E306" t="str">
            <v>汉族</v>
          </cell>
          <cell r="F306" t="str">
            <v>20031215</v>
          </cell>
          <cell r="G306">
            <v>19</v>
          </cell>
          <cell r="H306" t="str">
            <v>四川省仁寿县贵平镇中岗村2组</v>
          </cell>
        </row>
        <row r="307">
          <cell r="C307" t="str">
            <v>513822198912266938</v>
          </cell>
          <cell r="D307" t="str">
            <v>男</v>
          </cell>
          <cell r="E307" t="str">
            <v>汉族</v>
          </cell>
          <cell r="F307" t="str">
            <v>19891226</v>
          </cell>
          <cell r="G307">
            <v>33</v>
          </cell>
          <cell r="H307" t="str">
            <v>四川省仁寿县贵平镇中岗村2组</v>
          </cell>
          <cell r="I307" t="str">
            <v>13540858163</v>
          </cell>
        </row>
        <row r="308">
          <cell r="C308" t="str">
            <v>511421201201176770</v>
          </cell>
          <cell r="D308" t="str">
            <v>男</v>
          </cell>
          <cell r="E308" t="str">
            <v>汉族</v>
          </cell>
          <cell r="F308" t="str">
            <v>20120117</v>
          </cell>
          <cell r="G308">
            <v>10</v>
          </cell>
          <cell r="H308" t="str">
            <v>四川省仁寿县贵平镇中岗村2组</v>
          </cell>
        </row>
        <row r="309">
          <cell r="C309" t="str">
            <v>511421201711160066</v>
          </cell>
          <cell r="D309" t="str">
            <v>女</v>
          </cell>
          <cell r="E309" t="str">
            <v>汉族</v>
          </cell>
          <cell r="F309" t="str">
            <v>20171116</v>
          </cell>
          <cell r="G309">
            <v>5</v>
          </cell>
          <cell r="H309" t="str">
            <v>四川省仁寿县贵平镇中岗村2组</v>
          </cell>
        </row>
        <row r="310">
          <cell r="C310" t="str">
            <v>511112198205046941</v>
          </cell>
          <cell r="D310" t="str">
            <v>女</v>
          </cell>
          <cell r="E310" t="str">
            <v>汉族</v>
          </cell>
          <cell r="F310" t="str">
            <v>19820504</v>
          </cell>
          <cell r="G310">
            <v>40</v>
          </cell>
          <cell r="H310" t="str">
            <v>四川省仁寿县贵平镇中岗村2组</v>
          </cell>
          <cell r="I310" t="str">
            <v>18481089585</v>
          </cell>
        </row>
        <row r="311">
          <cell r="C311" t="str">
            <v>511121194210096933</v>
          </cell>
          <cell r="D311" t="str">
            <v>男</v>
          </cell>
          <cell r="E311" t="str">
            <v>汉族</v>
          </cell>
          <cell r="F311" t="str">
            <v>19421009</v>
          </cell>
          <cell r="G311">
            <v>80</v>
          </cell>
          <cell r="H311" t="str">
            <v>四川省仁寿县贵平镇中岗村2组</v>
          </cell>
          <cell r="I311" t="str">
            <v>15883319936</v>
          </cell>
        </row>
        <row r="312">
          <cell r="C312" t="str">
            <v>511121195110106940</v>
          </cell>
          <cell r="D312" t="str">
            <v>女</v>
          </cell>
          <cell r="E312" t="str">
            <v>汉族</v>
          </cell>
          <cell r="F312" t="str">
            <v>19511010</v>
          </cell>
          <cell r="G312">
            <v>71</v>
          </cell>
          <cell r="H312" t="str">
            <v>四川省仁寿县贵平镇中岗村2组</v>
          </cell>
          <cell r="I312" t="str">
            <v>13688250975</v>
          </cell>
        </row>
        <row r="313">
          <cell r="C313" t="str">
            <v>511121197410186945</v>
          </cell>
          <cell r="D313" t="str">
            <v>女</v>
          </cell>
          <cell r="E313" t="str">
            <v>汉族</v>
          </cell>
          <cell r="F313" t="str">
            <v>19741018</v>
          </cell>
          <cell r="G313">
            <v>48</v>
          </cell>
          <cell r="H313" t="str">
            <v>四川省仁寿县贵平镇中岗村2组</v>
          </cell>
          <cell r="I313" t="str">
            <v>17381138983</v>
          </cell>
        </row>
        <row r="314">
          <cell r="C314" t="str">
            <v>513822200212086725</v>
          </cell>
          <cell r="D314" t="str">
            <v>女</v>
          </cell>
          <cell r="E314" t="str">
            <v>汉族</v>
          </cell>
          <cell r="F314" t="str">
            <v>20021208</v>
          </cell>
          <cell r="G314">
            <v>20</v>
          </cell>
          <cell r="H314" t="str">
            <v>四川省仁寿县贵平镇中岗村2组</v>
          </cell>
          <cell r="I314" t="str">
            <v>18683865625</v>
          </cell>
        </row>
        <row r="315">
          <cell r="C315" t="str">
            <v>511121197806196955</v>
          </cell>
          <cell r="D315" t="str">
            <v>男</v>
          </cell>
          <cell r="E315" t="str">
            <v>汉族</v>
          </cell>
          <cell r="F315" t="str">
            <v>19780619</v>
          </cell>
          <cell r="G315">
            <v>44</v>
          </cell>
          <cell r="H315" t="str">
            <v>四川省仁寿县贵平镇中岗村2组</v>
          </cell>
          <cell r="I315" t="str">
            <v>13258333250</v>
          </cell>
        </row>
        <row r="316">
          <cell r="C316" t="str">
            <v>511121197109076931</v>
          </cell>
          <cell r="D316" t="str">
            <v>男</v>
          </cell>
          <cell r="E316" t="str">
            <v>汉族</v>
          </cell>
          <cell r="F316" t="str">
            <v>19710907</v>
          </cell>
          <cell r="G316">
            <v>51</v>
          </cell>
          <cell r="H316" t="str">
            <v>四川省仁寿县贵平镇中岗村2组</v>
          </cell>
        </row>
        <row r="317">
          <cell r="C317" t="str">
            <v>511121196707186941</v>
          </cell>
          <cell r="D317" t="str">
            <v>女</v>
          </cell>
          <cell r="E317" t="str">
            <v>汉族</v>
          </cell>
          <cell r="F317" t="str">
            <v>19670718</v>
          </cell>
          <cell r="G317">
            <v>55</v>
          </cell>
          <cell r="H317" t="str">
            <v>四川省仁寿县贵平镇中岗村2组</v>
          </cell>
          <cell r="I317" t="str">
            <v>13154944150</v>
          </cell>
        </row>
        <row r="318">
          <cell r="C318" t="str">
            <v>511121193410106943</v>
          </cell>
          <cell r="D318" t="str">
            <v>女</v>
          </cell>
          <cell r="E318" t="str">
            <v>汉族</v>
          </cell>
          <cell r="F318" t="str">
            <v>19341010</v>
          </cell>
          <cell r="G318">
            <v>88</v>
          </cell>
          <cell r="H318" t="str">
            <v>四川省仁寿县贵平镇中岗村2组</v>
          </cell>
        </row>
        <row r="320">
          <cell r="C320" t="str">
            <v>511121193906016933</v>
          </cell>
          <cell r="D320" t="str">
            <v>男</v>
          </cell>
          <cell r="E320" t="str">
            <v>汉族</v>
          </cell>
          <cell r="F320" t="str">
            <v>19390601</v>
          </cell>
          <cell r="G320">
            <v>83</v>
          </cell>
          <cell r="H320" t="str">
            <v>四川省仁寿县贵平镇中岗村3组</v>
          </cell>
          <cell r="I320" t="str">
            <v>死亡</v>
          </cell>
        </row>
        <row r="323">
          <cell r="C323" t="str">
            <v>511421200911116807</v>
          </cell>
          <cell r="D323" t="str">
            <v>女</v>
          </cell>
          <cell r="E323" t="str">
            <v>汉族</v>
          </cell>
          <cell r="F323" t="str">
            <v>20091111</v>
          </cell>
          <cell r="G323">
            <v>13</v>
          </cell>
          <cell r="H323" t="str">
            <v>四川省仁寿县贵平镇中岗村3组</v>
          </cell>
          <cell r="I323" t="str">
            <v>迁出</v>
          </cell>
        </row>
        <row r="324">
          <cell r="C324" t="str">
            <v>51382219920614695X</v>
          </cell>
          <cell r="D324" t="str">
            <v>男</v>
          </cell>
          <cell r="E324" t="str">
            <v>汉族</v>
          </cell>
          <cell r="F324" t="str">
            <v>19920614</v>
          </cell>
          <cell r="G324">
            <v>30</v>
          </cell>
          <cell r="H324" t="str">
            <v>四川省仁寿县贵平镇中岗村3组</v>
          </cell>
          <cell r="I324" t="str">
            <v>户口不在本组</v>
          </cell>
        </row>
        <row r="325">
          <cell r="C325" t="str">
            <v>511421201111186852</v>
          </cell>
          <cell r="D325" t="str">
            <v>男</v>
          </cell>
          <cell r="E325" t="str">
            <v>汉族</v>
          </cell>
          <cell r="F325" t="str">
            <v>20111118</v>
          </cell>
          <cell r="G325">
            <v>11</v>
          </cell>
          <cell r="H325" t="str">
            <v>四川省仁寿县贵平镇中岗村3组</v>
          </cell>
          <cell r="I325" t="str">
            <v>迁出</v>
          </cell>
        </row>
        <row r="326">
          <cell r="C326" t="str">
            <v>511121196407016940</v>
          </cell>
          <cell r="D326" t="str">
            <v>女</v>
          </cell>
          <cell r="E326" t="str">
            <v>汉族</v>
          </cell>
          <cell r="F326" t="str">
            <v>19640701</v>
          </cell>
          <cell r="G326">
            <v>58</v>
          </cell>
          <cell r="H326" t="str">
            <v>四川省仁寿县贵平镇中岗村4组</v>
          </cell>
        </row>
        <row r="328">
          <cell r="D328" t="e">
            <v>#VALUE!</v>
          </cell>
          <cell r="E328" t="str">
            <v>汉族</v>
          </cell>
          <cell r="F328" t="str">
            <v/>
          </cell>
          <cell r="G328" t="e">
            <v>#VALUE!</v>
          </cell>
          <cell r="H328" t="str">
            <v>四川省仁寿县贵平镇中岗村4组</v>
          </cell>
        </row>
        <row r="378">
          <cell r="C378" t="str">
            <v>513822198906156943</v>
          </cell>
          <cell r="D378" t="str">
            <v>女</v>
          </cell>
          <cell r="E378" t="str">
            <v>汉族</v>
          </cell>
          <cell r="F378" t="str">
            <v>19890615</v>
          </cell>
          <cell r="G378">
            <v>33</v>
          </cell>
          <cell r="H378" t="str">
            <v>四川省仁寿县贵平镇中岗村4组</v>
          </cell>
          <cell r="I378" t="str">
            <v>迁出</v>
          </cell>
        </row>
        <row r="446">
          <cell r="C446" t="str">
            <v>513822198911216947</v>
          </cell>
          <cell r="D446" t="str">
            <v>女</v>
          </cell>
          <cell r="E446" t="str">
            <v>汉族</v>
          </cell>
          <cell r="F446" t="str">
            <v>19891121</v>
          </cell>
          <cell r="G446">
            <v>33</v>
          </cell>
          <cell r="H446" t="str">
            <v>四川省仁寿县贵平镇中岗村4组</v>
          </cell>
          <cell r="I446" t="str">
            <v>迁出</v>
          </cell>
        </row>
        <row r="463">
          <cell r="C463" t="str">
            <v>513822198704156945</v>
          </cell>
          <cell r="D463" t="str">
            <v>女</v>
          </cell>
          <cell r="E463" t="str">
            <v>汉族</v>
          </cell>
          <cell r="F463" t="str">
            <v>19870415</v>
          </cell>
          <cell r="G463">
            <v>35</v>
          </cell>
          <cell r="H463" t="str">
            <v>四川省仁寿县贵平镇中岗村4组</v>
          </cell>
          <cell r="I463" t="str">
            <v>?</v>
          </cell>
        </row>
        <row r="471">
          <cell r="C471" t="str">
            <v>51112119360812694X</v>
          </cell>
          <cell r="D471" t="str">
            <v>女</v>
          </cell>
          <cell r="E471" t="str">
            <v>汉族</v>
          </cell>
          <cell r="F471" t="str">
            <v>19360812</v>
          </cell>
          <cell r="G471">
            <v>86</v>
          </cell>
          <cell r="H471" t="str">
            <v>四川省仁寿县贵平镇中岗村4组</v>
          </cell>
          <cell r="I471" t="str">
            <v>死亡</v>
          </cell>
        </row>
        <row r="475">
          <cell r="C475" t="str">
            <v>51112119711105693X</v>
          </cell>
          <cell r="D475" t="str">
            <v>男</v>
          </cell>
          <cell r="E475" t="str">
            <v>汉族</v>
          </cell>
          <cell r="F475" t="str">
            <v>19711105</v>
          </cell>
          <cell r="G475">
            <v>51</v>
          </cell>
          <cell r="H475" t="str">
            <v>四川省仁寿县贵平镇中岗村4组</v>
          </cell>
          <cell r="I475" t="str">
            <v>17780553982</v>
          </cell>
        </row>
        <row r="479">
          <cell r="C479" t="str">
            <v>511121192802086940</v>
          </cell>
          <cell r="D479" t="str">
            <v>女</v>
          </cell>
          <cell r="E479" t="str">
            <v>汉族</v>
          </cell>
          <cell r="F479" t="str">
            <v>19280208</v>
          </cell>
          <cell r="G479">
            <v>94</v>
          </cell>
          <cell r="H479" t="str">
            <v>四川省仁寿县贵平镇中岗村4组</v>
          </cell>
          <cell r="I479" t="str">
            <v>死亡</v>
          </cell>
        </row>
        <row r="530">
          <cell r="C530" t="str">
            <v>513822200210136725</v>
          </cell>
          <cell r="D530" t="str">
            <v>女</v>
          </cell>
          <cell r="E530" t="str">
            <v>汉族</v>
          </cell>
          <cell r="F530" t="str">
            <v>20021013</v>
          </cell>
          <cell r="G530">
            <v>20</v>
          </cell>
          <cell r="H530" t="str">
            <v>四川省仁寿县贵平镇中岗村5组</v>
          </cell>
          <cell r="I530" t="str">
            <v>18398035705</v>
          </cell>
        </row>
        <row r="532">
          <cell r="C532" t="str">
            <v>511121197309256953</v>
          </cell>
          <cell r="D532" t="str">
            <v>男</v>
          </cell>
          <cell r="E532" t="str">
            <v>汉族</v>
          </cell>
          <cell r="F532" t="str">
            <v>19730925</v>
          </cell>
          <cell r="G532">
            <v>49</v>
          </cell>
          <cell r="H532" t="str">
            <v>四川省仁寿县贵平镇中岗村5组</v>
          </cell>
          <cell r="I532" t="str">
            <v>15328771105</v>
          </cell>
        </row>
        <row r="533">
          <cell r="C533" t="str">
            <v>511121197104286761</v>
          </cell>
          <cell r="D533" t="str">
            <v>女</v>
          </cell>
          <cell r="E533" t="str">
            <v>汉族</v>
          </cell>
          <cell r="F533" t="str">
            <v>19710428</v>
          </cell>
          <cell r="G533">
            <v>51</v>
          </cell>
          <cell r="H533" t="str">
            <v>四川省仁寿县贵平镇中岗村5组</v>
          </cell>
        </row>
        <row r="535">
          <cell r="C535" t="str">
            <v>513822199007296963</v>
          </cell>
          <cell r="D535" t="str">
            <v>女</v>
          </cell>
          <cell r="E535" t="str">
            <v>汉族</v>
          </cell>
          <cell r="F535" t="str">
            <v>19900729</v>
          </cell>
          <cell r="G535">
            <v>32</v>
          </cell>
          <cell r="H535" t="str">
            <v>四川省仁寿县贵平镇中岗村5组</v>
          </cell>
        </row>
        <row r="536">
          <cell r="C536" t="str">
            <v>513822199404286937</v>
          </cell>
          <cell r="D536" t="str">
            <v>男</v>
          </cell>
          <cell r="E536" t="str">
            <v>汉族</v>
          </cell>
          <cell r="F536" t="str">
            <v>19940428</v>
          </cell>
          <cell r="G536">
            <v>28</v>
          </cell>
          <cell r="H536" t="str">
            <v>四川省仁寿县贵平镇中岗村5组</v>
          </cell>
        </row>
        <row r="537">
          <cell r="C537" t="str">
            <v>511421201110256943</v>
          </cell>
          <cell r="D537" t="str">
            <v>女</v>
          </cell>
          <cell r="E537" t="str">
            <v>汉族</v>
          </cell>
          <cell r="F537" t="str">
            <v>20111025</v>
          </cell>
          <cell r="G537">
            <v>11</v>
          </cell>
          <cell r="H537" t="str">
            <v>四川省仁寿县贵平镇中岗村5组</v>
          </cell>
          <cell r="I537" t="str">
            <v>迁出</v>
          </cell>
        </row>
        <row r="538">
          <cell r="C538" t="str">
            <v>513822199209086948</v>
          </cell>
          <cell r="D538" t="str">
            <v>女</v>
          </cell>
          <cell r="E538" t="str">
            <v>汉族</v>
          </cell>
          <cell r="F538" t="str">
            <v>19920908</v>
          </cell>
          <cell r="G538">
            <v>30</v>
          </cell>
          <cell r="H538" t="str">
            <v>四川省仁寿县贵平镇中岗村5组</v>
          </cell>
          <cell r="I538" t="str">
            <v>迁出</v>
          </cell>
        </row>
        <row r="546">
          <cell r="C546" t="str">
            <v>513822199705046945</v>
          </cell>
          <cell r="D546" t="str">
            <v>女</v>
          </cell>
          <cell r="E546" t="str">
            <v>汉族</v>
          </cell>
          <cell r="F546" t="str">
            <v>19970504</v>
          </cell>
          <cell r="G546">
            <v>25</v>
          </cell>
          <cell r="H546" t="str">
            <v>四川省仁寿县贵平镇中岗村6组</v>
          </cell>
          <cell r="I546" t="str">
            <v>1822702053</v>
          </cell>
        </row>
        <row r="642">
          <cell r="C642" t="str">
            <v>511121196812056938</v>
          </cell>
          <cell r="D642" t="str">
            <v>男</v>
          </cell>
          <cell r="E642" t="str">
            <v>汉族</v>
          </cell>
          <cell r="F642" t="str">
            <v>19681205</v>
          </cell>
          <cell r="G642">
            <v>53</v>
          </cell>
          <cell r="H642" t="str">
            <v>四川省仁寿县贵平镇中岗村8组</v>
          </cell>
          <cell r="I642" t="str">
            <v>17319381729</v>
          </cell>
        </row>
        <row r="643">
          <cell r="C643" t="str">
            <v>511121193507196949</v>
          </cell>
          <cell r="D643" t="str">
            <v>女</v>
          </cell>
          <cell r="E643" t="str">
            <v>汉族</v>
          </cell>
          <cell r="F643" t="str">
            <v>19350719</v>
          </cell>
          <cell r="G643">
            <v>86</v>
          </cell>
          <cell r="H643" t="str">
            <v>四川省仁寿县贵平镇中岗村8组</v>
          </cell>
          <cell r="I643" t="str">
            <v>18481072292</v>
          </cell>
        </row>
        <row r="678">
          <cell r="C678" t="str">
            <v>511121194410157331</v>
          </cell>
          <cell r="D678" t="str">
            <v>男</v>
          </cell>
          <cell r="E678" t="str">
            <v>汉族</v>
          </cell>
          <cell r="F678" t="str">
            <v>19441015</v>
          </cell>
          <cell r="G678">
            <v>77</v>
          </cell>
          <cell r="H678" t="str">
            <v>四川省仁寿县贵平镇中岗村9组</v>
          </cell>
          <cell r="I678">
            <v>13158769619</v>
          </cell>
        </row>
        <row r="679">
          <cell r="C679" t="str">
            <v>51112119460610694X</v>
          </cell>
          <cell r="D679" t="str">
            <v>女</v>
          </cell>
          <cell r="E679" t="str">
            <v>汉族</v>
          </cell>
          <cell r="F679" t="str">
            <v>19460610</v>
          </cell>
          <cell r="G679">
            <v>75</v>
          </cell>
          <cell r="H679" t="str">
            <v>四川省仁寿县贵平镇中岗村9组</v>
          </cell>
        </row>
        <row r="680">
          <cell r="C680" t="str">
            <v>511121196306166974</v>
          </cell>
          <cell r="D680" t="str">
            <v>男</v>
          </cell>
          <cell r="E680" t="str">
            <v>汉族</v>
          </cell>
          <cell r="F680" t="str">
            <v>19630616</v>
          </cell>
          <cell r="G680">
            <v>58</v>
          </cell>
          <cell r="H680" t="str">
            <v>四川省仁寿县贵平镇中岗村9组</v>
          </cell>
          <cell r="I680">
            <v>17883029982</v>
          </cell>
        </row>
        <row r="681">
          <cell r="C681" t="str">
            <v>513822198807076948</v>
          </cell>
          <cell r="D681" t="str">
            <v>女</v>
          </cell>
          <cell r="E681" t="str">
            <v>汉族</v>
          </cell>
          <cell r="F681" t="str">
            <v>19880707</v>
          </cell>
          <cell r="G681">
            <v>33</v>
          </cell>
          <cell r="H681" t="str">
            <v>四川省仁寿县贵平镇中岗村9组</v>
          </cell>
          <cell r="I681">
            <v>15928035805</v>
          </cell>
        </row>
        <row r="682">
          <cell r="C682" t="str">
            <v>513822198708156942</v>
          </cell>
          <cell r="D682" t="str">
            <v>女</v>
          </cell>
          <cell r="E682" t="str">
            <v>汉族</v>
          </cell>
          <cell r="F682" t="str">
            <v>19870815</v>
          </cell>
          <cell r="G682">
            <v>34</v>
          </cell>
          <cell r="H682" t="str">
            <v>四川省仁寿县贵平镇中岗村9组</v>
          </cell>
          <cell r="I682">
            <v>18121842331</v>
          </cell>
        </row>
        <row r="683">
          <cell r="C683" t="str">
            <v>511421201411226852</v>
          </cell>
          <cell r="D683" t="str">
            <v>男</v>
          </cell>
          <cell r="E683" t="str">
            <v>汉族</v>
          </cell>
          <cell r="F683" t="str">
            <v>20141122</v>
          </cell>
          <cell r="G683">
            <v>7</v>
          </cell>
          <cell r="H683" t="str">
            <v>四川省仁寿县贵平镇中岗村9组</v>
          </cell>
        </row>
        <row r="684">
          <cell r="C684" t="str">
            <v>511121196410206948</v>
          </cell>
          <cell r="D684" t="str">
            <v>女</v>
          </cell>
          <cell r="E684" t="str">
            <v>汉族</v>
          </cell>
          <cell r="F684" t="str">
            <v>19641020</v>
          </cell>
          <cell r="G684">
            <v>57</v>
          </cell>
          <cell r="H684" t="str">
            <v>四川省仁寿县贵平镇中岗村9组</v>
          </cell>
          <cell r="I684">
            <v>15171767043</v>
          </cell>
        </row>
        <row r="685">
          <cell r="C685" t="str">
            <v>511121195404186958</v>
          </cell>
          <cell r="D685" t="str">
            <v>男</v>
          </cell>
          <cell r="E685" t="str">
            <v>汉族</v>
          </cell>
          <cell r="F685" t="str">
            <v>19540418</v>
          </cell>
          <cell r="G685">
            <v>67</v>
          </cell>
          <cell r="H685" t="str">
            <v>四川省仁寿县贵平镇中岗村9组</v>
          </cell>
          <cell r="I685">
            <v>13404061190</v>
          </cell>
        </row>
        <row r="686">
          <cell r="C686" t="str">
            <v>511121195311106947</v>
          </cell>
          <cell r="D686" t="str">
            <v>女</v>
          </cell>
          <cell r="E686" t="str">
            <v>汉族</v>
          </cell>
          <cell r="F686" t="str">
            <v>19531110</v>
          </cell>
          <cell r="G686">
            <v>68</v>
          </cell>
          <cell r="H686" t="str">
            <v>四川省仁寿县贵平镇中岗村9组</v>
          </cell>
        </row>
        <row r="687">
          <cell r="C687" t="str">
            <v>511121197205046935</v>
          </cell>
          <cell r="D687" t="str">
            <v>男</v>
          </cell>
          <cell r="E687" t="str">
            <v>汉族</v>
          </cell>
          <cell r="F687" t="str">
            <v>19720504</v>
          </cell>
          <cell r="G687">
            <v>49</v>
          </cell>
          <cell r="H687" t="str">
            <v>四川省仁寿县贵平镇中岗村9组</v>
          </cell>
          <cell r="I687">
            <v>15329153576</v>
          </cell>
        </row>
        <row r="688">
          <cell r="C688" t="str">
            <v>513822200006086740</v>
          </cell>
          <cell r="D688" t="str">
            <v>女</v>
          </cell>
          <cell r="E688" t="str">
            <v>汉族</v>
          </cell>
          <cell r="F688" t="str">
            <v>20000608</v>
          </cell>
          <cell r="G688">
            <v>21</v>
          </cell>
          <cell r="H688" t="str">
            <v>四川省仁寿县贵平镇中岗村9组</v>
          </cell>
        </row>
        <row r="689">
          <cell r="C689" t="str">
            <v>511121196307166933</v>
          </cell>
          <cell r="D689" t="str">
            <v>男</v>
          </cell>
          <cell r="E689" t="str">
            <v>汉族</v>
          </cell>
          <cell r="F689" t="str">
            <v>19630716</v>
          </cell>
          <cell r="G689">
            <v>58</v>
          </cell>
          <cell r="H689" t="str">
            <v>四川省仁寿县贵平镇中岗村9组</v>
          </cell>
          <cell r="I689">
            <v>19822915413</v>
          </cell>
        </row>
        <row r="690">
          <cell r="C690" t="str">
            <v>511121196607076964</v>
          </cell>
          <cell r="D690" t="str">
            <v>女</v>
          </cell>
          <cell r="E690" t="str">
            <v>汉族</v>
          </cell>
          <cell r="F690" t="str">
            <v>19660707</v>
          </cell>
          <cell r="G690">
            <v>55</v>
          </cell>
          <cell r="H690" t="str">
            <v>四川省仁寿县贵平镇中岗村9组</v>
          </cell>
          <cell r="I690">
            <v>18011573429</v>
          </cell>
        </row>
        <row r="691">
          <cell r="C691" t="str">
            <v>513822199004086936</v>
          </cell>
          <cell r="D691" t="str">
            <v>男</v>
          </cell>
          <cell r="E691" t="str">
            <v>汉族</v>
          </cell>
          <cell r="F691" t="str">
            <v>19900408</v>
          </cell>
          <cell r="G691">
            <v>31</v>
          </cell>
          <cell r="H691" t="str">
            <v>四川省仁寿县贵平镇中岗村9组</v>
          </cell>
          <cell r="I691">
            <v>15198158541</v>
          </cell>
        </row>
        <row r="692">
          <cell r="C692" t="str">
            <v>51382219920923690X</v>
          </cell>
          <cell r="D692" t="str">
            <v>女</v>
          </cell>
          <cell r="E692" t="str">
            <v>汉族</v>
          </cell>
          <cell r="F692" t="str">
            <v>19920923</v>
          </cell>
          <cell r="G692">
            <v>29</v>
          </cell>
          <cell r="H692" t="str">
            <v>四川省仁寿县贵平镇中岗村9组</v>
          </cell>
          <cell r="I692">
            <v>13699082956</v>
          </cell>
        </row>
        <row r="693">
          <cell r="C693" t="str">
            <v>51142120160109685X</v>
          </cell>
          <cell r="D693" t="str">
            <v>男</v>
          </cell>
          <cell r="E693" t="str">
            <v>汉族</v>
          </cell>
          <cell r="F693" t="str">
            <v>20160109</v>
          </cell>
          <cell r="G693">
            <v>5</v>
          </cell>
          <cell r="H693" t="str">
            <v>四川省仁寿县贵平镇中岗村9组</v>
          </cell>
        </row>
        <row r="694">
          <cell r="C694" t="str">
            <v>511121195411166939</v>
          </cell>
          <cell r="D694" t="str">
            <v>男</v>
          </cell>
          <cell r="E694" t="str">
            <v>汉族</v>
          </cell>
          <cell r="F694" t="str">
            <v>19541116</v>
          </cell>
          <cell r="G694">
            <v>67</v>
          </cell>
          <cell r="H694" t="str">
            <v>四川省仁寿县贵平镇中岗村9组</v>
          </cell>
          <cell r="I694">
            <v>15882438736</v>
          </cell>
        </row>
        <row r="695">
          <cell r="C695" t="str">
            <v>511121195111296969</v>
          </cell>
          <cell r="D695" t="str">
            <v>女</v>
          </cell>
          <cell r="E695" t="str">
            <v>汉族</v>
          </cell>
          <cell r="F695" t="str">
            <v>19511129</v>
          </cell>
          <cell r="G695">
            <v>70</v>
          </cell>
          <cell r="H695" t="str">
            <v>四川省仁寿县贵平镇中岗村9组</v>
          </cell>
          <cell r="I695">
            <v>13488902487</v>
          </cell>
        </row>
        <row r="696">
          <cell r="C696" t="str">
            <v>511121196411106949</v>
          </cell>
          <cell r="D696" t="str">
            <v>女</v>
          </cell>
          <cell r="E696" t="str">
            <v>汉族</v>
          </cell>
          <cell r="F696" t="str">
            <v>19641110</v>
          </cell>
          <cell r="G696">
            <v>57</v>
          </cell>
          <cell r="H696" t="str">
            <v>四川省仁寿县贵平镇中岗村9组</v>
          </cell>
        </row>
        <row r="697">
          <cell r="C697" t="str">
            <v>511121196408076937</v>
          </cell>
          <cell r="D697" t="str">
            <v>男</v>
          </cell>
          <cell r="E697" t="str">
            <v>汉族</v>
          </cell>
          <cell r="F697" t="str">
            <v>19640807</v>
          </cell>
          <cell r="G697">
            <v>57</v>
          </cell>
          <cell r="H697" t="str">
            <v>四川省仁寿县贵平镇中岗村9组</v>
          </cell>
          <cell r="I697">
            <v>15183339258</v>
          </cell>
        </row>
        <row r="698">
          <cell r="C698" t="str">
            <v>513822198801136946</v>
          </cell>
          <cell r="D698" t="str">
            <v>女</v>
          </cell>
          <cell r="E698" t="str">
            <v>汉族</v>
          </cell>
          <cell r="F698" t="str">
            <v>19880113</v>
          </cell>
          <cell r="G698">
            <v>33</v>
          </cell>
          <cell r="H698" t="str">
            <v>四川省仁寿县贵平镇中岗村9组</v>
          </cell>
          <cell r="I698">
            <v>17764986392</v>
          </cell>
        </row>
        <row r="699">
          <cell r="C699" t="str">
            <v>511121194203096943</v>
          </cell>
          <cell r="D699" t="str">
            <v>女</v>
          </cell>
          <cell r="E699" t="str">
            <v>汉族</v>
          </cell>
          <cell r="F699" t="str">
            <v>19420309</v>
          </cell>
          <cell r="G699">
            <v>79</v>
          </cell>
          <cell r="H699" t="str">
            <v>四川省仁寿县贵平镇中岗村9组</v>
          </cell>
          <cell r="I699">
            <v>18180043722</v>
          </cell>
        </row>
        <row r="700">
          <cell r="C700" t="str">
            <v>511121196304246938</v>
          </cell>
          <cell r="D700" t="str">
            <v>男 </v>
          </cell>
          <cell r="E700" t="str">
            <v>汉族</v>
          </cell>
          <cell r="F700" t="str">
            <v>19630424</v>
          </cell>
          <cell r="G700">
            <v>58</v>
          </cell>
          <cell r="H700" t="str">
            <v>四川省仁寿县贵平镇中岗村9组</v>
          </cell>
        </row>
        <row r="701">
          <cell r="C701" t="str">
            <v>511121196910106943</v>
          </cell>
          <cell r="D701" t="str">
            <v>女</v>
          </cell>
          <cell r="E701" t="str">
            <v>汉族</v>
          </cell>
          <cell r="F701" t="str">
            <v>19691010</v>
          </cell>
          <cell r="G701">
            <v>52</v>
          </cell>
          <cell r="H701" t="str">
            <v>四川省仁寿县贵平镇中岗村9组</v>
          </cell>
          <cell r="I701">
            <v>15283763786</v>
          </cell>
        </row>
        <row r="702">
          <cell r="C702" t="str">
            <v>513822199303156930</v>
          </cell>
          <cell r="D702" t="str">
            <v>男 </v>
          </cell>
          <cell r="E702" t="str">
            <v>汉族</v>
          </cell>
          <cell r="F702" t="str">
            <v>19930315</v>
          </cell>
          <cell r="G702">
            <v>28</v>
          </cell>
          <cell r="H702" t="str">
            <v>四川省仁寿县贵平镇中岗村9组</v>
          </cell>
          <cell r="I702">
            <v>18328707416</v>
          </cell>
        </row>
        <row r="703">
          <cell r="C703" t="str">
            <v>513822200410206724</v>
          </cell>
          <cell r="D703" t="str">
            <v>女</v>
          </cell>
          <cell r="E703" t="str">
            <v>汉族</v>
          </cell>
          <cell r="F703" t="str">
            <v>20041020</v>
          </cell>
          <cell r="G703">
            <v>17</v>
          </cell>
          <cell r="H703" t="str">
            <v>四川省仁寿县贵平镇中岗村9组</v>
          </cell>
        </row>
        <row r="704">
          <cell r="C704" t="str">
            <v>513822199801286949</v>
          </cell>
          <cell r="D704" t="str">
            <v>女</v>
          </cell>
          <cell r="E704" t="str">
            <v>汉族</v>
          </cell>
          <cell r="F704" t="str">
            <v>19980128</v>
          </cell>
          <cell r="G704">
            <v>23</v>
          </cell>
          <cell r="H704" t="str">
            <v>四川省仁寿县贵平镇中岗村9组</v>
          </cell>
          <cell r="I704">
            <v>13908067848</v>
          </cell>
        </row>
        <row r="705">
          <cell r="C705" t="str">
            <v>51142120180219005X</v>
          </cell>
          <cell r="D705" t="str">
            <v>男 </v>
          </cell>
          <cell r="E705" t="str">
            <v>汉族</v>
          </cell>
          <cell r="F705" t="str">
            <v>20180219</v>
          </cell>
          <cell r="G705">
            <v>3</v>
          </cell>
          <cell r="H705" t="str">
            <v>四川省仁寿县贵平镇中岗村9组</v>
          </cell>
        </row>
        <row r="706">
          <cell r="C706" t="str">
            <v>51142120191125004X</v>
          </cell>
          <cell r="D706" t="str">
            <v>女</v>
          </cell>
          <cell r="E706" t="str">
            <v>汉族</v>
          </cell>
          <cell r="F706" t="str">
            <v>20191125</v>
          </cell>
          <cell r="G706">
            <v>2</v>
          </cell>
          <cell r="H706" t="str">
            <v>四川省仁寿县贵平镇中岗村9组</v>
          </cell>
        </row>
        <row r="707">
          <cell r="C707" t="str">
            <v>511121196506286938</v>
          </cell>
          <cell r="D707" t="str">
            <v>男 </v>
          </cell>
          <cell r="E707" t="str">
            <v>汉族</v>
          </cell>
          <cell r="F707" t="str">
            <v>19650628</v>
          </cell>
          <cell r="G707">
            <v>56</v>
          </cell>
          <cell r="H707" t="str">
            <v>四川省仁寿县贵平镇中岗村9组</v>
          </cell>
          <cell r="I707">
            <v>13551042593</v>
          </cell>
        </row>
        <row r="708">
          <cell r="C708" t="str">
            <v>511121196402256945</v>
          </cell>
          <cell r="D708" t="str">
            <v>女</v>
          </cell>
          <cell r="E708" t="str">
            <v>汉族</v>
          </cell>
          <cell r="F708" t="str">
            <v>19640225</v>
          </cell>
          <cell r="G708">
            <v>57</v>
          </cell>
          <cell r="H708" t="str">
            <v>四川省仁寿县贵平镇中岗村9组</v>
          </cell>
          <cell r="I708">
            <v>15928633087</v>
          </cell>
        </row>
        <row r="709">
          <cell r="C709" t="str">
            <v>513822198711156935</v>
          </cell>
          <cell r="D709" t="str">
            <v>男 </v>
          </cell>
          <cell r="E709" t="str">
            <v>汉族</v>
          </cell>
          <cell r="F709" t="str">
            <v>19871115</v>
          </cell>
          <cell r="G709">
            <v>34</v>
          </cell>
          <cell r="H709" t="str">
            <v>四川省仁寿县贵平镇中岗村9组</v>
          </cell>
          <cell r="I709">
            <v>13618087177</v>
          </cell>
        </row>
        <row r="710">
          <cell r="C710" t="str">
            <v>511121196405186938</v>
          </cell>
          <cell r="D710" t="str">
            <v>男 </v>
          </cell>
          <cell r="E710" t="str">
            <v>汉族</v>
          </cell>
          <cell r="F710" t="str">
            <v>19640518</v>
          </cell>
          <cell r="G710">
            <v>57</v>
          </cell>
          <cell r="H710" t="str">
            <v>四川省仁寿县贵平镇中岗村9组</v>
          </cell>
          <cell r="I710">
            <v>15283796629</v>
          </cell>
        </row>
        <row r="711">
          <cell r="C711" t="str">
            <v>511121196801216940</v>
          </cell>
          <cell r="D711" t="str">
            <v>女</v>
          </cell>
          <cell r="E711" t="str">
            <v>汉族</v>
          </cell>
          <cell r="F711" t="str">
            <v>19680121</v>
          </cell>
          <cell r="G711">
            <v>53</v>
          </cell>
          <cell r="H711" t="str">
            <v>四川省仁寿县贵平镇中岗村9组</v>
          </cell>
          <cell r="I711">
            <v>18398663918</v>
          </cell>
        </row>
        <row r="712">
          <cell r="C712" t="str">
            <v>513822198701226936</v>
          </cell>
          <cell r="D712" t="str">
            <v>男</v>
          </cell>
          <cell r="E712" t="str">
            <v>汉族</v>
          </cell>
          <cell r="F712" t="str">
            <v>19870122</v>
          </cell>
          <cell r="G712">
            <v>34</v>
          </cell>
          <cell r="H712" t="str">
            <v>四川省仁寿县贵平镇中岗村9组</v>
          </cell>
          <cell r="I712">
            <v>18982199212</v>
          </cell>
        </row>
        <row r="713">
          <cell r="C713" t="str">
            <v>511025198811064863</v>
          </cell>
          <cell r="D713" t="str">
            <v>女</v>
          </cell>
          <cell r="E713" t="str">
            <v>汉族</v>
          </cell>
          <cell r="F713" t="str">
            <v>19881106</v>
          </cell>
          <cell r="G713">
            <v>33</v>
          </cell>
          <cell r="H713" t="str">
            <v>四川省仁寿县贵平镇中岗村9组</v>
          </cell>
          <cell r="I713">
            <v>15308091493</v>
          </cell>
        </row>
        <row r="714">
          <cell r="C714" t="str">
            <v>511421201403126851</v>
          </cell>
          <cell r="D714" t="str">
            <v>男</v>
          </cell>
          <cell r="E714" t="str">
            <v>汉族</v>
          </cell>
          <cell r="F714" t="str">
            <v>20140312</v>
          </cell>
          <cell r="G714">
            <v>7</v>
          </cell>
          <cell r="H714" t="str">
            <v>四川省仁寿县贵平镇中岗村9组</v>
          </cell>
        </row>
        <row r="715">
          <cell r="C715" t="str">
            <v>511421200910136750</v>
          </cell>
          <cell r="D715" t="str">
            <v>男</v>
          </cell>
          <cell r="E715" t="str">
            <v>汉族</v>
          </cell>
          <cell r="F715" t="str">
            <v>20091013</v>
          </cell>
          <cell r="G715">
            <v>12</v>
          </cell>
          <cell r="H715" t="str">
            <v>四川省仁寿县贵平镇中岗村9组</v>
          </cell>
        </row>
        <row r="716">
          <cell r="C716" t="str">
            <v>511121198108036932</v>
          </cell>
          <cell r="D716" t="str">
            <v>男</v>
          </cell>
          <cell r="E716" t="str">
            <v>汉族</v>
          </cell>
          <cell r="F716" t="str">
            <v>19810803</v>
          </cell>
          <cell r="G716">
            <v>40</v>
          </cell>
          <cell r="H716" t="str">
            <v>四川省仁寿县贵平镇中岗村9组</v>
          </cell>
          <cell r="I716">
            <v>19150518630</v>
          </cell>
        </row>
        <row r="717">
          <cell r="C717" t="str">
            <v>511126198706255221</v>
          </cell>
          <cell r="D717" t="str">
            <v>女</v>
          </cell>
          <cell r="E717" t="str">
            <v>汉族</v>
          </cell>
          <cell r="F717" t="str">
            <v>19870625</v>
          </cell>
          <cell r="G717">
            <v>34</v>
          </cell>
          <cell r="H717" t="str">
            <v>四川省仁寿县贵平镇中岗村9组</v>
          </cell>
          <cell r="I717">
            <v>19150518630</v>
          </cell>
        </row>
        <row r="718">
          <cell r="C718" t="str">
            <v>511126201101295217</v>
          </cell>
          <cell r="D718" t="str">
            <v>男</v>
          </cell>
          <cell r="E718" t="str">
            <v>汉族</v>
          </cell>
          <cell r="F718" t="str">
            <v>20110129</v>
          </cell>
          <cell r="G718">
            <v>10</v>
          </cell>
          <cell r="H718" t="str">
            <v>四川省仁寿县贵平镇中岗村9组</v>
          </cell>
        </row>
        <row r="719">
          <cell r="C719" t="str">
            <v>511121197712296947</v>
          </cell>
          <cell r="D719" t="str">
            <v>女</v>
          </cell>
          <cell r="E719" t="str">
            <v>汉族</v>
          </cell>
          <cell r="F719" t="str">
            <v>19771229</v>
          </cell>
          <cell r="G719">
            <v>44</v>
          </cell>
          <cell r="H719" t="str">
            <v>四川省仁寿县贵平镇中岗村9组</v>
          </cell>
          <cell r="I719">
            <v>18728460876</v>
          </cell>
        </row>
        <row r="720">
          <cell r="C720" t="str">
            <v>513822199301236937</v>
          </cell>
          <cell r="D720" t="str">
            <v>男</v>
          </cell>
          <cell r="E720" t="str">
            <v>汉族</v>
          </cell>
          <cell r="F720" t="str">
            <v>19930123</v>
          </cell>
          <cell r="G720">
            <v>28</v>
          </cell>
          <cell r="H720" t="str">
            <v>四川省仁寿县贵平镇中岗村9组</v>
          </cell>
          <cell r="I720">
            <v>1821555261</v>
          </cell>
        </row>
        <row r="721">
          <cell r="C721" t="str">
            <v>510504199007241223</v>
          </cell>
          <cell r="D721" t="str">
            <v>女</v>
          </cell>
          <cell r="E721" t="str">
            <v>汉族</v>
          </cell>
          <cell r="F721" t="str">
            <v>19900724</v>
          </cell>
          <cell r="G721">
            <v>31</v>
          </cell>
          <cell r="H721" t="str">
            <v>四川省仁寿县贵平镇中岗村9组</v>
          </cell>
          <cell r="I721">
            <v>18328505352</v>
          </cell>
        </row>
        <row r="722">
          <cell r="C722" t="str">
            <v>511421201704170055</v>
          </cell>
          <cell r="D722" t="str">
            <v>男</v>
          </cell>
          <cell r="E722" t="str">
            <v>汉族</v>
          </cell>
          <cell r="F722" t="str">
            <v>20170417</v>
          </cell>
          <cell r="G722">
            <v>4</v>
          </cell>
          <cell r="H722" t="str">
            <v>四川省仁寿县贵平镇中岗村9组</v>
          </cell>
        </row>
        <row r="723">
          <cell r="C723" t="str">
            <v>511421202002010051</v>
          </cell>
          <cell r="D723" t="str">
            <v>男</v>
          </cell>
          <cell r="E723" t="str">
            <v>汉族</v>
          </cell>
          <cell r="F723" t="str">
            <v>20200201</v>
          </cell>
          <cell r="G723">
            <v>1</v>
          </cell>
          <cell r="H723" t="str">
            <v>四川省仁寿县贵平镇中岗村9组</v>
          </cell>
        </row>
        <row r="724">
          <cell r="C724" t="str">
            <v>513822198602176937</v>
          </cell>
          <cell r="D724" t="str">
            <v>男</v>
          </cell>
          <cell r="E724" t="str">
            <v>汉族</v>
          </cell>
          <cell r="F724" t="str">
            <v>19860217</v>
          </cell>
          <cell r="G724">
            <v>35</v>
          </cell>
          <cell r="H724" t="str">
            <v>四川省仁寿县贵平镇中岗村9组</v>
          </cell>
          <cell r="I724">
            <v>18161485630</v>
          </cell>
        </row>
        <row r="725">
          <cell r="C725" t="str">
            <v>513822198602046948</v>
          </cell>
          <cell r="D725" t="str">
            <v>女</v>
          </cell>
          <cell r="E725" t="str">
            <v>汉族</v>
          </cell>
          <cell r="F725" t="str">
            <v>19860204</v>
          </cell>
          <cell r="G725">
            <v>35</v>
          </cell>
          <cell r="H725" t="str">
            <v>四川省仁寿县贵平镇中岗村9组</v>
          </cell>
          <cell r="I725">
            <v>15378640886</v>
          </cell>
        </row>
        <row r="726">
          <cell r="C726" t="str">
            <v>511421201611080237</v>
          </cell>
          <cell r="D726" t="str">
            <v>男</v>
          </cell>
          <cell r="E726" t="str">
            <v>汉族</v>
          </cell>
          <cell r="F726" t="str">
            <v>20161108</v>
          </cell>
          <cell r="G726">
            <v>5</v>
          </cell>
          <cell r="H726" t="str">
            <v>四川省仁寿县贵平镇中岗村9组</v>
          </cell>
        </row>
        <row r="727">
          <cell r="C727" t="str">
            <v>511421201204096784</v>
          </cell>
          <cell r="D727" t="str">
            <v>女</v>
          </cell>
          <cell r="E727" t="str">
            <v>汉族</v>
          </cell>
          <cell r="F727" t="str">
            <v>20120409</v>
          </cell>
          <cell r="G727">
            <v>9</v>
          </cell>
          <cell r="H727" t="str">
            <v>四川省仁寿县贵平镇中岗村9组</v>
          </cell>
        </row>
        <row r="728">
          <cell r="C728" t="str">
            <v>511121197907256945</v>
          </cell>
          <cell r="D728" t="str">
            <v>女</v>
          </cell>
          <cell r="E728" t="str">
            <v>汉族</v>
          </cell>
          <cell r="F728" t="str">
            <v>19790725</v>
          </cell>
          <cell r="G728">
            <v>42</v>
          </cell>
          <cell r="H728" t="str">
            <v>四川省仁寿县贵平镇中岗村9组</v>
          </cell>
          <cell r="I728">
            <v>13438371898</v>
          </cell>
        </row>
        <row r="729">
          <cell r="C729" t="str">
            <v>513822200308296727</v>
          </cell>
          <cell r="D729" t="str">
            <v>女</v>
          </cell>
          <cell r="E729" t="str">
            <v>汉族</v>
          </cell>
          <cell r="F729" t="str">
            <v>20030829</v>
          </cell>
          <cell r="G729">
            <v>18</v>
          </cell>
          <cell r="H729" t="str">
            <v>四川省仁寿县贵平镇中岗村9组</v>
          </cell>
          <cell r="I729">
            <v>14708008022</v>
          </cell>
        </row>
        <row r="730">
          <cell r="C730" t="str">
            <v>513822198604026932</v>
          </cell>
          <cell r="D730" t="str">
            <v>男</v>
          </cell>
          <cell r="E730" t="str">
            <v>汉族</v>
          </cell>
          <cell r="F730" t="str">
            <v>19860402</v>
          </cell>
          <cell r="G730">
            <v>35</v>
          </cell>
          <cell r="H730" t="str">
            <v>四川省仁寿县贵平镇中岗村9组</v>
          </cell>
          <cell r="I730">
            <v>18919563591</v>
          </cell>
        </row>
        <row r="731">
          <cell r="C731" t="str">
            <v>511025198605065646</v>
          </cell>
          <cell r="D731" t="str">
            <v>女</v>
          </cell>
          <cell r="E731" t="str">
            <v>汉族</v>
          </cell>
          <cell r="F731" t="str">
            <v>19860506</v>
          </cell>
          <cell r="G731">
            <v>35</v>
          </cell>
          <cell r="H731" t="str">
            <v>四川省仁寿县贵平镇中岗村9组</v>
          </cell>
          <cell r="I731">
            <v>18980467607</v>
          </cell>
        </row>
        <row r="732">
          <cell r="C732" t="str">
            <v>511421200904026707</v>
          </cell>
          <cell r="D732" t="str">
            <v>女</v>
          </cell>
          <cell r="E732" t="str">
            <v>汉族</v>
          </cell>
          <cell r="F732" t="str">
            <v>20090402</v>
          </cell>
          <cell r="G732">
            <v>12</v>
          </cell>
          <cell r="H732" t="str">
            <v>四川省仁寿县贵平镇中岗村9组</v>
          </cell>
        </row>
        <row r="733">
          <cell r="C733" t="str">
            <v>511421201711270150</v>
          </cell>
          <cell r="D733" t="str">
            <v>男</v>
          </cell>
          <cell r="E733" t="str">
            <v>汉族</v>
          </cell>
          <cell r="F733" t="str">
            <v>20171127</v>
          </cell>
          <cell r="G733">
            <v>4</v>
          </cell>
          <cell r="H733" t="str">
            <v>四川省仁寿县贵平镇中岗村9组</v>
          </cell>
        </row>
        <row r="734">
          <cell r="C734" t="str">
            <v>513822198707046936</v>
          </cell>
          <cell r="D734" t="str">
            <v>男</v>
          </cell>
          <cell r="E734" t="str">
            <v>汉族</v>
          </cell>
          <cell r="F734" t="str">
            <v>19870704</v>
          </cell>
          <cell r="G734">
            <v>34</v>
          </cell>
          <cell r="H734" t="str">
            <v>四川省仁寿县贵平镇中岗村9组</v>
          </cell>
          <cell r="I734">
            <v>13883855941</v>
          </cell>
        </row>
        <row r="735">
          <cell r="C735" t="str">
            <v>511421201010066747</v>
          </cell>
          <cell r="D735" t="str">
            <v>女</v>
          </cell>
          <cell r="E735" t="str">
            <v>汉族</v>
          </cell>
          <cell r="F735" t="str">
            <v>20101006</v>
          </cell>
          <cell r="G735">
            <v>11</v>
          </cell>
          <cell r="H735" t="str">
            <v>四川省仁寿县贵平镇中岗村9组</v>
          </cell>
        </row>
        <row r="736">
          <cell r="C736" t="str">
            <v>511421201606046739</v>
          </cell>
          <cell r="D736" t="str">
            <v>男</v>
          </cell>
          <cell r="E736" t="str">
            <v>汉族</v>
          </cell>
          <cell r="F736" t="str">
            <v>20160604</v>
          </cell>
          <cell r="G736">
            <v>5</v>
          </cell>
          <cell r="H736" t="str">
            <v>四川省仁寿县贵平镇中岗村9组</v>
          </cell>
        </row>
        <row r="737">
          <cell r="C737" t="str">
            <v>513822198608026948</v>
          </cell>
          <cell r="D737" t="str">
            <v>女</v>
          </cell>
          <cell r="E737" t="str">
            <v>汉族</v>
          </cell>
          <cell r="F737" t="str">
            <v>19860802</v>
          </cell>
          <cell r="G737">
            <v>35</v>
          </cell>
          <cell r="H737" t="str">
            <v>四川省仁寿县贵平镇中岗村9组</v>
          </cell>
          <cell r="I737">
            <v>13551026493</v>
          </cell>
        </row>
        <row r="738">
          <cell r="C738" t="str">
            <v>511421200810076738</v>
          </cell>
          <cell r="D738" t="str">
            <v>男</v>
          </cell>
          <cell r="E738" t="str">
            <v>汉族</v>
          </cell>
          <cell r="F738" t="str">
            <v>20081007</v>
          </cell>
          <cell r="G738">
            <v>13</v>
          </cell>
          <cell r="H738" t="str">
            <v>四川省仁寿县贵平镇中岗村9组</v>
          </cell>
        </row>
        <row r="739">
          <cell r="C739" t="str">
            <v>513822198608016934</v>
          </cell>
          <cell r="D739" t="str">
            <v>男</v>
          </cell>
          <cell r="E739" t="str">
            <v>汉族</v>
          </cell>
          <cell r="F739" t="str">
            <v>19860801</v>
          </cell>
          <cell r="G739">
            <v>35</v>
          </cell>
          <cell r="H739" t="str">
            <v>四川省仁寿县贵平镇中岗村9组</v>
          </cell>
          <cell r="I739">
            <v>13678056119</v>
          </cell>
        </row>
        <row r="740">
          <cell r="C740" t="str">
            <v>511421201108256776</v>
          </cell>
          <cell r="D740" t="str">
            <v>男</v>
          </cell>
          <cell r="E740" t="str">
            <v>汉族</v>
          </cell>
          <cell r="F740" t="str">
            <v>20110825</v>
          </cell>
          <cell r="G740">
            <v>10</v>
          </cell>
          <cell r="H740" t="str">
            <v>四川省仁寿县贵平镇中岗村9组</v>
          </cell>
        </row>
        <row r="741">
          <cell r="C741" t="str">
            <v>513822198501166940</v>
          </cell>
          <cell r="D741" t="str">
            <v>女</v>
          </cell>
          <cell r="E741" t="str">
            <v>汉族</v>
          </cell>
          <cell r="F741" t="str">
            <v>19850116</v>
          </cell>
          <cell r="G741">
            <v>36</v>
          </cell>
          <cell r="H741" t="str">
            <v>四川省仁寿县贵平镇中岗村9组</v>
          </cell>
          <cell r="I741">
            <v>13709063081</v>
          </cell>
        </row>
        <row r="742">
          <cell r="C742" t="str">
            <v>511421200703156767</v>
          </cell>
          <cell r="D742" t="str">
            <v>女</v>
          </cell>
          <cell r="E742" t="str">
            <v>汉族</v>
          </cell>
          <cell r="F742" t="str">
            <v>20070315</v>
          </cell>
          <cell r="G742">
            <v>14</v>
          </cell>
          <cell r="H742" t="str">
            <v>四川省仁寿县贵平镇中岗村9组</v>
          </cell>
        </row>
        <row r="743">
          <cell r="C743" t="str">
            <v>513822198603216937</v>
          </cell>
          <cell r="D743" t="str">
            <v>男</v>
          </cell>
          <cell r="E743" t="str">
            <v>汉族</v>
          </cell>
          <cell r="F743" t="str">
            <v>19860321</v>
          </cell>
          <cell r="G743">
            <v>35</v>
          </cell>
          <cell r="H743" t="str">
            <v>四川省仁寿县贵平镇中岗村9组</v>
          </cell>
          <cell r="I743">
            <v>13458536800</v>
          </cell>
        </row>
        <row r="744">
          <cell r="C744" t="str">
            <v>511421200912156851</v>
          </cell>
          <cell r="D744" t="str">
            <v>男</v>
          </cell>
          <cell r="E744" t="str">
            <v>汉族</v>
          </cell>
          <cell r="F744" t="str">
            <v>20091215</v>
          </cell>
          <cell r="G744">
            <v>12</v>
          </cell>
          <cell r="H744" t="str">
            <v>四川省仁寿县贵平镇中岗村9组</v>
          </cell>
        </row>
        <row r="745">
          <cell r="C745" t="str">
            <v>511121197909096930</v>
          </cell>
          <cell r="D745" t="str">
            <v>男</v>
          </cell>
          <cell r="E745" t="str">
            <v>汉族</v>
          </cell>
          <cell r="F745" t="str">
            <v>19790909</v>
          </cell>
          <cell r="G745">
            <v>42</v>
          </cell>
          <cell r="H745" t="str">
            <v>四川省仁寿县贵平镇中岗村9组</v>
          </cell>
          <cell r="I745">
            <v>13899401259</v>
          </cell>
        </row>
        <row r="746">
          <cell r="C746" t="str">
            <v>511121197703226947</v>
          </cell>
          <cell r="D746" t="str">
            <v>女</v>
          </cell>
          <cell r="E746" t="str">
            <v>汉族</v>
          </cell>
          <cell r="F746" t="str">
            <v>19770322</v>
          </cell>
          <cell r="G746">
            <v>44</v>
          </cell>
          <cell r="H746" t="str">
            <v>四川省仁寿县贵平镇中岗村9组</v>
          </cell>
          <cell r="I746">
            <v>13579196863</v>
          </cell>
        </row>
        <row r="747">
          <cell r="C747" t="str">
            <v>513822200104256694</v>
          </cell>
          <cell r="D747" t="str">
            <v>男</v>
          </cell>
          <cell r="E747" t="str">
            <v>汉族</v>
          </cell>
          <cell r="F747" t="str">
            <v>20010425</v>
          </cell>
          <cell r="G747">
            <v>20</v>
          </cell>
          <cell r="H747" t="str">
            <v>四川省仁寿县贵平镇中岗村9组</v>
          </cell>
          <cell r="I747">
            <v>15299713196</v>
          </cell>
        </row>
        <row r="748">
          <cell r="C748" t="str">
            <v>511421201108046963</v>
          </cell>
          <cell r="D748" t="str">
            <v>女</v>
          </cell>
          <cell r="E748" t="str">
            <v>汉族</v>
          </cell>
          <cell r="F748" t="str">
            <v>20110804</v>
          </cell>
          <cell r="G748">
            <v>10</v>
          </cell>
          <cell r="H748" t="str">
            <v>四川省仁寿县贵平镇中岗村9组</v>
          </cell>
          <cell r="I748">
            <v>13579196863</v>
          </cell>
        </row>
        <row r="749">
          <cell r="C749" t="str">
            <v>511121197910056936</v>
          </cell>
          <cell r="D749" t="str">
            <v>男</v>
          </cell>
          <cell r="E749" t="str">
            <v>汉族</v>
          </cell>
          <cell r="F749" t="str">
            <v>19791005</v>
          </cell>
          <cell r="G749">
            <v>42</v>
          </cell>
          <cell r="H749" t="str">
            <v>四川省仁寿县贵平镇中岗村9组</v>
          </cell>
          <cell r="I749">
            <v>18228101101</v>
          </cell>
        </row>
        <row r="750">
          <cell r="C750" t="str">
            <v>511121198109206948</v>
          </cell>
          <cell r="D750" t="str">
            <v>女</v>
          </cell>
          <cell r="E750" t="str">
            <v>汉族</v>
          </cell>
          <cell r="F750" t="str">
            <v>19810920</v>
          </cell>
          <cell r="G750">
            <v>40</v>
          </cell>
          <cell r="H750" t="str">
            <v>四川省仁寿县贵平镇中岗村9组</v>
          </cell>
          <cell r="I750">
            <v>18215668151</v>
          </cell>
        </row>
        <row r="751">
          <cell r="C751" t="str">
            <v>511421200601096695</v>
          </cell>
          <cell r="D751" t="str">
            <v>男</v>
          </cell>
          <cell r="E751" t="str">
            <v>汉族</v>
          </cell>
          <cell r="F751" t="str">
            <v>20060109</v>
          </cell>
          <cell r="G751">
            <v>15</v>
          </cell>
          <cell r="H751" t="str">
            <v>四川省仁寿县贵平镇中岗村9组</v>
          </cell>
        </row>
        <row r="752">
          <cell r="C752" t="str">
            <v>511421201107226938</v>
          </cell>
          <cell r="D752" t="str">
            <v>男</v>
          </cell>
          <cell r="E752" t="str">
            <v>汉族</v>
          </cell>
          <cell r="F752" t="str">
            <v>20110722</v>
          </cell>
          <cell r="G752">
            <v>10</v>
          </cell>
          <cell r="H752" t="str">
            <v>四川省仁寿县贵平镇中岗村9组</v>
          </cell>
        </row>
        <row r="753">
          <cell r="C753" t="str">
            <v>511121197804176934</v>
          </cell>
          <cell r="D753" t="str">
            <v>男</v>
          </cell>
          <cell r="E753" t="str">
            <v>汉族</v>
          </cell>
          <cell r="F753" t="str">
            <v>19780417</v>
          </cell>
          <cell r="G753">
            <v>43</v>
          </cell>
          <cell r="H753" t="str">
            <v>四川省仁寿县贵平镇中岗村9组</v>
          </cell>
          <cell r="I753">
            <v>13696085055</v>
          </cell>
        </row>
        <row r="754">
          <cell r="C754" t="str">
            <v>511121197602166789</v>
          </cell>
          <cell r="D754" t="str">
            <v>女</v>
          </cell>
          <cell r="E754" t="str">
            <v>汉族</v>
          </cell>
          <cell r="F754" t="str">
            <v>19760216</v>
          </cell>
          <cell r="G754">
            <v>45</v>
          </cell>
          <cell r="H754" t="str">
            <v>四川省仁寿县贵平镇中岗村9组</v>
          </cell>
          <cell r="I754">
            <v>18808214156</v>
          </cell>
        </row>
        <row r="755">
          <cell r="C755" t="str">
            <v>511421201108106962</v>
          </cell>
          <cell r="D755" t="str">
            <v>女</v>
          </cell>
          <cell r="E755" t="str">
            <v>汉族</v>
          </cell>
          <cell r="F755" t="str">
            <v>20110810</v>
          </cell>
          <cell r="G755">
            <v>10</v>
          </cell>
          <cell r="H755" t="str">
            <v>四川省仁寿县贵平镇中岗村9组</v>
          </cell>
        </row>
        <row r="756">
          <cell r="C756" t="str">
            <v>511421201607310108</v>
          </cell>
          <cell r="D756" t="str">
            <v>女</v>
          </cell>
          <cell r="E756" t="str">
            <v>汉族</v>
          </cell>
          <cell r="F756" t="str">
            <v>20160731</v>
          </cell>
          <cell r="G756">
            <v>5</v>
          </cell>
          <cell r="H756" t="str">
            <v>四川省仁寿县贵平镇中岗村9组</v>
          </cell>
        </row>
        <row r="757">
          <cell r="C757" t="str">
            <v>513822198305136955</v>
          </cell>
          <cell r="D757" t="str">
            <v>男</v>
          </cell>
          <cell r="E757" t="str">
            <v>汉族</v>
          </cell>
          <cell r="F757" t="str">
            <v>19830513</v>
          </cell>
          <cell r="G757">
            <v>38</v>
          </cell>
          <cell r="H757" t="str">
            <v>四川省仁寿县贵平镇中岗村9组</v>
          </cell>
          <cell r="I757">
            <v>18008019412</v>
          </cell>
        </row>
        <row r="758">
          <cell r="C758" t="str">
            <v>511421201310166870</v>
          </cell>
          <cell r="D758" t="str">
            <v>男</v>
          </cell>
          <cell r="E758" t="str">
            <v>汉族</v>
          </cell>
          <cell r="F758" t="str">
            <v>20131016</v>
          </cell>
          <cell r="G758">
            <v>8</v>
          </cell>
          <cell r="H758" t="str">
            <v>四川省仁寿县贵平镇中岗村9组</v>
          </cell>
        </row>
        <row r="759">
          <cell r="C759" t="str">
            <v>511421200904176748</v>
          </cell>
          <cell r="D759" t="str">
            <v>女</v>
          </cell>
          <cell r="E759" t="str">
            <v>汉族</v>
          </cell>
          <cell r="F759" t="str">
            <v>20090417</v>
          </cell>
          <cell r="G759">
            <v>12</v>
          </cell>
          <cell r="H759" t="str">
            <v>四川省仁寿县贵平镇中岗村9组</v>
          </cell>
        </row>
        <row r="760">
          <cell r="C760" t="str">
            <v>51382219870613693X</v>
          </cell>
          <cell r="D760" t="str">
            <v>男</v>
          </cell>
          <cell r="E760" t="str">
            <v>汉族</v>
          </cell>
          <cell r="F760" t="str">
            <v>19870613</v>
          </cell>
          <cell r="G760">
            <v>34</v>
          </cell>
          <cell r="H760" t="str">
            <v>四川省仁寿县贵平镇中岗村9组</v>
          </cell>
          <cell r="I760">
            <v>18384760217</v>
          </cell>
        </row>
        <row r="761">
          <cell r="C761" t="str">
            <v>511121197907156936</v>
          </cell>
          <cell r="D761" t="str">
            <v>男</v>
          </cell>
          <cell r="E761" t="str">
            <v>汉族</v>
          </cell>
          <cell r="F761" t="str">
            <v>19790715</v>
          </cell>
          <cell r="G761">
            <v>42</v>
          </cell>
          <cell r="H761" t="str">
            <v>四川省仁寿县贵平镇中岗村9组</v>
          </cell>
          <cell r="I761">
            <v>17828245758</v>
          </cell>
        </row>
        <row r="762">
          <cell r="C762" t="str">
            <v>511324198006201546</v>
          </cell>
          <cell r="D762" t="str">
            <v>女</v>
          </cell>
          <cell r="E762" t="str">
            <v>汉族</v>
          </cell>
          <cell r="F762" t="str">
            <v>19800620</v>
          </cell>
          <cell r="G762">
            <v>41</v>
          </cell>
          <cell r="H762" t="str">
            <v>四川省仁寿县贵平镇中岗村9组</v>
          </cell>
          <cell r="I762">
            <v>18989903316</v>
          </cell>
        </row>
        <row r="763">
          <cell r="C763" t="str">
            <v>511421200510216735</v>
          </cell>
          <cell r="D763" t="str">
            <v>男</v>
          </cell>
          <cell r="E763" t="str">
            <v>汉族</v>
          </cell>
          <cell r="F763" t="str">
            <v>20051021</v>
          </cell>
          <cell r="G763">
            <v>16</v>
          </cell>
          <cell r="H763" t="str">
            <v>四川省仁寿县贵平镇中岗村9组</v>
          </cell>
        </row>
        <row r="764">
          <cell r="C764" t="str">
            <v>511421201611250216</v>
          </cell>
          <cell r="D764" t="str">
            <v>男</v>
          </cell>
          <cell r="E764" t="str">
            <v>汉族</v>
          </cell>
          <cell r="F764" t="str">
            <v>20161125</v>
          </cell>
          <cell r="G764">
            <v>5</v>
          </cell>
          <cell r="H764" t="str">
            <v>四川省仁寿县贵平镇中岗村9组</v>
          </cell>
        </row>
        <row r="765">
          <cell r="C765" t="str">
            <v>511121197812176934</v>
          </cell>
          <cell r="D765" t="str">
            <v>男</v>
          </cell>
          <cell r="E765" t="str">
            <v>汉族</v>
          </cell>
          <cell r="F765" t="str">
            <v>19781217</v>
          </cell>
          <cell r="G765">
            <v>43</v>
          </cell>
          <cell r="H765" t="str">
            <v>四川省仁寿县贵平镇中岗村9组</v>
          </cell>
          <cell r="I765">
            <v>13569974393</v>
          </cell>
        </row>
        <row r="766">
          <cell r="C766" t="str">
            <v>511421200703196750</v>
          </cell>
          <cell r="D766" t="str">
            <v>男</v>
          </cell>
          <cell r="E766" t="str">
            <v>汉族</v>
          </cell>
          <cell r="F766" t="str">
            <v>20070319</v>
          </cell>
          <cell r="G766">
            <v>14</v>
          </cell>
          <cell r="H766" t="str">
            <v>四川省仁寿县贵平镇中岗村9组</v>
          </cell>
        </row>
        <row r="767">
          <cell r="C767" t="str">
            <v>513822200109096693</v>
          </cell>
          <cell r="D767" t="str">
            <v>男</v>
          </cell>
          <cell r="E767" t="str">
            <v>汉族</v>
          </cell>
          <cell r="F767" t="str">
            <v>20010909</v>
          </cell>
          <cell r="G767">
            <v>20</v>
          </cell>
          <cell r="H767" t="str">
            <v>四川省仁寿县贵平镇中岗村9组</v>
          </cell>
          <cell r="I767">
            <v>18384787675</v>
          </cell>
        </row>
        <row r="768">
          <cell r="C768" t="str">
            <v>511121198202166952</v>
          </cell>
          <cell r="D768" t="str">
            <v>男</v>
          </cell>
          <cell r="E768" t="str">
            <v>汉族</v>
          </cell>
          <cell r="F768" t="str">
            <v>19820216</v>
          </cell>
          <cell r="G768">
            <v>39</v>
          </cell>
          <cell r="H768" t="str">
            <v>四川省仁寿县贵平镇中岗村9组</v>
          </cell>
          <cell r="I768">
            <v>13208189542</v>
          </cell>
        </row>
        <row r="769">
          <cell r="C769" t="str">
            <v>513822198604116946</v>
          </cell>
          <cell r="D769" t="str">
            <v>女</v>
          </cell>
          <cell r="E769" t="str">
            <v>汉族</v>
          </cell>
          <cell r="F769" t="str">
            <v>19860411</v>
          </cell>
          <cell r="G769">
            <v>35</v>
          </cell>
          <cell r="H769" t="str">
            <v>四川省仁寿县贵平镇中岗村9组</v>
          </cell>
          <cell r="I769">
            <v>15881004528</v>
          </cell>
        </row>
        <row r="770">
          <cell r="C770" t="str">
            <v>51142120070118676X</v>
          </cell>
          <cell r="D770" t="str">
            <v>女</v>
          </cell>
          <cell r="E770" t="str">
            <v>汉族</v>
          </cell>
          <cell r="F770" t="str">
            <v>20070118</v>
          </cell>
          <cell r="G770">
            <v>14</v>
          </cell>
          <cell r="H770" t="str">
            <v>四川省仁寿县贵平镇中岗村9组</v>
          </cell>
        </row>
        <row r="771">
          <cell r="C771" t="str">
            <v>511121197708086939</v>
          </cell>
          <cell r="D771" t="str">
            <v>男</v>
          </cell>
          <cell r="E771" t="str">
            <v>汉族</v>
          </cell>
          <cell r="F771" t="str">
            <v>19770808</v>
          </cell>
          <cell r="G771">
            <v>44</v>
          </cell>
          <cell r="H771" t="str">
            <v>四川省仁寿县贵平镇中岗村9组</v>
          </cell>
          <cell r="I771">
            <v>15196643312</v>
          </cell>
        </row>
        <row r="772">
          <cell r="C772" t="str">
            <v>511121197801106949</v>
          </cell>
          <cell r="D772" t="str">
            <v>女</v>
          </cell>
          <cell r="E772" t="str">
            <v>汉族</v>
          </cell>
          <cell r="F772" t="str">
            <v>19780110</v>
          </cell>
          <cell r="G772">
            <v>43</v>
          </cell>
          <cell r="H772" t="str">
            <v>四川省仁寿县贵平镇中岗村9组</v>
          </cell>
          <cell r="I772" t="str">
            <v>15196643312</v>
          </cell>
        </row>
        <row r="773">
          <cell r="C773" t="str">
            <v>513822200006066707</v>
          </cell>
          <cell r="D773" t="str">
            <v>女</v>
          </cell>
          <cell r="E773" t="str">
            <v>汉族</v>
          </cell>
          <cell r="F773" t="str">
            <v>20000606</v>
          </cell>
          <cell r="G773">
            <v>21</v>
          </cell>
          <cell r="H773" t="str">
            <v>四川省仁寿县贵平镇中岗村9组</v>
          </cell>
          <cell r="I773">
            <v>18328420670</v>
          </cell>
        </row>
        <row r="774">
          <cell r="C774" t="str">
            <v>511121197312276955</v>
          </cell>
          <cell r="D774" t="str">
            <v>男</v>
          </cell>
          <cell r="E774" t="str">
            <v>汉族</v>
          </cell>
          <cell r="F774" t="str">
            <v>19731227</v>
          </cell>
          <cell r="G774">
            <v>48</v>
          </cell>
          <cell r="H774" t="str">
            <v>四川省仁寿县贵平镇中岗村9组</v>
          </cell>
          <cell r="I774">
            <v>13096304424</v>
          </cell>
        </row>
        <row r="775">
          <cell r="C775" t="str">
            <v>511121197412086948</v>
          </cell>
          <cell r="D775" t="str">
            <v>女</v>
          </cell>
          <cell r="E775" t="str">
            <v>汉族</v>
          </cell>
          <cell r="F775" t="str">
            <v>19741208</v>
          </cell>
          <cell r="G775">
            <v>47</v>
          </cell>
          <cell r="H775" t="str">
            <v>四川省仁寿县贵平镇中岗村9组</v>
          </cell>
          <cell r="I775">
            <v>13608068374</v>
          </cell>
        </row>
        <row r="776">
          <cell r="C776" t="str">
            <v>513822199712126943</v>
          </cell>
          <cell r="D776" t="str">
            <v>女</v>
          </cell>
          <cell r="E776" t="str">
            <v>汉族</v>
          </cell>
          <cell r="F776" t="str">
            <v>19971212</v>
          </cell>
          <cell r="G776">
            <v>24</v>
          </cell>
          <cell r="H776" t="str">
            <v>四川省仁寿县贵平镇中岗村9组</v>
          </cell>
          <cell r="I776">
            <v>18302809855</v>
          </cell>
        </row>
        <row r="777">
          <cell r="C777" t="str">
            <v>511121192604036942</v>
          </cell>
          <cell r="D777" t="str">
            <v>女</v>
          </cell>
          <cell r="E777" t="str">
            <v>汉族</v>
          </cell>
          <cell r="F777" t="str">
            <v>19260403</v>
          </cell>
          <cell r="G777">
            <v>95</v>
          </cell>
          <cell r="H777" t="str">
            <v>四川省仁寿县贵平镇中岗村9组</v>
          </cell>
        </row>
        <row r="778">
          <cell r="C778" t="str">
            <v>511121197010316931</v>
          </cell>
          <cell r="D778" t="str">
            <v>男</v>
          </cell>
          <cell r="E778" t="str">
            <v>汉族</v>
          </cell>
          <cell r="F778" t="str">
            <v>19701031</v>
          </cell>
          <cell r="G778">
            <v>51</v>
          </cell>
          <cell r="H778" t="str">
            <v>四川省仁寿县贵平镇中岗村9组</v>
          </cell>
          <cell r="I778">
            <v>15283751623</v>
          </cell>
        </row>
        <row r="779">
          <cell r="C779" t="str">
            <v>511121197312267004</v>
          </cell>
          <cell r="D779" t="str">
            <v>女</v>
          </cell>
          <cell r="E779" t="str">
            <v>汉族</v>
          </cell>
          <cell r="F779" t="str">
            <v>19731226</v>
          </cell>
          <cell r="G779">
            <v>48</v>
          </cell>
          <cell r="H779" t="str">
            <v>四川省仁寿县贵平镇中岗村9组</v>
          </cell>
          <cell r="I779">
            <v>15378459144</v>
          </cell>
        </row>
        <row r="780">
          <cell r="C780" t="str">
            <v>513822199611226742</v>
          </cell>
          <cell r="D780" t="str">
            <v>女</v>
          </cell>
          <cell r="E780" t="str">
            <v>汉族</v>
          </cell>
          <cell r="F780" t="str">
            <v>19961122</v>
          </cell>
          <cell r="G780">
            <v>25</v>
          </cell>
          <cell r="H780" t="str">
            <v>四川省仁寿县贵平镇中岗村9组</v>
          </cell>
          <cell r="I780">
            <v>18228156879</v>
          </cell>
        </row>
        <row r="781">
          <cell r="C781" t="str">
            <v>511121195306206943</v>
          </cell>
          <cell r="D781" t="str">
            <v>女</v>
          </cell>
          <cell r="E781" t="str">
            <v>汉族</v>
          </cell>
          <cell r="F781" t="str">
            <v>19530620</v>
          </cell>
          <cell r="G781">
            <v>68</v>
          </cell>
          <cell r="H781" t="str">
            <v>四川省仁寿县贵平镇中岗村9组</v>
          </cell>
          <cell r="I781">
            <v>15328743169</v>
          </cell>
        </row>
        <row r="782">
          <cell r="C782" t="str">
            <v>511121198012016945</v>
          </cell>
          <cell r="D782" t="str">
            <v>女</v>
          </cell>
          <cell r="E782" t="str">
            <v>汉族</v>
          </cell>
          <cell r="F782" t="str">
            <v>19801201</v>
          </cell>
          <cell r="G782">
            <v>41</v>
          </cell>
          <cell r="H782" t="str">
            <v>四川省仁寿县贵平镇中岗村9组</v>
          </cell>
          <cell r="I782">
            <v>15328749686</v>
          </cell>
        </row>
        <row r="783">
          <cell r="C783" t="str">
            <v>511421201006086817</v>
          </cell>
          <cell r="D783" t="str">
            <v>男</v>
          </cell>
          <cell r="E783" t="str">
            <v>汉族</v>
          </cell>
          <cell r="F783" t="str">
            <v>20100608</v>
          </cell>
          <cell r="G783">
            <v>11</v>
          </cell>
          <cell r="H783" t="str">
            <v>四川省仁寿县贵平镇中岗村9组</v>
          </cell>
        </row>
        <row r="784">
          <cell r="C784" t="str">
            <v>511121195508156956</v>
          </cell>
          <cell r="D784" t="str">
            <v>男</v>
          </cell>
          <cell r="E784" t="str">
            <v>汉族</v>
          </cell>
          <cell r="F784" t="str">
            <v>19550815</v>
          </cell>
          <cell r="G784">
            <v>66</v>
          </cell>
          <cell r="H784" t="str">
            <v>四川省仁寿县贵平镇中岗村9组</v>
          </cell>
          <cell r="I784">
            <v>13108204184</v>
          </cell>
        </row>
        <row r="785">
          <cell r="C785" t="str">
            <v>511121195409156942</v>
          </cell>
          <cell r="D785" t="str">
            <v>女</v>
          </cell>
          <cell r="E785" t="str">
            <v>汉族</v>
          </cell>
          <cell r="F785" t="str">
            <v>19540915</v>
          </cell>
          <cell r="G785">
            <v>67</v>
          </cell>
          <cell r="H785" t="str">
            <v>四川省仁寿县贵平镇中岗村9组</v>
          </cell>
          <cell r="I785">
            <v>17360656391</v>
          </cell>
        </row>
        <row r="786">
          <cell r="C786" t="str">
            <v>511121193206256936</v>
          </cell>
          <cell r="D786" t="str">
            <v>男</v>
          </cell>
          <cell r="E786" t="str">
            <v>汉族</v>
          </cell>
          <cell r="F786" t="str">
            <v>19320625</v>
          </cell>
          <cell r="G786">
            <v>89</v>
          </cell>
          <cell r="H786" t="str">
            <v>四川省仁寿县贵平镇中岗村9组</v>
          </cell>
        </row>
        <row r="787">
          <cell r="C787" t="str">
            <v>511121195407186937</v>
          </cell>
          <cell r="D787" t="str">
            <v>男</v>
          </cell>
          <cell r="E787" t="str">
            <v>汉族</v>
          </cell>
          <cell r="F787" t="str">
            <v>19540718</v>
          </cell>
          <cell r="G787">
            <v>67</v>
          </cell>
          <cell r="H787" t="str">
            <v>四川省仁寿县贵平镇中岗村9组</v>
          </cell>
          <cell r="I787">
            <v>18384765932</v>
          </cell>
        </row>
        <row r="788">
          <cell r="C788" t="str">
            <v>511121195611206966</v>
          </cell>
          <cell r="D788" t="str">
            <v>女</v>
          </cell>
          <cell r="E788" t="str">
            <v>汉族</v>
          </cell>
          <cell r="F788" t="str">
            <v>19561120</v>
          </cell>
          <cell r="G788">
            <v>65</v>
          </cell>
          <cell r="H788" t="str">
            <v>四川省仁寿县贵平镇中岗村9组</v>
          </cell>
          <cell r="I788">
            <v>18227814695</v>
          </cell>
        </row>
        <row r="789">
          <cell r="C789" t="str">
            <v>511121195703296938</v>
          </cell>
          <cell r="D789" t="str">
            <v>男</v>
          </cell>
          <cell r="E789" t="str">
            <v>汉族</v>
          </cell>
          <cell r="F789" t="str">
            <v>19570329</v>
          </cell>
          <cell r="G789">
            <v>64</v>
          </cell>
          <cell r="H789" t="str">
            <v>四川省仁寿县贵平镇中岗村9组</v>
          </cell>
          <cell r="I789">
            <v>17394962820</v>
          </cell>
        </row>
        <row r="790">
          <cell r="C790" t="str">
            <v>511121196809236946</v>
          </cell>
          <cell r="D790" t="str">
            <v>女</v>
          </cell>
          <cell r="E790" t="str">
            <v>汉族</v>
          </cell>
          <cell r="F790" t="str">
            <v>19680923</v>
          </cell>
          <cell r="G790">
            <v>53</v>
          </cell>
          <cell r="H790" t="str">
            <v>四川省仁寿县贵平镇中岗村9组</v>
          </cell>
          <cell r="I790">
            <v>18208142077</v>
          </cell>
        </row>
        <row r="791">
          <cell r="C791" t="str">
            <v>513822198709066949</v>
          </cell>
          <cell r="D791" t="str">
            <v>女</v>
          </cell>
          <cell r="E791" t="str">
            <v>汉族</v>
          </cell>
          <cell r="F791" t="str">
            <v>19870906</v>
          </cell>
          <cell r="G791">
            <v>34</v>
          </cell>
          <cell r="H791" t="str">
            <v>四川省仁寿县贵平镇中岗村9组</v>
          </cell>
          <cell r="I791">
            <v>15308095048</v>
          </cell>
        </row>
        <row r="792">
          <cell r="C792" t="str">
            <v>51142120150414686X</v>
          </cell>
          <cell r="D792" t="str">
            <v>女</v>
          </cell>
          <cell r="E792" t="str">
            <v>汉族</v>
          </cell>
          <cell r="F792" t="str">
            <v>20150414</v>
          </cell>
          <cell r="G792">
            <v>6</v>
          </cell>
          <cell r="H792" t="str">
            <v>四川省仁寿县贵平镇中岗村9组</v>
          </cell>
        </row>
        <row r="793">
          <cell r="C793" t="str">
            <v>511121197012246930</v>
          </cell>
          <cell r="D793" t="str">
            <v>男</v>
          </cell>
          <cell r="E793" t="str">
            <v>汉族</v>
          </cell>
          <cell r="F793" t="str">
            <v>19701224</v>
          </cell>
          <cell r="G793">
            <v>51</v>
          </cell>
          <cell r="H793" t="str">
            <v>四川省仁寿县贵平镇中岗村9组</v>
          </cell>
          <cell r="I793">
            <v>15882036390</v>
          </cell>
        </row>
        <row r="794">
          <cell r="C794" t="str">
            <v>511121197505286949</v>
          </cell>
          <cell r="D794" t="str">
            <v>女</v>
          </cell>
          <cell r="E794" t="str">
            <v>汉族</v>
          </cell>
          <cell r="F794" t="str">
            <v>19750528</v>
          </cell>
          <cell r="G794">
            <v>46</v>
          </cell>
          <cell r="H794" t="str">
            <v>四川省仁寿县贵平镇中岗村9组</v>
          </cell>
          <cell r="I794">
            <v>13551295843</v>
          </cell>
        </row>
        <row r="795">
          <cell r="C795" t="str">
            <v>513822200110056728</v>
          </cell>
          <cell r="D795" t="str">
            <v>女</v>
          </cell>
          <cell r="E795" t="str">
            <v>汉族</v>
          </cell>
          <cell r="F795" t="str">
            <v>20011005</v>
          </cell>
          <cell r="G795">
            <v>20</v>
          </cell>
          <cell r="H795" t="str">
            <v>四川省仁寿县贵平镇中岗村9组</v>
          </cell>
          <cell r="I795">
            <v>19822914917</v>
          </cell>
        </row>
        <row r="796">
          <cell r="D796" t="str">
            <v>男</v>
          </cell>
          <cell r="E796" t="str">
            <v>汉族</v>
          </cell>
          <cell r="F796" t="str">
            <v/>
          </cell>
          <cell r="G796" t="e">
            <v>#VALUE!</v>
          </cell>
          <cell r="H796" t="str">
            <v>四川省仁寿县贵平镇中岗村9组</v>
          </cell>
        </row>
        <row r="797">
          <cell r="C797" t="str">
            <v>511121196510146946</v>
          </cell>
          <cell r="D797" t="str">
            <v>女</v>
          </cell>
          <cell r="E797" t="str">
            <v>汉族</v>
          </cell>
          <cell r="F797" t="str">
            <v>19651014</v>
          </cell>
          <cell r="G797">
            <v>56</v>
          </cell>
          <cell r="H797" t="str">
            <v>四川省仁寿县贵平镇中岗村9组</v>
          </cell>
          <cell r="I797">
            <v>13547690249</v>
          </cell>
        </row>
        <row r="798">
          <cell r="C798" t="str">
            <v>513822198701126943</v>
          </cell>
          <cell r="D798" t="str">
            <v>女</v>
          </cell>
          <cell r="E798" t="str">
            <v>汉族</v>
          </cell>
          <cell r="F798" t="str">
            <v>19870112</v>
          </cell>
          <cell r="G798">
            <v>34</v>
          </cell>
          <cell r="H798" t="str">
            <v>四川省仁寿县贵平镇中岗村9组</v>
          </cell>
          <cell r="I798">
            <v>13565172175</v>
          </cell>
        </row>
        <row r="799">
          <cell r="C799" t="str">
            <v>51142120160608679X</v>
          </cell>
          <cell r="D799" t="str">
            <v>男</v>
          </cell>
          <cell r="E799" t="str">
            <v>汉族</v>
          </cell>
          <cell r="F799" t="str">
            <v>20160608</v>
          </cell>
          <cell r="G799">
            <v>5</v>
          </cell>
          <cell r="H799" t="str">
            <v>四川省仁寿县贵平镇中岗村9组</v>
          </cell>
        </row>
        <row r="800">
          <cell r="C800" t="str">
            <v>51382219860101694X</v>
          </cell>
          <cell r="D800" t="str">
            <v>女</v>
          </cell>
          <cell r="E800" t="str">
            <v>汉族</v>
          </cell>
          <cell r="F800" t="str">
            <v>19860101</v>
          </cell>
          <cell r="G800">
            <v>35</v>
          </cell>
          <cell r="H800" t="str">
            <v>四川省仁寿县贵平镇中岗村9组</v>
          </cell>
          <cell r="I800">
            <v>13779393559</v>
          </cell>
        </row>
        <row r="801">
          <cell r="C801" t="str">
            <v>511121196310076939</v>
          </cell>
          <cell r="D801" t="str">
            <v>男</v>
          </cell>
          <cell r="E801" t="str">
            <v>汉族</v>
          </cell>
          <cell r="F801" t="str">
            <v>19631007</v>
          </cell>
          <cell r="G801">
            <v>58</v>
          </cell>
          <cell r="H801" t="str">
            <v>四川省仁寿县贵平镇中岗村9组</v>
          </cell>
          <cell r="I801">
            <v>18382297531</v>
          </cell>
        </row>
        <row r="802">
          <cell r="C802" t="str">
            <v>511121196504106948</v>
          </cell>
          <cell r="D802" t="str">
            <v>女</v>
          </cell>
          <cell r="E802" t="str">
            <v>汉族</v>
          </cell>
          <cell r="F802" t="str">
            <v>19650410</v>
          </cell>
          <cell r="G802">
            <v>56</v>
          </cell>
          <cell r="H802" t="str">
            <v>四川省仁寿县贵平镇中岗村9组</v>
          </cell>
        </row>
        <row r="803">
          <cell r="C803" t="str">
            <v>511121193312016944</v>
          </cell>
          <cell r="D803" t="str">
            <v>女</v>
          </cell>
          <cell r="E803" t="str">
            <v>汉族</v>
          </cell>
          <cell r="F803" t="str">
            <v>19331201</v>
          </cell>
          <cell r="G803">
            <v>88</v>
          </cell>
          <cell r="H803" t="str">
            <v>四川省仁寿县贵平镇中岗村9组</v>
          </cell>
        </row>
        <row r="804">
          <cell r="C804" t="str">
            <v>513822198609126932</v>
          </cell>
          <cell r="D804" t="str">
            <v>男</v>
          </cell>
          <cell r="E804" t="str">
            <v>汉族</v>
          </cell>
          <cell r="F804" t="str">
            <v>19860912</v>
          </cell>
          <cell r="G804">
            <v>35</v>
          </cell>
          <cell r="H804" t="str">
            <v>四川省仁寿县贵平镇中岗村9组</v>
          </cell>
          <cell r="I804">
            <v>13540435133</v>
          </cell>
        </row>
        <row r="805">
          <cell r="C805" t="str">
            <v>513822198809096862</v>
          </cell>
          <cell r="D805" t="str">
            <v>女</v>
          </cell>
          <cell r="E805" t="str">
            <v>汉族</v>
          </cell>
          <cell r="F805" t="str">
            <v>19880909</v>
          </cell>
          <cell r="G805">
            <v>33</v>
          </cell>
          <cell r="H805" t="str">
            <v>四川省仁寿县贵平镇中岗村9组</v>
          </cell>
          <cell r="I805">
            <v>13547808056</v>
          </cell>
        </row>
        <row r="806">
          <cell r="C806" t="str">
            <v>511421201011116785</v>
          </cell>
          <cell r="D806" t="str">
            <v>女</v>
          </cell>
          <cell r="E806" t="str">
            <v>汉族</v>
          </cell>
          <cell r="F806" t="str">
            <v>20101111</v>
          </cell>
          <cell r="G806">
            <v>11</v>
          </cell>
          <cell r="H806" t="str">
            <v>四川省仁寿县贵平镇中岗村9组</v>
          </cell>
        </row>
        <row r="807">
          <cell r="C807" t="str">
            <v>511121192905016937</v>
          </cell>
          <cell r="D807" t="str">
            <v>男</v>
          </cell>
          <cell r="E807" t="str">
            <v>汉族</v>
          </cell>
          <cell r="F807" t="str">
            <v>19290501</v>
          </cell>
          <cell r="G807">
            <v>92</v>
          </cell>
          <cell r="H807" t="str">
            <v>四川省仁寿县贵平镇中岗村9组</v>
          </cell>
        </row>
        <row r="808">
          <cell r="C808" t="str">
            <v>511121197105096855</v>
          </cell>
          <cell r="D808" t="str">
            <v>男</v>
          </cell>
          <cell r="E808" t="str">
            <v>汉族</v>
          </cell>
          <cell r="F808" t="str">
            <v>19710509</v>
          </cell>
          <cell r="G808">
            <v>50</v>
          </cell>
          <cell r="H808" t="str">
            <v>四川省仁寿县贵平镇中岗村9组</v>
          </cell>
          <cell r="I808">
            <v>13258188136</v>
          </cell>
        </row>
        <row r="809">
          <cell r="C809" t="str">
            <v>511121197208227168</v>
          </cell>
          <cell r="D809" t="str">
            <v>女</v>
          </cell>
          <cell r="E809" t="str">
            <v>汉族</v>
          </cell>
          <cell r="F809" t="str">
            <v>19720822</v>
          </cell>
          <cell r="G809">
            <v>49</v>
          </cell>
          <cell r="H809" t="str">
            <v>四川省仁寿县贵平镇中岗村9组</v>
          </cell>
          <cell r="I809">
            <v>13551188315</v>
          </cell>
        </row>
        <row r="810">
          <cell r="C810" t="str">
            <v>513822199407316935</v>
          </cell>
          <cell r="D810" t="str">
            <v>男</v>
          </cell>
          <cell r="E810" t="str">
            <v>汉族</v>
          </cell>
          <cell r="F810" t="str">
            <v>19940731</v>
          </cell>
          <cell r="G810">
            <v>27</v>
          </cell>
          <cell r="H810" t="str">
            <v>四川省仁寿县贵平镇中岗村9组</v>
          </cell>
          <cell r="I810">
            <v>13880162832</v>
          </cell>
        </row>
        <row r="811">
          <cell r="C811" t="str">
            <v>511121195404036941</v>
          </cell>
          <cell r="D811" t="str">
            <v>女</v>
          </cell>
          <cell r="E811" t="str">
            <v>汉族</v>
          </cell>
          <cell r="F811" t="str">
            <v>19540403</v>
          </cell>
          <cell r="G811">
            <v>67</v>
          </cell>
          <cell r="H811" t="str">
            <v>四川省仁寿县贵平镇中岗村9组</v>
          </cell>
          <cell r="I811">
            <v>18113658605</v>
          </cell>
        </row>
        <row r="812">
          <cell r="C812" t="str">
            <v>511121195101176947</v>
          </cell>
          <cell r="D812" t="str">
            <v>女</v>
          </cell>
          <cell r="E812" t="str">
            <v>汉族</v>
          </cell>
          <cell r="F812" t="str">
            <v>19510117</v>
          </cell>
          <cell r="G812">
            <v>70</v>
          </cell>
          <cell r="H812" t="str">
            <v>四川省仁寿县贵平镇中岗村9组</v>
          </cell>
          <cell r="I812">
            <v>13158770285</v>
          </cell>
        </row>
        <row r="813">
          <cell r="C813" t="str">
            <v>511121194707186942</v>
          </cell>
          <cell r="D813" t="str">
            <v>女</v>
          </cell>
          <cell r="E813" t="str">
            <v>汉族</v>
          </cell>
          <cell r="F813" t="str">
            <v>19470718</v>
          </cell>
          <cell r="G813">
            <v>74</v>
          </cell>
          <cell r="H813" t="str">
            <v>四川省仁寿县贵平镇中岗村9组</v>
          </cell>
          <cell r="I813">
            <v>18328373053</v>
          </cell>
        </row>
        <row r="814">
          <cell r="C814" t="str">
            <v>511121197412176935</v>
          </cell>
          <cell r="D814" t="str">
            <v>男</v>
          </cell>
          <cell r="E814" t="str">
            <v>汉族</v>
          </cell>
          <cell r="F814" t="str">
            <v>19741217</v>
          </cell>
          <cell r="G814">
            <v>47</v>
          </cell>
          <cell r="H814" t="str">
            <v>四川省仁寿县贵平镇中岗村9组</v>
          </cell>
          <cell r="I814">
            <v>13890348199</v>
          </cell>
        </row>
        <row r="815">
          <cell r="C815" t="str">
            <v>513822199903106937</v>
          </cell>
          <cell r="D815" t="str">
            <v>男</v>
          </cell>
          <cell r="E815" t="str">
            <v>汉族</v>
          </cell>
          <cell r="F815" t="str">
            <v>19990310</v>
          </cell>
          <cell r="G815">
            <v>22</v>
          </cell>
          <cell r="H815" t="str">
            <v>四川省仁寿县贵平镇中岗村9组</v>
          </cell>
          <cell r="I815">
            <v>18390807348</v>
          </cell>
        </row>
        <row r="816">
          <cell r="C816" t="str">
            <v>51112119780207693X</v>
          </cell>
          <cell r="D816" t="str">
            <v>男</v>
          </cell>
          <cell r="E816" t="str">
            <v>汉族</v>
          </cell>
          <cell r="F816" t="str">
            <v>19780207</v>
          </cell>
          <cell r="G816">
            <v>43</v>
          </cell>
          <cell r="H816" t="str">
            <v>四川省仁寿县贵平镇中岗村9组</v>
          </cell>
          <cell r="I816">
            <v>13890348199</v>
          </cell>
        </row>
        <row r="817">
          <cell r="C817" t="str">
            <v>510304197809161516</v>
          </cell>
          <cell r="D817" t="str">
            <v>男</v>
          </cell>
          <cell r="E817" t="str">
            <v>汉族</v>
          </cell>
          <cell r="F817" t="str">
            <v>19780916</v>
          </cell>
          <cell r="G817">
            <v>43</v>
          </cell>
          <cell r="H817" t="str">
            <v>四川省仁寿县贵平镇中岗村9组</v>
          </cell>
          <cell r="I817">
            <v>15881060450</v>
          </cell>
        </row>
        <row r="818">
          <cell r="C818" t="str">
            <v>511421201211216895</v>
          </cell>
          <cell r="D818" t="str">
            <v>男</v>
          </cell>
          <cell r="E818" t="str">
            <v>汉族</v>
          </cell>
          <cell r="F818" t="str">
            <v>20121121</v>
          </cell>
          <cell r="G818">
            <v>9</v>
          </cell>
          <cell r="H818" t="str">
            <v>四川省仁寿县贵平镇中岗村9组</v>
          </cell>
        </row>
        <row r="819">
          <cell r="C819" t="str">
            <v>511421201909190068</v>
          </cell>
          <cell r="D819" t="str">
            <v>女</v>
          </cell>
          <cell r="E819" t="str">
            <v>汉族</v>
          </cell>
          <cell r="F819" t="str">
            <v>20190919</v>
          </cell>
          <cell r="G819">
            <v>2</v>
          </cell>
          <cell r="H819" t="str">
            <v>四川省仁寿县贵平镇中岗村9组</v>
          </cell>
        </row>
        <row r="820">
          <cell r="C820" t="str">
            <v>511121195001166936</v>
          </cell>
          <cell r="D820" t="str">
            <v>男</v>
          </cell>
          <cell r="E820" t="str">
            <v>汉族</v>
          </cell>
          <cell r="F820" t="str">
            <v>19500116</v>
          </cell>
          <cell r="G820">
            <v>71</v>
          </cell>
          <cell r="H820" t="str">
            <v>四川省仁寿县贵平镇中岗村9组</v>
          </cell>
          <cell r="I820">
            <v>17360628021</v>
          </cell>
        </row>
        <row r="821">
          <cell r="C821" t="str">
            <v>51112119470528694X</v>
          </cell>
          <cell r="D821" t="str">
            <v>女</v>
          </cell>
          <cell r="E821" t="str">
            <v>汉族</v>
          </cell>
          <cell r="F821" t="str">
            <v>19470528</v>
          </cell>
          <cell r="G821">
            <v>74</v>
          </cell>
          <cell r="H821" t="str">
            <v>四川省仁寿县贵平镇中岗村9组</v>
          </cell>
          <cell r="I821">
            <v>17341986903</v>
          </cell>
        </row>
        <row r="822">
          <cell r="C822" t="str">
            <v>511421201307256859</v>
          </cell>
          <cell r="D822" t="str">
            <v>男</v>
          </cell>
          <cell r="E822" t="str">
            <v>汉族</v>
          </cell>
          <cell r="F822" t="str">
            <v>20130725</v>
          </cell>
          <cell r="G822">
            <v>8</v>
          </cell>
          <cell r="H822" t="str">
            <v>四川省仁寿县贵平镇中岗村9组</v>
          </cell>
        </row>
        <row r="823">
          <cell r="C823" t="str">
            <v>511121197301056949</v>
          </cell>
          <cell r="D823" t="str">
            <v>女</v>
          </cell>
          <cell r="E823" t="str">
            <v>汉族</v>
          </cell>
          <cell r="F823" t="str">
            <v>19730105</v>
          </cell>
          <cell r="G823">
            <v>48</v>
          </cell>
          <cell r="H823" t="str">
            <v>四川省仁寿县贵平镇中岗村9组</v>
          </cell>
        </row>
        <row r="824">
          <cell r="C824" t="str">
            <v>513822199506046969</v>
          </cell>
          <cell r="D824" t="str">
            <v>女</v>
          </cell>
          <cell r="E824" t="str">
            <v>汉族</v>
          </cell>
          <cell r="F824" t="str">
            <v>19950604</v>
          </cell>
          <cell r="G824">
            <v>26</v>
          </cell>
          <cell r="H824" t="str">
            <v>四川省仁寿县贵平镇中岗村9组</v>
          </cell>
          <cell r="I824" t="str">
            <v>15114010787</v>
          </cell>
        </row>
        <row r="825">
          <cell r="C825" t="str">
            <v>511121197202106939</v>
          </cell>
          <cell r="D825" t="str">
            <v>男</v>
          </cell>
          <cell r="E825" t="str">
            <v>汉族</v>
          </cell>
          <cell r="F825" t="str">
            <v>19720210</v>
          </cell>
          <cell r="G825">
            <v>49</v>
          </cell>
          <cell r="H825" t="str">
            <v>四川省仁寿县贵平镇中岗村9组</v>
          </cell>
          <cell r="I825">
            <v>18384787688</v>
          </cell>
        </row>
        <row r="826">
          <cell r="C826" t="str">
            <v>511121197201056722</v>
          </cell>
          <cell r="D826" t="str">
            <v>女</v>
          </cell>
          <cell r="E826" t="str">
            <v>汉族</v>
          </cell>
          <cell r="F826" t="str">
            <v>19720105</v>
          </cell>
          <cell r="G826">
            <v>49</v>
          </cell>
          <cell r="H826" t="str">
            <v>四川省仁寿县贵平镇中岗村9组</v>
          </cell>
          <cell r="I826" t="str">
            <v>15984321633</v>
          </cell>
        </row>
        <row r="827">
          <cell r="C827" t="str">
            <v>511421200706186718</v>
          </cell>
          <cell r="D827" t="str">
            <v>男</v>
          </cell>
          <cell r="E827" t="str">
            <v>汉族</v>
          </cell>
          <cell r="F827" t="str">
            <v>20070618</v>
          </cell>
          <cell r="G827">
            <v>14</v>
          </cell>
          <cell r="H827" t="str">
            <v>四川省仁寿县贵平镇中岗村9组</v>
          </cell>
        </row>
        <row r="828">
          <cell r="C828" t="str">
            <v>511121196507196950</v>
          </cell>
          <cell r="D828" t="str">
            <v>男</v>
          </cell>
          <cell r="E828" t="str">
            <v>汉族</v>
          </cell>
          <cell r="F828" t="str">
            <v>19650719</v>
          </cell>
          <cell r="G828">
            <v>56</v>
          </cell>
          <cell r="H828" t="str">
            <v>四川省仁寿县贵平镇中岗村9组</v>
          </cell>
          <cell r="I828">
            <v>13980435048</v>
          </cell>
        </row>
        <row r="829">
          <cell r="C829" t="str">
            <v>511121196506256966</v>
          </cell>
          <cell r="D829" t="str">
            <v>女</v>
          </cell>
          <cell r="E829" t="str">
            <v>汉族</v>
          </cell>
          <cell r="F829" t="str">
            <v>19650625</v>
          </cell>
          <cell r="G829">
            <v>56</v>
          </cell>
          <cell r="H829" t="str">
            <v>四川省仁寿县贵平镇中岗村9组</v>
          </cell>
          <cell r="I829">
            <v>13540687598</v>
          </cell>
        </row>
        <row r="830">
          <cell r="C830" t="str">
            <v>513822198812156934</v>
          </cell>
          <cell r="D830" t="str">
            <v>男</v>
          </cell>
          <cell r="E830" t="str">
            <v>汉族</v>
          </cell>
          <cell r="F830" t="str">
            <v>19881215</v>
          </cell>
          <cell r="G830">
            <v>33</v>
          </cell>
          <cell r="H830" t="str">
            <v>四川省仁寿县贵平镇中岗村9组</v>
          </cell>
          <cell r="I830">
            <v>13980916704</v>
          </cell>
        </row>
        <row r="831">
          <cell r="C831" t="str">
            <v>51112119510821693X</v>
          </cell>
          <cell r="D831" t="str">
            <v>男</v>
          </cell>
          <cell r="E831" t="str">
            <v>汉族</v>
          </cell>
          <cell r="F831" t="str">
            <v>19510821</v>
          </cell>
          <cell r="G831">
            <v>70</v>
          </cell>
          <cell r="H831" t="str">
            <v>四川省仁寿县贵平镇中岗村9组</v>
          </cell>
          <cell r="I831">
            <v>18123027838</v>
          </cell>
        </row>
        <row r="832">
          <cell r="C832" t="str">
            <v>511121195103196941</v>
          </cell>
          <cell r="D832" t="str">
            <v>女</v>
          </cell>
          <cell r="E832" t="str">
            <v>汉族</v>
          </cell>
          <cell r="F832" t="str">
            <v>19510319</v>
          </cell>
          <cell r="G832">
            <v>70</v>
          </cell>
          <cell r="H832" t="str">
            <v>四川省仁寿县贵平镇中岗村9组</v>
          </cell>
        </row>
        <row r="833">
          <cell r="C833" t="str">
            <v>511121195412056934</v>
          </cell>
          <cell r="D833" t="str">
            <v>男</v>
          </cell>
          <cell r="E833" t="str">
            <v>汉族</v>
          </cell>
          <cell r="F833" t="str">
            <v>19541205</v>
          </cell>
          <cell r="G833">
            <v>67</v>
          </cell>
          <cell r="H833" t="str">
            <v>四川省仁寿县贵平镇中岗村9组</v>
          </cell>
          <cell r="I833">
            <v>15386688457</v>
          </cell>
        </row>
        <row r="834">
          <cell r="C834" t="str">
            <v>511121195302196944</v>
          </cell>
          <cell r="D834" t="str">
            <v>女</v>
          </cell>
          <cell r="E834" t="str">
            <v>汉族</v>
          </cell>
          <cell r="F834" t="str">
            <v>19530219</v>
          </cell>
          <cell r="G834">
            <v>68</v>
          </cell>
          <cell r="H834" t="str">
            <v>四川省仁寿县贵平镇中岗村9组</v>
          </cell>
          <cell r="I834">
            <v>19981685033</v>
          </cell>
        </row>
        <row r="835">
          <cell r="C835" t="str">
            <v>511121198007126939</v>
          </cell>
          <cell r="D835" t="str">
            <v>男</v>
          </cell>
          <cell r="E835" t="str">
            <v>汉族</v>
          </cell>
          <cell r="F835" t="str">
            <v>19800712</v>
          </cell>
          <cell r="G835">
            <v>41</v>
          </cell>
          <cell r="H835" t="str">
            <v>四川省仁寿县贵平镇中岗村9组</v>
          </cell>
          <cell r="I835">
            <v>15308009816</v>
          </cell>
        </row>
        <row r="836">
          <cell r="C836" t="str">
            <v>51142120050529670X</v>
          </cell>
          <cell r="D836" t="str">
            <v>女</v>
          </cell>
          <cell r="E836" t="str">
            <v>汉族</v>
          </cell>
          <cell r="F836" t="str">
            <v>20050529</v>
          </cell>
          <cell r="G836">
            <v>16</v>
          </cell>
          <cell r="H836" t="str">
            <v>四川省仁寿县贵平镇中岗村9组</v>
          </cell>
          <cell r="I836">
            <v>19981685033</v>
          </cell>
        </row>
        <row r="837">
          <cell r="C837" t="str">
            <v>511121194107106937</v>
          </cell>
          <cell r="D837" t="str">
            <v>男</v>
          </cell>
          <cell r="E837" t="str">
            <v>汉族</v>
          </cell>
          <cell r="F837" t="str">
            <v>19410710</v>
          </cell>
          <cell r="G837">
            <v>80</v>
          </cell>
          <cell r="H837" t="str">
            <v>四川省仁寿县贵平镇中岗村9组</v>
          </cell>
          <cell r="I837">
            <v>18328077122</v>
          </cell>
        </row>
        <row r="838">
          <cell r="C838" t="str">
            <v>51112119460426694X</v>
          </cell>
          <cell r="D838" t="str">
            <v>女</v>
          </cell>
          <cell r="E838" t="str">
            <v>汉族</v>
          </cell>
          <cell r="F838" t="str">
            <v>19460426</v>
          </cell>
          <cell r="G838">
            <v>75</v>
          </cell>
          <cell r="H838" t="str">
            <v>四川省仁寿县贵平镇中岗村9组</v>
          </cell>
        </row>
        <row r="839">
          <cell r="C839" t="str">
            <v>511121196912136935</v>
          </cell>
          <cell r="D839" t="str">
            <v>男</v>
          </cell>
          <cell r="E839" t="str">
            <v>汉族</v>
          </cell>
          <cell r="F839" t="str">
            <v>19691213</v>
          </cell>
          <cell r="G839">
            <v>52</v>
          </cell>
          <cell r="H839" t="str">
            <v>四川省仁寿县贵平镇中岗村9组</v>
          </cell>
          <cell r="I839">
            <v>18880411198</v>
          </cell>
        </row>
        <row r="840">
          <cell r="C840" t="str">
            <v>511121197202216943</v>
          </cell>
          <cell r="D840" t="str">
            <v>女</v>
          </cell>
          <cell r="E840" t="str">
            <v>汉族</v>
          </cell>
          <cell r="F840" t="str">
            <v>19720221</v>
          </cell>
          <cell r="G840">
            <v>49</v>
          </cell>
          <cell r="H840" t="str">
            <v>四川省仁寿县贵平镇中岗村9组</v>
          </cell>
          <cell r="I840">
            <v>13219744461</v>
          </cell>
        </row>
        <row r="841">
          <cell r="C841" t="str">
            <v>511421200501126770</v>
          </cell>
          <cell r="D841" t="str">
            <v>男</v>
          </cell>
          <cell r="E841" t="str">
            <v>汉族</v>
          </cell>
          <cell r="F841" t="str">
            <v>20050112</v>
          </cell>
          <cell r="G841">
            <v>16</v>
          </cell>
          <cell r="H841" t="str">
            <v>四川省仁寿县贵平镇中岗村9组</v>
          </cell>
          <cell r="I841">
            <v>18227688827</v>
          </cell>
        </row>
        <row r="842">
          <cell r="C842" t="str">
            <v>511121194901156931</v>
          </cell>
          <cell r="D842" t="str">
            <v>男</v>
          </cell>
          <cell r="E842" t="str">
            <v>汉族</v>
          </cell>
          <cell r="F842" t="str">
            <v>19490115</v>
          </cell>
          <cell r="G842">
            <v>72</v>
          </cell>
          <cell r="H842" t="str">
            <v>四川省仁寿县贵平镇中岗村9组</v>
          </cell>
        </row>
        <row r="843">
          <cell r="C843" t="str">
            <v>511121195212226943</v>
          </cell>
          <cell r="D843" t="str">
            <v>女</v>
          </cell>
          <cell r="E843" t="str">
            <v>汉族</v>
          </cell>
          <cell r="F843" t="str">
            <v>19521222</v>
          </cell>
          <cell r="G843">
            <v>69</v>
          </cell>
          <cell r="H843" t="str">
            <v>四川省仁寿县贵平镇中岗村9组</v>
          </cell>
          <cell r="I843">
            <v>13350534796</v>
          </cell>
        </row>
        <row r="844">
          <cell r="C844" t="str">
            <v>511121197107106930</v>
          </cell>
          <cell r="D844" t="str">
            <v>男</v>
          </cell>
          <cell r="E844" t="str">
            <v>汉族</v>
          </cell>
          <cell r="F844" t="str">
            <v>19710710</v>
          </cell>
          <cell r="G844">
            <v>50</v>
          </cell>
          <cell r="H844" t="str">
            <v>四川省仁寿县贵平镇中岗村9组</v>
          </cell>
          <cell r="I844">
            <v>15018534368</v>
          </cell>
        </row>
        <row r="845">
          <cell r="C845" t="str">
            <v>511121197003096942</v>
          </cell>
          <cell r="D845" t="str">
            <v>女</v>
          </cell>
          <cell r="E845" t="str">
            <v>汉族</v>
          </cell>
          <cell r="F845" t="str">
            <v>19700309</v>
          </cell>
          <cell r="G845">
            <v>51</v>
          </cell>
          <cell r="H845" t="str">
            <v>四川省仁寿县贵平镇中岗村9组</v>
          </cell>
          <cell r="I845" t="str">
            <v>15814400503</v>
          </cell>
        </row>
        <row r="846">
          <cell r="C846" t="str">
            <v>513822199411066940</v>
          </cell>
          <cell r="D846" t="str">
            <v>女</v>
          </cell>
          <cell r="E846" t="str">
            <v>汉族</v>
          </cell>
          <cell r="F846" t="str">
            <v>19941106</v>
          </cell>
          <cell r="G846">
            <v>27</v>
          </cell>
          <cell r="H846" t="str">
            <v>四川省仁寿县贵平镇中岗村9组</v>
          </cell>
          <cell r="I846">
            <v>13728751852</v>
          </cell>
        </row>
        <row r="847">
          <cell r="C847" t="str">
            <v>513822199310066941</v>
          </cell>
          <cell r="D847" t="str">
            <v>女</v>
          </cell>
          <cell r="E847" t="str">
            <v>汉族</v>
          </cell>
          <cell r="F847" t="str">
            <v>19931006</v>
          </cell>
          <cell r="G847">
            <v>28</v>
          </cell>
          <cell r="H847" t="str">
            <v>四川省仁寿县贵平镇中岗村9组</v>
          </cell>
          <cell r="I847">
            <v>18782165078</v>
          </cell>
        </row>
        <row r="848">
          <cell r="C848" t="str">
            <v>511421201709150352</v>
          </cell>
          <cell r="D848" t="str">
            <v>男</v>
          </cell>
          <cell r="E848" t="str">
            <v>汉族</v>
          </cell>
          <cell r="F848" t="str">
            <v>20170915</v>
          </cell>
          <cell r="G848">
            <v>4</v>
          </cell>
          <cell r="H848" t="str">
            <v>四川省仁寿县贵平镇中岗村9组</v>
          </cell>
        </row>
        <row r="849">
          <cell r="C849" t="str">
            <v>511121196710156938</v>
          </cell>
          <cell r="D849" t="str">
            <v>男</v>
          </cell>
          <cell r="E849" t="str">
            <v>汉族</v>
          </cell>
          <cell r="F849" t="str">
            <v>19671015</v>
          </cell>
          <cell r="G849">
            <v>54</v>
          </cell>
          <cell r="H849" t="str">
            <v>四川省仁寿县贵平镇中岗村9组</v>
          </cell>
          <cell r="I849">
            <v>13139831810</v>
          </cell>
        </row>
        <row r="850">
          <cell r="C850" t="str">
            <v>511121196606036944</v>
          </cell>
          <cell r="D850" t="str">
            <v>女</v>
          </cell>
          <cell r="E850" t="str">
            <v>汉族</v>
          </cell>
          <cell r="F850" t="str">
            <v>19660603</v>
          </cell>
          <cell r="G850">
            <v>55</v>
          </cell>
          <cell r="H850" t="str">
            <v>四川省仁寿县贵平镇中岗村9组</v>
          </cell>
        </row>
        <row r="851">
          <cell r="C851" t="str">
            <v>513822199001076935</v>
          </cell>
          <cell r="D851" t="str">
            <v>男</v>
          </cell>
          <cell r="E851" t="str">
            <v>汉族</v>
          </cell>
          <cell r="F851" t="str">
            <v>19900107</v>
          </cell>
          <cell r="G851">
            <v>31</v>
          </cell>
          <cell r="H851" t="str">
            <v>四川省仁寿县贵平镇中岗村9组</v>
          </cell>
          <cell r="I851">
            <v>1380557813</v>
          </cell>
        </row>
        <row r="852">
          <cell r="C852" t="str">
            <v>51382219891212768X</v>
          </cell>
          <cell r="D852" t="str">
            <v>女</v>
          </cell>
          <cell r="E852" t="str">
            <v>汉族</v>
          </cell>
          <cell r="F852" t="str">
            <v>19891212</v>
          </cell>
          <cell r="G852">
            <v>32</v>
          </cell>
          <cell r="H852" t="str">
            <v>四川省仁寿县贵平镇中岗村9组</v>
          </cell>
          <cell r="I852">
            <v>15984319492</v>
          </cell>
        </row>
        <row r="853">
          <cell r="C853" t="str">
            <v>511421201309206855</v>
          </cell>
          <cell r="D853" t="str">
            <v>男</v>
          </cell>
          <cell r="E853" t="str">
            <v>汉族</v>
          </cell>
          <cell r="F853" t="str">
            <v>20130920</v>
          </cell>
          <cell r="G853">
            <v>8</v>
          </cell>
          <cell r="H853" t="str">
            <v>四川省仁寿县贵平镇中岗村9组</v>
          </cell>
        </row>
        <row r="854">
          <cell r="C854" t="str">
            <v>51142120170810002X</v>
          </cell>
          <cell r="D854" t="str">
            <v>女</v>
          </cell>
          <cell r="E854" t="str">
            <v>汉族</v>
          </cell>
          <cell r="F854" t="str">
            <v>20170810</v>
          </cell>
          <cell r="G854">
            <v>4</v>
          </cell>
          <cell r="H854" t="str">
            <v>四川省仁寿县贵平镇中岗村9组</v>
          </cell>
        </row>
        <row r="855">
          <cell r="C855" t="str">
            <v>511121195412236935</v>
          </cell>
          <cell r="D855" t="str">
            <v>男</v>
          </cell>
          <cell r="E855" t="str">
            <v>汉族</v>
          </cell>
          <cell r="F855" t="str">
            <v>19541223</v>
          </cell>
          <cell r="G855">
            <v>67</v>
          </cell>
          <cell r="H855" t="str">
            <v>四川省仁寿县贵平镇中岗村9组</v>
          </cell>
          <cell r="I855">
            <v>13568300538</v>
          </cell>
        </row>
        <row r="856">
          <cell r="C856" t="str">
            <v>511121195808106942</v>
          </cell>
          <cell r="D856" t="str">
            <v>女</v>
          </cell>
          <cell r="E856" t="str">
            <v>汉族</v>
          </cell>
          <cell r="F856" t="str">
            <v>19580810</v>
          </cell>
          <cell r="G856">
            <v>63</v>
          </cell>
          <cell r="H856" t="str">
            <v>四川省仁寿县贵平镇中岗村9组</v>
          </cell>
          <cell r="I856">
            <v>13648133961</v>
          </cell>
        </row>
        <row r="857">
          <cell r="C857" t="str">
            <v>511121195512106978</v>
          </cell>
          <cell r="D857" t="str">
            <v>男</v>
          </cell>
          <cell r="E857" t="str">
            <v>汉族</v>
          </cell>
          <cell r="F857" t="str">
            <v>19551210</v>
          </cell>
          <cell r="G857">
            <v>66</v>
          </cell>
          <cell r="H857" t="str">
            <v>四川省仁寿县贵平镇中岗村9组</v>
          </cell>
          <cell r="I857">
            <v>18328115668</v>
          </cell>
        </row>
        <row r="858">
          <cell r="C858" t="str">
            <v>511121195403016949</v>
          </cell>
          <cell r="D858" t="str">
            <v>女</v>
          </cell>
          <cell r="E858" t="str">
            <v>汉族</v>
          </cell>
          <cell r="F858" t="str">
            <v>19540301</v>
          </cell>
          <cell r="G858">
            <v>67</v>
          </cell>
          <cell r="H858" t="str">
            <v>四川省仁寿县贵平镇中岗村9组</v>
          </cell>
          <cell r="I858">
            <v>15183335886</v>
          </cell>
        </row>
        <row r="859">
          <cell r="C859" t="str">
            <v>511121193006186945</v>
          </cell>
          <cell r="D859" t="str">
            <v>女</v>
          </cell>
          <cell r="E859" t="str">
            <v>汉族</v>
          </cell>
          <cell r="F859" t="str">
            <v>19300618</v>
          </cell>
          <cell r="G859">
            <v>91</v>
          </cell>
          <cell r="H859" t="str">
            <v>四川省仁寿县贵平镇中岗村9组</v>
          </cell>
        </row>
        <row r="860">
          <cell r="C860" t="str">
            <v>513822199004266937</v>
          </cell>
          <cell r="D860" t="str">
            <v>男</v>
          </cell>
          <cell r="E860" t="str">
            <v>汉族</v>
          </cell>
          <cell r="F860" t="str">
            <v>19900426</v>
          </cell>
          <cell r="G860">
            <v>31</v>
          </cell>
          <cell r="H860" t="str">
            <v>四川省仁寿县贵平镇中岗村9组</v>
          </cell>
          <cell r="I860">
            <v>18380171077</v>
          </cell>
        </row>
        <row r="861">
          <cell r="C861" t="str">
            <v>513822199211219201</v>
          </cell>
          <cell r="D861" t="str">
            <v>女</v>
          </cell>
          <cell r="E861" t="str">
            <v>汉族</v>
          </cell>
          <cell r="F861" t="str">
            <v>19921121</v>
          </cell>
          <cell r="G861">
            <v>29</v>
          </cell>
          <cell r="H861" t="str">
            <v>四川省仁寿县贵平镇中岗村9组</v>
          </cell>
          <cell r="I861">
            <v>15828479721</v>
          </cell>
        </row>
        <row r="862">
          <cell r="C862" t="str">
            <v>511421201103206999</v>
          </cell>
          <cell r="D862" t="str">
            <v>男</v>
          </cell>
          <cell r="E862" t="str">
            <v>汉族</v>
          </cell>
          <cell r="F862" t="str">
            <v>20110320</v>
          </cell>
          <cell r="G862">
            <v>10</v>
          </cell>
          <cell r="H862" t="str">
            <v>四川省仁寿县贵平镇中岗村9组</v>
          </cell>
        </row>
        <row r="863">
          <cell r="C863" t="str">
            <v>511421201704290030</v>
          </cell>
          <cell r="D863" t="str">
            <v>男</v>
          </cell>
          <cell r="E863" t="str">
            <v>汉族</v>
          </cell>
          <cell r="F863" t="str">
            <v>20170429</v>
          </cell>
          <cell r="G863">
            <v>4</v>
          </cell>
          <cell r="H863" t="str">
            <v>四川省仁寿县贵平镇中岗村9组</v>
          </cell>
        </row>
        <row r="864">
          <cell r="C864" t="str">
            <v>511121193512196943</v>
          </cell>
          <cell r="D864" t="str">
            <v>女</v>
          </cell>
          <cell r="E864" t="str">
            <v>汉族</v>
          </cell>
          <cell r="F864" t="str">
            <v>19351219</v>
          </cell>
          <cell r="G864">
            <v>86</v>
          </cell>
          <cell r="H864" t="str">
            <v>四川省仁寿县贵平镇中岗村9组</v>
          </cell>
          <cell r="I864">
            <v>13778869297</v>
          </cell>
        </row>
        <row r="865">
          <cell r="C865" t="str">
            <v>511121195802056956</v>
          </cell>
          <cell r="D865" t="str">
            <v>男</v>
          </cell>
          <cell r="E865" t="str">
            <v>汉族</v>
          </cell>
          <cell r="F865" t="str">
            <v>19580205</v>
          </cell>
          <cell r="G865">
            <v>63</v>
          </cell>
          <cell r="H865" t="str">
            <v>四川省仁寿县贵平镇中岗村9组</v>
          </cell>
        </row>
        <row r="866">
          <cell r="C866" t="str">
            <v>511121196112226932</v>
          </cell>
          <cell r="D866" t="str">
            <v>男</v>
          </cell>
          <cell r="E866" t="str">
            <v>汉族</v>
          </cell>
          <cell r="F866" t="str">
            <v>19611222</v>
          </cell>
          <cell r="G866">
            <v>60</v>
          </cell>
          <cell r="H866" t="str">
            <v>四川省仁寿县贵平镇中岗村9组</v>
          </cell>
          <cell r="I866">
            <v>18728378847</v>
          </cell>
        </row>
        <row r="867">
          <cell r="C867" t="str">
            <v>511121196104216945</v>
          </cell>
          <cell r="D867" t="str">
            <v>女</v>
          </cell>
          <cell r="E867" t="str">
            <v>汉族</v>
          </cell>
          <cell r="F867" t="str">
            <v>19610421</v>
          </cell>
          <cell r="G867">
            <v>60</v>
          </cell>
          <cell r="H867" t="str">
            <v>四川省仁寿县贵平镇中岗村9组</v>
          </cell>
          <cell r="I867">
            <v>15283783562</v>
          </cell>
        </row>
        <row r="868">
          <cell r="C868" t="str">
            <v>513822198712176938</v>
          </cell>
          <cell r="D868" t="str">
            <v>男</v>
          </cell>
          <cell r="E868" t="str">
            <v>汉族</v>
          </cell>
          <cell r="F868" t="str">
            <v>19871217</v>
          </cell>
          <cell r="G868">
            <v>34</v>
          </cell>
          <cell r="H868" t="str">
            <v>四川省仁寿县贵平镇中岗村9组</v>
          </cell>
          <cell r="I868">
            <v>13618000148</v>
          </cell>
        </row>
        <row r="869">
          <cell r="C869" t="str">
            <v>511421201903060043</v>
          </cell>
          <cell r="D869" t="str">
            <v>女</v>
          </cell>
          <cell r="E869" t="str">
            <v>汉族</v>
          </cell>
          <cell r="F869" t="str">
            <v>20190306</v>
          </cell>
          <cell r="G869">
            <v>2</v>
          </cell>
          <cell r="H869" t="str">
            <v>四川省仁寿县贵平镇中岗村9组</v>
          </cell>
        </row>
        <row r="870">
          <cell r="C870" t="str">
            <v>511121194510136933</v>
          </cell>
          <cell r="D870" t="str">
            <v>男</v>
          </cell>
          <cell r="E870" t="str">
            <v>汉族</v>
          </cell>
          <cell r="F870" t="str">
            <v>19451013</v>
          </cell>
          <cell r="G870">
            <v>76</v>
          </cell>
          <cell r="H870" t="str">
            <v>四川省仁寿县贵平镇中岗村9组</v>
          </cell>
          <cell r="I870">
            <v>13350718325</v>
          </cell>
        </row>
        <row r="871">
          <cell r="C871" t="str">
            <v>511121194606206940</v>
          </cell>
          <cell r="D871" t="str">
            <v>女</v>
          </cell>
          <cell r="E871" t="str">
            <v>汉族</v>
          </cell>
          <cell r="F871" t="str">
            <v>19460620</v>
          </cell>
          <cell r="G871">
            <v>75</v>
          </cell>
          <cell r="H871" t="str">
            <v>四川省仁寿县贵平镇中岗村9组</v>
          </cell>
          <cell r="I871">
            <v>18228181984</v>
          </cell>
        </row>
        <row r="872">
          <cell r="C872" t="str">
            <v>511121197501026939</v>
          </cell>
          <cell r="D872" t="str">
            <v>男</v>
          </cell>
          <cell r="E872" t="str">
            <v>汉族</v>
          </cell>
          <cell r="F872" t="str">
            <v>19750102</v>
          </cell>
          <cell r="G872">
            <v>46</v>
          </cell>
          <cell r="H872" t="str">
            <v>四川省仁寿县贵平镇中岗村9组</v>
          </cell>
          <cell r="I872">
            <v>1268769623</v>
          </cell>
        </row>
        <row r="873">
          <cell r="C873" t="str">
            <v>511121197611126869</v>
          </cell>
          <cell r="D873" t="str">
            <v>女</v>
          </cell>
          <cell r="E873" t="str">
            <v>汉族</v>
          </cell>
          <cell r="F873" t="str">
            <v>19761112</v>
          </cell>
          <cell r="G873">
            <v>45</v>
          </cell>
          <cell r="H873" t="str">
            <v>四川省仁寿县贵平镇中岗村9组</v>
          </cell>
          <cell r="I873">
            <v>13282502875</v>
          </cell>
        </row>
        <row r="874">
          <cell r="C874" t="str">
            <v>513822199804166934</v>
          </cell>
          <cell r="D874" t="str">
            <v>男</v>
          </cell>
          <cell r="E874" t="str">
            <v>汉族</v>
          </cell>
          <cell r="F874" t="str">
            <v>19980416</v>
          </cell>
          <cell r="G874">
            <v>23</v>
          </cell>
          <cell r="H874" t="str">
            <v>四川省仁寿县贵平镇中岗村9组</v>
          </cell>
          <cell r="I874">
            <v>15182356386</v>
          </cell>
        </row>
        <row r="875">
          <cell r="C875" t="str">
            <v>513822198505126938</v>
          </cell>
          <cell r="D875" t="str">
            <v>男</v>
          </cell>
          <cell r="E875" t="str">
            <v>汉族</v>
          </cell>
          <cell r="F875" t="str">
            <v>19850512</v>
          </cell>
          <cell r="G875">
            <v>36</v>
          </cell>
          <cell r="H875" t="str">
            <v>四川省仁寿县贵平镇中岗村9组</v>
          </cell>
          <cell r="I875">
            <v>18781970367</v>
          </cell>
        </row>
        <row r="876">
          <cell r="C876" t="str">
            <v>51062319881008882X</v>
          </cell>
          <cell r="D876" t="str">
            <v>女</v>
          </cell>
          <cell r="E876" t="str">
            <v>汉族</v>
          </cell>
          <cell r="F876" t="str">
            <v>19881008</v>
          </cell>
          <cell r="G876">
            <v>33</v>
          </cell>
          <cell r="H876" t="str">
            <v>四川省仁寿县贵平镇中岗村9组</v>
          </cell>
          <cell r="I876">
            <v>13688490962</v>
          </cell>
        </row>
        <row r="877">
          <cell r="C877" t="str">
            <v>511421201207106968</v>
          </cell>
          <cell r="D877" t="str">
            <v>女</v>
          </cell>
          <cell r="E877" t="str">
            <v>汉族</v>
          </cell>
          <cell r="F877" t="str">
            <v>20120710</v>
          </cell>
          <cell r="G877">
            <v>9</v>
          </cell>
          <cell r="H877" t="str">
            <v>四川省仁寿县贵平镇中岗村9组</v>
          </cell>
        </row>
        <row r="878">
          <cell r="C878" t="str">
            <v>511121196404106932</v>
          </cell>
          <cell r="D878" t="str">
            <v>男</v>
          </cell>
          <cell r="E878" t="str">
            <v>汉族</v>
          </cell>
          <cell r="F878" t="str">
            <v>19640410</v>
          </cell>
          <cell r="G878">
            <v>57</v>
          </cell>
          <cell r="H878" t="str">
            <v>四川省仁寿县贵平镇中岗村9组</v>
          </cell>
          <cell r="I878">
            <v>18728378466</v>
          </cell>
        </row>
        <row r="879">
          <cell r="C879" t="str">
            <v>511121196401286982</v>
          </cell>
          <cell r="D879" t="str">
            <v>女</v>
          </cell>
          <cell r="E879" t="str">
            <v>汉族</v>
          </cell>
          <cell r="F879" t="str">
            <v>19640128</v>
          </cell>
          <cell r="G879">
            <v>57</v>
          </cell>
          <cell r="H879" t="str">
            <v>四川省仁寿县贵平镇中岗村9组</v>
          </cell>
          <cell r="I879">
            <v>13890370292</v>
          </cell>
        </row>
        <row r="880">
          <cell r="C880" t="str">
            <v>513822198712236945</v>
          </cell>
          <cell r="D880" t="str">
            <v>女</v>
          </cell>
          <cell r="E880" t="str">
            <v>汉族</v>
          </cell>
          <cell r="F880" t="str">
            <v>19871223</v>
          </cell>
          <cell r="G880">
            <v>34</v>
          </cell>
          <cell r="H880" t="str">
            <v>四川省仁寿县贵平镇中岗村9组</v>
          </cell>
          <cell r="I880">
            <v>19940607583</v>
          </cell>
        </row>
        <row r="881">
          <cell r="C881" t="str">
            <v>511121195411066938</v>
          </cell>
          <cell r="D881" t="str">
            <v>男</v>
          </cell>
          <cell r="E881" t="str">
            <v>汉族</v>
          </cell>
          <cell r="F881" t="str">
            <v>19541106</v>
          </cell>
          <cell r="G881">
            <v>67</v>
          </cell>
          <cell r="H881" t="str">
            <v>四川省仁寿县贵平镇中岗村9组</v>
          </cell>
          <cell r="I881">
            <v>15884329757</v>
          </cell>
        </row>
        <row r="882">
          <cell r="C882" t="str">
            <v>511121195109096941</v>
          </cell>
          <cell r="D882" t="str">
            <v>女</v>
          </cell>
          <cell r="E882" t="str">
            <v>汉族</v>
          </cell>
          <cell r="F882" t="str">
            <v>19510909</v>
          </cell>
          <cell r="G882">
            <v>70</v>
          </cell>
          <cell r="H882" t="str">
            <v>四川省仁寿县贵平镇中岗村9组</v>
          </cell>
        </row>
        <row r="883">
          <cell r="C883" t="str">
            <v>511121197502026930</v>
          </cell>
          <cell r="D883" t="str">
            <v>男</v>
          </cell>
          <cell r="E883" t="str">
            <v>汉族</v>
          </cell>
          <cell r="F883" t="str">
            <v>19750202</v>
          </cell>
          <cell r="G883">
            <v>46</v>
          </cell>
          <cell r="H883" t="str">
            <v>四川省仁寿县贵平镇中岗村9组</v>
          </cell>
          <cell r="I883">
            <v>13548147876</v>
          </cell>
        </row>
        <row r="884">
          <cell r="C884" t="str">
            <v>511121194604146948</v>
          </cell>
          <cell r="D884" t="str">
            <v>女</v>
          </cell>
          <cell r="E884" t="str">
            <v>汉族</v>
          </cell>
          <cell r="F884" t="str">
            <v>19460414</v>
          </cell>
          <cell r="G884">
            <v>75</v>
          </cell>
          <cell r="H884" t="str">
            <v>四川省仁寿县贵平镇中岗村9组</v>
          </cell>
          <cell r="I884">
            <v>13547677582</v>
          </cell>
        </row>
        <row r="885">
          <cell r="C885" t="str">
            <v>513822199707036943</v>
          </cell>
          <cell r="D885" t="str">
            <v>女</v>
          </cell>
          <cell r="E885" t="str">
            <v>汉族</v>
          </cell>
          <cell r="F885" t="str">
            <v>19970703</v>
          </cell>
          <cell r="G885">
            <v>24</v>
          </cell>
          <cell r="H885" t="str">
            <v>四川省仁寿县贵平镇中岗村9组</v>
          </cell>
        </row>
        <row r="886">
          <cell r="C886" t="str">
            <v>511121196201256949</v>
          </cell>
          <cell r="D886" t="str">
            <v>女</v>
          </cell>
          <cell r="E886" t="str">
            <v>汉族</v>
          </cell>
          <cell r="F886" t="str">
            <v>19620125</v>
          </cell>
          <cell r="G886">
            <v>59</v>
          </cell>
          <cell r="H886" t="str">
            <v>四川省仁寿县贵平镇中岗村9组</v>
          </cell>
          <cell r="I886">
            <v>18299499589</v>
          </cell>
        </row>
        <row r="887">
          <cell r="C887" t="str">
            <v>511121195206016958</v>
          </cell>
          <cell r="D887" t="str">
            <v>男</v>
          </cell>
          <cell r="E887" t="str">
            <v>汉族</v>
          </cell>
          <cell r="F887" t="str">
            <v>19520601</v>
          </cell>
          <cell r="G887">
            <v>69</v>
          </cell>
          <cell r="H887" t="str">
            <v>四川省仁寿县贵平镇中岗村9组</v>
          </cell>
          <cell r="I887">
            <v>18090083671</v>
          </cell>
        </row>
        <row r="888">
          <cell r="C888" t="str">
            <v>511121195009106962</v>
          </cell>
          <cell r="D888" t="str">
            <v>女</v>
          </cell>
          <cell r="E888" t="str">
            <v>汉族</v>
          </cell>
          <cell r="F888" t="str">
            <v>19500910</v>
          </cell>
          <cell r="G888">
            <v>71</v>
          </cell>
          <cell r="H888" t="str">
            <v>四川省仁寿县贵平镇中岗村9组</v>
          </cell>
          <cell r="I888">
            <v>17360627364</v>
          </cell>
        </row>
        <row r="889">
          <cell r="C889" t="str">
            <v>511121197603276939</v>
          </cell>
          <cell r="D889" t="str">
            <v>男</v>
          </cell>
          <cell r="E889" t="str">
            <v>汉族</v>
          </cell>
          <cell r="F889" t="str">
            <v>19760327</v>
          </cell>
          <cell r="G889">
            <v>45</v>
          </cell>
          <cell r="H889" t="str">
            <v>四川省仁寿县贵平镇中岗村9组</v>
          </cell>
          <cell r="I889">
            <v>13730617498</v>
          </cell>
        </row>
        <row r="890">
          <cell r="C890" t="str">
            <v>513822200102026705</v>
          </cell>
          <cell r="D890" t="str">
            <v>女</v>
          </cell>
          <cell r="E890" t="str">
            <v>汉族</v>
          </cell>
          <cell r="F890" t="str">
            <v>20010202</v>
          </cell>
          <cell r="G890">
            <v>20</v>
          </cell>
          <cell r="H890" t="str">
            <v>四川省仁寿县贵平镇中岗村9组</v>
          </cell>
          <cell r="I890">
            <v>19981965647</v>
          </cell>
        </row>
        <row r="891">
          <cell r="C891" t="str">
            <v>511121192509106949</v>
          </cell>
          <cell r="D891" t="str">
            <v>女</v>
          </cell>
          <cell r="E891" t="str">
            <v>汉族</v>
          </cell>
          <cell r="F891" t="str">
            <v>19250910</v>
          </cell>
          <cell r="G891">
            <v>96</v>
          </cell>
          <cell r="H891" t="str">
            <v>四川省仁寿县贵平镇中岗村9组</v>
          </cell>
        </row>
        <row r="892">
          <cell r="C892" t="str">
            <v>511121194107146955</v>
          </cell>
          <cell r="D892" t="str">
            <v>男</v>
          </cell>
          <cell r="E892" t="str">
            <v>汉族</v>
          </cell>
          <cell r="F892" t="str">
            <v>19410714</v>
          </cell>
          <cell r="G892">
            <v>80</v>
          </cell>
          <cell r="H892" t="str">
            <v>四川省仁寿县贵平镇中岗村9组</v>
          </cell>
          <cell r="I892">
            <v>18089523174</v>
          </cell>
        </row>
        <row r="893">
          <cell r="C893" t="str">
            <v>51112119660915695X</v>
          </cell>
          <cell r="D893" t="str">
            <v>男</v>
          </cell>
          <cell r="E893" t="str">
            <v>汉族</v>
          </cell>
          <cell r="F893" t="str">
            <v>19660915</v>
          </cell>
          <cell r="G893">
            <v>55</v>
          </cell>
          <cell r="H893" t="str">
            <v>四川省仁寿县贵平镇中岗村9组</v>
          </cell>
          <cell r="I893">
            <v>15283756124</v>
          </cell>
        </row>
        <row r="894">
          <cell r="C894" t="str">
            <v>511121196910296927</v>
          </cell>
          <cell r="D894" t="str">
            <v>女</v>
          </cell>
          <cell r="E894" t="str">
            <v>汉族</v>
          </cell>
          <cell r="F894" t="str">
            <v>19691029</v>
          </cell>
          <cell r="G894">
            <v>52</v>
          </cell>
          <cell r="H894" t="str">
            <v>四川省仁寿县贵平镇中岗村9组</v>
          </cell>
          <cell r="I894">
            <v>18089521469</v>
          </cell>
        </row>
        <row r="895">
          <cell r="C895" t="str">
            <v>511121194409246943</v>
          </cell>
          <cell r="D895" t="str">
            <v>女</v>
          </cell>
          <cell r="E895" t="str">
            <v>汉族</v>
          </cell>
          <cell r="F895" t="str">
            <v>19440924</v>
          </cell>
          <cell r="G895">
            <v>77</v>
          </cell>
          <cell r="H895" t="str">
            <v>四川省仁寿县贵平镇中岗村9组</v>
          </cell>
        </row>
        <row r="896">
          <cell r="C896" t="str">
            <v>511121194408016935</v>
          </cell>
          <cell r="D896" t="str">
            <v>男</v>
          </cell>
          <cell r="E896" t="str">
            <v>汉族</v>
          </cell>
          <cell r="F896" t="str">
            <v>19440801</v>
          </cell>
          <cell r="G896">
            <v>77</v>
          </cell>
          <cell r="H896" t="str">
            <v>四川省仁寿县贵平镇中岗村9组</v>
          </cell>
        </row>
        <row r="897">
          <cell r="C897" t="str">
            <v>513822199003276949</v>
          </cell>
          <cell r="D897" t="str">
            <v>女</v>
          </cell>
          <cell r="E897" t="str">
            <v>汉族</v>
          </cell>
          <cell r="F897" t="str">
            <v>19900327</v>
          </cell>
          <cell r="G897">
            <v>31</v>
          </cell>
          <cell r="H897" t="str">
            <v>四川省仁寿县贵平镇中岗村9组</v>
          </cell>
          <cell r="I897">
            <v>13778820604</v>
          </cell>
        </row>
        <row r="898">
          <cell r="C898" t="str">
            <v>513822199210086961</v>
          </cell>
          <cell r="D898" t="str">
            <v>女</v>
          </cell>
          <cell r="E898" t="str">
            <v>汉族</v>
          </cell>
          <cell r="F898" t="str">
            <v>19921008</v>
          </cell>
          <cell r="G898">
            <v>29</v>
          </cell>
          <cell r="H898" t="str">
            <v>四川省仁寿县贵平镇中岗村9组</v>
          </cell>
          <cell r="I898">
            <v>18482132926</v>
          </cell>
        </row>
        <row r="899">
          <cell r="C899" t="str">
            <v>511121195107266935</v>
          </cell>
          <cell r="D899" t="str">
            <v>男</v>
          </cell>
          <cell r="E899" t="str">
            <v>汉族</v>
          </cell>
          <cell r="F899" t="str">
            <v>19510726</v>
          </cell>
          <cell r="G899">
            <v>70</v>
          </cell>
          <cell r="H899" t="str">
            <v>四川省仁寿县贵平镇中岗村9组</v>
          </cell>
          <cell r="I899">
            <v>15182219656</v>
          </cell>
        </row>
        <row r="900">
          <cell r="C900" t="str">
            <v>511121195008106944</v>
          </cell>
          <cell r="D900" t="str">
            <v>女</v>
          </cell>
          <cell r="E900" t="str">
            <v>汉族</v>
          </cell>
          <cell r="F900" t="str">
            <v>19500810</v>
          </cell>
          <cell r="G900">
            <v>71</v>
          </cell>
          <cell r="H900" t="str">
            <v>四川省仁寿县贵平镇中岗村9组</v>
          </cell>
          <cell r="I900">
            <v>18381459326</v>
          </cell>
        </row>
        <row r="901">
          <cell r="C901" t="str">
            <v>51112119281213693X</v>
          </cell>
          <cell r="D901" t="str">
            <v>男</v>
          </cell>
          <cell r="E901" t="str">
            <v>汉族</v>
          </cell>
          <cell r="F901" t="str">
            <v>19281213</v>
          </cell>
          <cell r="G901">
            <v>93</v>
          </cell>
          <cell r="H901" t="str">
            <v>四川省仁寿县贵平镇中岗村9组</v>
          </cell>
        </row>
        <row r="902">
          <cell r="C902" t="str">
            <v>511121196210146952</v>
          </cell>
          <cell r="D902" t="str">
            <v>男</v>
          </cell>
          <cell r="E902" t="str">
            <v>汉族</v>
          </cell>
          <cell r="F902" t="str">
            <v>19621014</v>
          </cell>
          <cell r="G902">
            <v>59</v>
          </cell>
          <cell r="H902" t="str">
            <v>四川省仁寿县贵平镇中岗村9组</v>
          </cell>
          <cell r="I902">
            <v>13438395456</v>
          </cell>
        </row>
        <row r="903">
          <cell r="C903" t="str">
            <v>511121196601056946</v>
          </cell>
          <cell r="D903" t="str">
            <v>女</v>
          </cell>
          <cell r="E903" t="str">
            <v>汉族</v>
          </cell>
          <cell r="F903" t="str">
            <v>19660105</v>
          </cell>
          <cell r="G903">
            <v>55</v>
          </cell>
          <cell r="H903" t="str">
            <v>四川省仁寿县贵平镇中岗村9组</v>
          </cell>
          <cell r="I903">
            <v>13402823904</v>
          </cell>
        </row>
        <row r="904">
          <cell r="C904" t="str">
            <v>511121195102136955</v>
          </cell>
          <cell r="D904" t="str">
            <v>男</v>
          </cell>
          <cell r="E904" t="str">
            <v>汉族</v>
          </cell>
          <cell r="F904" t="str">
            <v>19510213</v>
          </cell>
          <cell r="G904">
            <v>70</v>
          </cell>
          <cell r="H904" t="str">
            <v>四川省仁寿县贵平镇中岗村9组</v>
          </cell>
          <cell r="I904">
            <v>15775333349</v>
          </cell>
        </row>
        <row r="905">
          <cell r="C905" t="str">
            <v>511121195301156940</v>
          </cell>
          <cell r="D905" t="str">
            <v>女</v>
          </cell>
          <cell r="E905" t="str">
            <v>汉族</v>
          </cell>
          <cell r="F905" t="str">
            <v>19530115</v>
          </cell>
          <cell r="G905">
            <v>68</v>
          </cell>
          <cell r="H905" t="str">
            <v>四川省仁寿县贵平镇中岗村9组</v>
          </cell>
        </row>
        <row r="906">
          <cell r="C906" t="str">
            <v>511121197803066936</v>
          </cell>
          <cell r="D906" t="str">
            <v>男</v>
          </cell>
          <cell r="E906" t="str">
            <v>汉族</v>
          </cell>
          <cell r="F906" t="str">
            <v>19780306</v>
          </cell>
          <cell r="G906">
            <v>43</v>
          </cell>
          <cell r="H906" t="str">
            <v>四川省仁寿县贵平镇中岗村9组</v>
          </cell>
          <cell r="I906">
            <v>13568249793</v>
          </cell>
        </row>
        <row r="907">
          <cell r="C907" t="str">
            <v>511121197912056948</v>
          </cell>
          <cell r="D907" t="str">
            <v>女</v>
          </cell>
          <cell r="E907" t="str">
            <v>汉族</v>
          </cell>
          <cell r="F907" t="str">
            <v>19791205</v>
          </cell>
          <cell r="G907">
            <v>42</v>
          </cell>
          <cell r="H907" t="str">
            <v>四川省仁寿县贵平镇中岗村9组</v>
          </cell>
          <cell r="I907">
            <v>18140450162</v>
          </cell>
        </row>
        <row r="908">
          <cell r="C908" t="str">
            <v>513822199910156940</v>
          </cell>
          <cell r="D908" t="str">
            <v>女</v>
          </cell>
          <cell r="E908" t="str">
            <v>汉族</v>
          </cell>
          <cell r="F908" t="str">
            <v>19991015</v>
          </cell>
          <cell r="G908">
            <v>22</v>
          </cell>
          <cell r="H908" t="str">
            <v>四川省仁寿县贵平镇中岗村9组</v>
          </cell>
          <cell r="I908">
            <v>15328744032</v>
          </cell>
        </row>
        <row r="909">
          <cell r="C909" t="str">
            <v>511421201003266839</v>
          </cell>
          <cell r="D909" t="str">
            <v>男</v>
          </cell>
          <cell r="E909" t="str">
            <v>汉族</v>
          </cell>
          <cell r="F909" t="str">
            <v>20100326</v>
          </cell>
          <cell r="G909">
            <v>11</v>
          </cell>
          <cell r="H909" t="str">
            <v>四川省仁寿县贵平镇中岗村9组</v>
          </cell>
        </row>
        <row r="910">
          <cell r="C910" t="str">
            <v>511121193611306941</v>
          </cell>
          <cell r="D910" t="str">
            <v>女</v>
          </cell>
          <cell r="E910" t="str">
            <v>汉族</v>
          </cell>
          <cell r="F910" t="str">
            <v>19361130</v>
          </cell>
          <cell r="G910">
            <v>85</v>
          </cell>
          <cell r="H910" t="str">
            <v>四川省仁寿县贵平镇中岗村9组</v>
          </cell>
        </row>
        <row r="911">
          <cell r="C911" t="str">
            <v>513822199109236937</v>
          </cell>
          <cell r="D911" t="str">
            <v>男</v>
          </cell>
          <cell r="E911" t="str">
            <v>汉族</v>
          </cell>
          <cell r="F911" t="str">
            <v>19910923</v>
          </cell>
          <cell r="G911">
            <v>30</v>
          </cell>
          <cell r="H911" t="str">
            <v>四川省仁寿县贵平镇中岗村9组</v>
          </cell>
          <cell r="I911">
            <v>13990349279</v>
          </cell>
        </row>
        <row r="912">
          <cell r="C912" t="str">
            <v>513822199109246940</v>
          </cell>
          <cell r="D912" t="str">
            <v>女</v>
          </cell>
          <cell r="E912" t="str">
            <v>汉族</v>
          </cell>
          <cell r="F912" t="str">
            <v>19910924</v>
          </cell>
          <cell r="G912">
            <v>30</v>
          </cell>
          <cell r="H912" t="str">
            <v>四川省仁寿县贵平镇中岗村9组</v>
          </cell>
          <cell r="I912">
            <v>13648985824</v>
          </cell>
        </row>
        <row r="913">
          <cell r="C913" t="str">
            <v>511121196712096932</v>
          </cell>
          <cell r="D913" t="str">
            <v>男</v>
          </cell>
          <cell r="E913" t="str">
            <v>汉族</v>
          </cell>
          <cell r="F913" t="str">
            <v>19671209</v>
          </cell>
          <cell r="G913">
            <v>54</v>
          </cell>
          <cell r="H913" t="str">
            <v>四川省仁寿县贵平镇中岗村9组</v>
          </cell>
          <cell r="I913">
            <v>15008203552</v>
          </cell>
        </row>
        <row r="914">
          <cell r="C914" t="str">
            <v>51112119701220698X</v>
          </cell>
          <cell r="D914" t="str">
            <v>女</v>
          </cell>
          <cell r="E914" t="str">
            <v>汉族</v>
          </cell>
          <cell r="F914" t="str">
            <v>19701220</v>
          </cell>
          <cell r="G914">
            <v>51</v>
          </cell>
          <cell r="H914" t="str">
            <v>四川省仁寿县贵平镇中岗村9组</v>
          </cell>
          <cell r="I914">
            <v>13990363639</v>
          </cell>
        </row>
        <row r="915">
          <cell r="C915" t="str">
            <v>511421201812250132</v>
          </cell>
          <cell r="D915" t="str">
            <v>男</v>
          </cell>
          <cell r="E915" t="str">
            <v>汉族</v>
          </cell>
          <cell r="F915" t="str">
            <v>20181225</v>
          </cell>
          <cell r="G915">
            <v>3</v>
          </cell>
          <cell r="H915" t="str">
            <v>四川省仁寿县贵平镇中岗村9组</v>
          </cell>
        </row>
        <row r="916">
          <cell r="C916" t="str">
            <v>513822199510144967</v>
          </cell>
          <cell r="D916" t="str">
            <v>女</v>
          </cell>
          <cell r="E916" t="str">
            <v>汉族</v>
          </cell>
          <cell r="F916" t="str">
            <v>19951014</v>
          </cell>
          <cell r="G916">
            <v>26</v>
          </cell>
          <cell r="H916" t="str">
            <v>四川省仁寿县贵平镇中岗村9组</v>
          </cell>
          <cell r="I916">
            <v>18282456016</v>
          </cell>
        </row>
        <row r="917">
          <cell r="C917" t="str">
            <v>511121194001136935</v>
          </cell>
          <cell r="D917" t="str">
            <v>男</v>
          </cell>
          <cell r="E917" t="str">
            <v>汉族</v>
          </cell>
          <cell r="F917" t="str">
            <v>19400113</v>
          </cell>
          <cell r="G917">
            <v>81</v>
          </cell>
          <cell r="H917" t="str">
            <v>四川省仁寿县贵平镇中岗村9组</v>
          </cell>
        </row>
        <row r="918">
          <cell r="C918" t="str">
            <v>511121194011176930</v>
          </cell>
          <cell r="D918" t="str">
            <v>男</v>
          </cell>
          <cell r="E918" t="str">
            <v>汉族</v>
          </cell>
          <cell r="F918" t="str">
            <v>19401117</v>
          </cell>
          <cell r="G918">
            <v>81</v>
          </cell>
          <cell r="H918" t="str">
            <v>四川省仁寿县贵平镇中岗村9组</v>
          </cell>
          <cell r="I918">
            <v>14780140192</v>
          </cell>
        </row>
        <row r="919">
          <cell r="C919" t="str">
            <v>511121194703136948</v>
          </cell>
          <cell r="D919" t="str">
            <v>女</v>
          </cell>
          <cell r="E919" t="str">
            <v>汉族</v>
          </cell>
          <cell r="F919" t="str">
            <v>19470313</v>
          </cell>
          <cell r="G919">
            <v>74</v>
          </cell>
          <cell r="H919" t="str">
            <v>四川省仁寿县贵平镇中岗村9组</v>
          </cell>
        </row>
        <row r="920">
          <cell r="C920" t="str">
            <v>511121196905316938</v>
          </cell>
          <cell r="D920" t="str">
            <v>男</v>
          </cell>
          <cell r="E920" t="str">
            <v>汉族</v>
          </cell>
          <cell r="F920" t="str">
            <v>19690531</v>
          </cell>
          <cell r="G920">
            <v>52</v>
          </cell>
          <cell r="H920" t="str">
            <v>四川省仁寿县贵平镇中岗村9组</v>
          </cell>
          <cell r="I920">
            <v>18328110358</v>
          </cell>
        </row>
        <row r="921">
          <cell r="C921" t="str">
            <v>511121197001246740</v>
          </cell>
          <cell r="D921" t="str">
            <v>女</v>
          </cell>
          <cell r="E921" t="str">
            <v>汉族</v>
          </cell>
          <cell r="F921" t="str">
            <v>19700124</v>
          </cell>
          <cell r="G921">
            <v>51</v>
          </cell>
          <cell r="H921" t="str">
            <v>四川省仁寿县贵平镇中岗村9组</v>
          </cell>
          <cell r="I921">
            <v>13541057508</v>
          </cell>
        </row>
        <row r="922">
          <cell r="C922" t="str">
            <v>513822199210296790</v>
          </cell>
          <cell r="D922" t="str">
            <v>男</v>
          </cell>
          <cell r="E922" t="str">
            <v>汉族</v>
          </cell>
          <cell r="F922" t="str">
            <v>19921029</v>
          </cell>
          <cell r="G922">
            <v>29</v>
          </cell>
          <cell r="H922" t="str">
            <v>四川省仁寿县贵平镇中岗村9组</v>
          </cell>
          <cell r="I922">
            <v>13688116246</v>
          </cell>
        </row>
        <row r="923">
          <cell r="C923" t="str">
            <v>513822199106086822</v>
          </cell>
          <cell r="D923" t="str">
            <v>女</v>
          </cell>
          <cell r="E923" t="str">
            <v>汉族</v>
          </cell>
          <cell r="F923" t="str">
            <v>19910608</v>
          </cell>
          <cell r="G923">
            <v>30</v>
          </cell>
          <cell r="H923" t="str">
            <v>四川省仁寿县贵平镇中岗村9组</v>
          </cell>
        </row>
        <row r="924">
          <cell r="C924" t="str">
            <v>511121194503116934</v>
          </cell>
          <cell r="D924" t="str">
            <v>男</v>
          </cell>
          <cell r="E924" t="str">
            <v>汉族</v>
          </cell>
          <cell r="F924" t="str">
            <v>19450311</v>
          </cell>
          <cell r="G924">
            <v>76</v>
          </cell>
          <cell r="H924" t="str">
            <v>四川省仁寿县贵平镇中岗村9组</v>
          </cell>
          <cell r="I924">
            <v>15884324507</v>
          </cell>
        </row>
        <row r="925">
          <cell r="C925" t="str">
            <v>511121194706106947</v>
          </cell>
          <cell r="D925" t="str">
            <v>女</v>
          </cell>
          <cell r="E925" t="str">
            <v>汉族</v>
          </cell>
          <cell r="F925" t="str">
            <v>19470610</v>
          </cell>
          <cell r="G925">
            <v>74</v>
          </cell>
          <cell r="H925" t="str">
            <v>四川省仁寿县贵平镇中岗村9组</v>
          </cell>
        </row>
        <row r="926">
          <cell r="C926" t="str">
            <v>511121195909266937</v>
          </cell>
          <cell r="D926" t="str">
            <v>男</v>
          </cell>
          <cell r="E926" t="str">
            <v>汉族</v>
          </cell>
          <cell r="F926" t="str">
            <v>19590926</v>
          </cell>
          <cell r="G926">
            <v>62</v>
          </cell>
          <cell r="H926" t="str">
            <v>四川省仁寿县贵平镇中岗村9组</v>
          </cell>
        </row>
        <row r="927">
          <cell r="C927" t="str">
            <v>511121196406146946</v>
          </cell>
          <cell r="D927" t="str">
            <v>女</v>
          </cell>
          <cell r="E927" t="str">
            <v>汉族</v>
          </cell>
          <cell r="F927" t="str">
            <v>19640614</v>
          </cell>
          <cell r="G927">
            <v>57</v>
          </cell>
          <cell r="H927" t="str">
            <v>四川省仁寿县贵平镇中岗村9组</v>
          </cell>
          <cell r="I927">
            <v>19822971562</v>
          </cell>
        </row>
        <row r="928">
          <cell r="C928" t="str">
            <v>513822198603046931</v>
          </cell>
          <cell r="D928" t="str">
            <v>男</v>
          </cell>
          <cell r="E928" t="str">
            <v>汉族</v>
          </cell>
          <cell r="F928" t="str">
            <v>19860304</v>
          </cell>
          <cell r="G928">
            <v>35</v>
          </cell>
          <cell r="H928" t="str">
            <v>四川省仁寿县贵平镇中岗村9组</v>
          </cell>
          <cell r="I928">
            <v>13982249036</v>
          </cell>
        </row>
        <row r="929">
          <cell r="C929" t="str">
            <v>513030198812212429</v>
          </cell>
          <cell r="D929" t="str">
            <v>女</v>
          </cell>
          <cell r="E929" t="str">
            <v>汉族</v>
          </cell>
          <cell r="F929" t="str">
            <v>19881221</v>
          </cell>
          <cell r="G929">
            <v>33</v>
          </cell>
          <cell r="H929" t="str">
            <v>四川省仁寿县贵平镇中岗村9组</v>
          </cell>
          <cell r="I929">
            <v>13551291893</v>
          </cell>
        </row>
        <row r="930">
          <cell r="C930" t="str">
            <v>511421201401036852</v>
          </cell>
          <cell r="D930" t="str">
            <v>男</v>
          </cell>
          <cell r="E930" t="str">
            <v>汉族</v>
          </cell>
          <cell r="F930" t="str">
            <v>20140103</v>
          </cell>
          <cell r="G930">
            <v>7</v>
          </cell>
          <cell r="H930" t="str">
            <v>四川省仁寿县贵平镇中岗村9组</v>
          </cell>
        </row>
        <row r="931">
          <cell r="C931" t="str">
            <v>511121193601016940</v>
          </cell>
          <cell r="D931" t="str">
            <v>女</v>
          </cell>
          <cell r="E931" t="str">
            <v>汉族</v>
          </cell>
          <cell r="F931" t="str">
            <v>19360101</v>
          </cell>
          <cell r="G931">
            <v>85</v>
          </cell>
          <cell r="H931" t="str">
            <v>四川省仁寿县贵平镇中岗村9组</v>
          </cell>
        </row>
        <row r="932">
          <cell r="C932" t="str">
            <v>511121195906286940</v>
          </cell>
          <cell r="D932" t="str">
            <v>女</v>
          </cell>
          <cell r="E932" t="str">
            <v>汉族</v>
          </cell>
          <cell r="F932" t="str">
            <v>19590628</v>
          </cell>
          <cell r="G932">
            <v>62</v>
          </cell>
          <cell r="H932" t="str">
            <v>四川省仁寿县贵平镇中岗村9组</v>
          </cell>
          <cell r="I932">
            <v>15328756852</v>
          </cell>
        </row>
        <row r="933">
          <cell r="C933" t="str">
            <v>511121195503156930</v>
          </cell>
          <cell r="D933" t="str">
            <v>男</v>
          </cell>
          <cell r="E933" t="str">
            <v>汉族</v>
          </cell>
          <cell r="F933" t="str">
            <v>19550315</v>
          </cell>
          <cell r="G933">
            <v>66</v>
          </cell>
          <cell r="H933" t="str">
            <v>四川省仁寿县贵平镇中岗村9组</v>
          </cell>
          <cell r="I933">
            <v>15386500044</v>
          </cell>
        </row>
        <row r="934">
          <cell r="C934" t="str">
            <v>511121193904256933</v>
          </cell>
          <cell r="D934" t="str">
            <v>男</v>
          </cell>
          <cell r="E934" t="str">
            <v>汉族</v>
          </cell>
          <cell r="F934" t="str">
            <v>19390425</v>
          </cell>
          <cell r="G934">
            <v>82</v>
          </cell>
          <cell r="H934" t="str">
            <v>四川省仁寿县贵平镇中岗村9组</v>
          </cell>
        </row>
        <row r="935">
          <cell r="C935" t="str">
            <v>513822200303256769</v>
          </cell>
          <cell r="D935" t="str">
            <v>女</v>
          </cell>
          <cell r="E935" t="str">
            <v>汉族</v>
          </cell>
          <cell r="F935" t="str">
            <v>20030325</v>
          </cell>
          <cell r="G935">
            <v>18</v>
          </cell>
          <cell r="H935" t="str">
            <v>四川省仁寿县贵平镇中岗村9组</v>
          </cell>
          <cell r="I935">
            <v>18384790815</v>
          </cell>
        </row>
        <row r="936">
          <cell r="C936" t="str">
            <v>511121196202136930</v>
          </cell>
          <cell r="D936" t="str">
            <v>男</v>
          </cell>
          <cell r="E936" t="str">
            <v>汉族</v>
          </cell>
          <cell r="F936" t="str">
            <v>19620213</v>
          </cell>
          <cell r="G936">
            <v>59</v>
          </cell>
          <cell r="H936" t="str">
            <v>四川省仁寿县贵平镇中岗村9组</v>
          </cell>
          <cell r="I936">
            <v>15182249832</v>
          </cell>
        </row>
        <row r="937">
          <cell r="C937" t="str">
            <v>511121195803026935</v>
          </cell>
          <cell r="D937" t="str">
            <v>男</v>
          </cell>
          <cell r="E937" t="str">
            <v>汉族</v>
          </cell>
          <cell r="F937" t="str">
            <v>19580302</v>
          </cell>
          <cell r="G937">
            <v>63</v>
          </cell>
          <cell r="H937" t="str">
            <v>四川省仁寿县贵平镇中岗村9组</v>
          </cell>
          <cell r="I937">
            <v>17883017503</v>
          </cell>
        </row>
        <row r="938">
          <cell r="C938" t="str">
            <v>511121195604126941</v>
          </cell>
          <cell r="D938" t="str">
            <v>女</v>
          </cell>
          <cell r="E938" t="str">
            <v>汉族</v>
          </cell>
          <cell r="F938" t="str">
            <v>19560412</v>
          </cell>
          <cell r="G938">
            <v>65</v>
          </cell>
          <cell r="H938" t="str">
            <v>四川省仁寿县贵平镇中岗村9组</v>
          </cell>
          <cell r="I938">
            <v>18123038463</v>
          </cell>
        </row>
        <row r="939">
          <cell r="C939" t="str">
            <v>511121193102286938</v>
          </cell>
          <cell r="D939" t="str">
            <v>男</v>
          </cell>
          <cell r="E939" t="str">
            <v>汉族</v>
          </cell>
          <cell r="F939" t="str">
            <v>19310228</v>
          </cell>
          <cell r="G939">
            <v>90</v>
          </cell>
          <cell r="H939" t="str">
            <v>四川省仁寿县贵平镇中岗村9组</v>
          </cell>
        </row>
        <row r="940">
          <cell r="C940" t="str">
            <v>511121192504016944</v>
          </cell>
          <cell r="D940" t="str">
            <v>女</v>
          </cell>
          <cell r="E940" t="str">
            <v>汉族</v>
          </cell>
          <cell r="F940" t="str">
            <v>19250401</v>
          </cell>
          <cell r="G940">
            <v>96</v>
          </cell>
          <cell r="H940" t="str">
            <v>四川省仁寿县贵平镇中岗村9组</v>
          </cell>
        </row>
        <row r="941">
          <cell r="C941" t="str">
            <v>511121196801216940</v>
          </cell>
          <cell r="D941" t="str">
            <v>女</v>
          </cell>
          <cell r="E941" t="str">
            <v>汉族</v>
          </cell>
          <cell r="F941" t="str">
            <v>19680121</v>
          </cell>
          <cell r="G941">
            <v>53</v>
          </cell>
          <cell r="H941" t="str">
            <v>四川省仁寿县贵平镇中岗村9组</v>
          </cell>
          <cell r="I941">
            <v>18398663918</v>
          </cell>
        </row>
        <row r="942">
          <cell r="C942" t="str">
            <v>511121196802126955</v>
          </cell>
          <cell r="D942" t="str">
            <v>男</v>
          </cell>
          <cell r="E942" t="str">
            <v>汉族</v>
          </cell>
          <cell r="F942" t="str">
            <v>19680212</v>
          </cell>
          <cell r="G942">
            <v>53</v>
          </cell>
          <cell r="H942" t="str">
            <v>四川省仁寿县贵平镇中岗村9组</v>
          </cell>
          <cell r="I942">
            <v>13640945119</v>
          </cell>
        </row>
        <row r="943">
          <cell r="C943" t="str">
            <v>511121196701056863</v>
          </cell>
          <cell r="D943" t="str">
            <v>女</v>
          </cell>
          <cell r="E943" t="str">
            <v>汉族</v>
          </cell>
          <cell r="F943" t="str">
            <v>19670105</v>
          </cell>
          <cell r="G943">
            <v>54</v>
          </cell>
          <cell r="H943" t="str">
            <v>四川省仁寿县贵平镇中岗村9组</v>
          </cell>
          <cell r="I943">
            <v>18282469436</v>
          </cell>
        </row>
        <row r="944">
          <cell r="C944" t="str">
            <v>513822199107086947</v>
          </cell>
          <cell r="D944" t="str">
            <v>女</v>
          </cell>
          <cell r="E944" t="str">
            <v>汉族</v>
          </cell>
          <cell r="F944" t="str">
            <v>19910708</v>
          </cell>
          <cell r="G944">
            <v>30</v>
          </cell>
          <cell r="H944" t="str">
            <v>四川省仁寿县贵平镇中岗村9组</v>
          </cell>
          <cell r="I944">
            <v>18280337987</v>
          </cell>
        </row>
        <row r="945">
          <cell r="C945" t="str">
            <v>513822199006046938</v>
          </cell>
          <cell r="D945" t="str">
            <v>男</v>
          </cell>
          <cell r="E945" t="str">
            <v>汉族</v>
          </cell>
          <cell r="F945" t="str">
            <v>19900604</v>
          </cell>
          <cell r="G945">
            <v>31</v>
          </cell>
          <cell r="H945" t="str">
            <v>四川省仁寿县贵平镇中岗村9组</v>
          </cell>
          <cell r="I945">
            <v>18227820818</v>
          </cell>
        </row>
        <row r="946">
          <cell r="C946" t="str">
            <v>51142120121226686X</v>
          </cell>
          <cell r="D946" t="str">
            <v>女</v>
          </cell>
          <cell r="E946" t="str">
            <v>汉族</v>
          </cell>
          <cell r="F946" t="str">
            <v>20121226</v>
          </cell>
          <cell r="G946">
            <v>9</v>
          </cell>
          <cell r="H946" t="str">
            <v>四川省仁寿县贵平镇中岗村9组</v>
          </cell>
        </row>
        <row r="947">
          <cell r="C947" t="str">
            <v>511121196904216935</v>
          </cell>
          <cell r="D947" t="str">
            <v>男</v>
          </cell>
          <cell r="E947" t="str">
            <v>汉族</v>
          </cell>
          <cell r="F947" t="str">
            <v>19690421</v>
          </cell>
          <cell r="G947">
            <v>52</v>
          </cell>
          <cell r="H947" t="str">
            <v>四川省仁寿县贵平镇中岗村9组</v>
          </cell>
          <cell r="I947" t="str">
            <v>13890301488</v>
          </cell>
        </row>
        <row r="948">
          <cell r="C948" t="str">
            <v>511121197011286965</v>
          </cell>
          <cell r="D948" t="str">
            <v>女</v>
          </cell>
          <cell r="E948" t="str">
            <v>汉族</v>
          </cell>
          <cell r="F948" t="str">
            <v>19701128</v>
          </cell>
          <cell r="G948">
            <v>51</v>
          </cell>
          <cell r="H948" t="str">
            <v>四川省仁寿县贵平镇中岗村9组</v>
          </cell>
          <cell r="I948">
            <v>13990314969</v>
          </cell>
        </row>
        <row r="949">
          <cell r="C949" t="str">
            <v>511121192806166948</v>
          </cell>
          <cell r="D949" t="str">
            <v>女</v>
          </cell>
          <cell r="E949" t="str">
            <v>汉族</v>
          </cell>
          <cell r="F949" t="str">
            <v>19280616</v>
          </cell>
          <cell r="G949">
            <v>93</v>
          </cell>
          <cell r="H949" t="str">
            <v>四川省仁寿县贵平镇中岗村9组</v>
          </cell>
        </row>
        <row r="950">
          <cell r="C950" t="str">
            <v>513822199406166947</v>
          </cell>
          <cell r="D950" t="str">
            <v>女</v>
          </cell>
          <cell r="E950" t="str">
            <v>汉族</v>
          </cell>
          <cell r="F950" t="str">
            <v>19940616</v>
          </cell>
          <cell r="G950">
            <v>27</v>
          </cell>
          <cell r="H950" t="str">
            <v>四川省仁寿县贵平镇中岗村9组</v>
          </cell>
          <cell r="I950">
            <v>18783300817</v>
          </cell>
        </row>
        <row r="951">
          <cell r="C951" t="str">
            <v>511421201909120078</v>
          </cell>
          <cell r="D951" t="str">
            <v>男</v>
          </cell>
          <cell r="E951" t="str">
            <v>汉族</v>
          </cell>
          <cell r="F951" t="str">
            <v>20190912</v>
          </cell>
          <cell r="G951">
            <v>2</v>
          </cell>
          <cell r="H951" t="str">
            <v>四川省仁寿县贵平镇中岗村9组</v>
          </cell>
        </row>
        <row r="952">
          <cell r="C952" t="str">
            <v>511121196901126934</v>
          </cell>
          <cell r="D952" t="str">
            <v>男</v>
          </cell>
          <cell r="E952" t="str">
            <v>汉族</v>
          </cell>
          <cell r="F952" t="str">
            <v>19690112</v>
          </cell>
          <cell r="G952">
            <v>52</v>
          </cell>
          <cell r="H952" t="str">
            <v>四川省仁寿县贵平镇中岗村9组</v>
          </cell>
          <cell r="I952">
            <v>15082350218</v>
          </cell>
        </row>
        <row r="953">
          <cell r="C953" t="str">
            <v>511121197201126946</v>
          </cell>
          <cell r="D953" t="str">
            <v>女</v>
          </cell>
          <cell r="E953" t="str">
            <v>汉族</v>
          </cell>
          <cell r="F953" t="str">
            <v>19720112</v>
          </cell>
          <cell r="G953">
            <v>49</v>
          </cell>
          <cell r="H953" t="str">
            <v>四川省仁寿县贵平镇中岗村9组</v>
          </cell>
          <cell r="I953">
            <v>13775636639</v>
          </cell>
        </row>
        <row r="954">
          <cell r="C954" t="str">
            <v>513822199612256943</v>
          </cell>
          <cell r="D954" t="str">
            <v>女</v>
          </cell>
          <cell r="E954" t="str">
            <v>汉族</v>
          </cell>
          <cell r="F954" t="str">
            <v>19961225</v>
          </cell>
          <cell r="G954">
            <v>25</v>
          </cell>
          <cell r="H954" t="str">
            <v>四川省仁寿县贵平镇中岗村9组</v>
          </cell>
          <cell r="I954">
            <v>15680029113</v>
          </cell>
        </row>
        <row r="955">
          <cell r="C955" t="str">
            <v>511121194905206940</v>
          </cell>
          <cell r="D955" t="str">
            <v>女</v>
          </cell>
          <cell r="E955" t="str">
            <v>汉族</v>
          </cell>
          <cell r="F955" t="str">
            <v>19490520</v>
          </cell>
          <cell r="G955">
            <v>72</v>
          </cell>
          <cell r="H955" t="str">
            <v>四川省仁寿县贵平镇中岗村9组</v>
          </cell>
          <cell r="I955">
            <v>18328129252</v>
          </cell>
        </row>
        <row r="956">
          <cell r="C956" t="str">
            <v>511121195001236930</v>
          </cell>
          <cell r="D956" t="str">
            <v>男</v>
          </cell>
          <cell r="E956" t="str">
            <v>汉族</v>
          </cell>
          <cell r="F956" t="str">
            <v>19500123</v>
          </cell>
          <cell r="G956">
            <v>71</v>
          </cell>
          <cell r="H956" t="str">
            <v>四川省仁寿县贵平镇中岗村9组</v>
          </cell>
        </row>
        <row r="957">
          <cell r="C957" t="str">
            <v>511121195106086940</v>
          </cell>
          <cell r="D957" t="str">
            <v>女</v>
          </cell>
          <cell r="E957" t="str">
            <v>汉族</v>
          </cell>
          <cell r="F957" t="str">
            <v>19510608</v>
          </cell>
          <cell r="G957">
            <v>70</v>
          </cell>
          <cell r="H957" t="str">
            <v>四川省仁寿县贵平镇中岗村9组</v>
          </cell>
        </row>
        <row r="958">
          <cell r="C958" t="str">
            <v>51112119761015696X</v>
          </cell>
          <cell r="D958" t="str">
            <v>女</v>
          </cell>
          <cell r="E958" t="str">
            <v>汉族</v>
          </cell>
          <cell r="F958" t="str">
            <v>19761015</v>
          </cell>
          <cell r="G958">
            <v>45</v>
          </cell>
          <cell r="H958" t="str">
            <v>四川省仁寿县贵平镇中岗村9组</v>
          </cell>
          <cell r="I958">
            <v>13308204831</v>
          </cell>
        </row>
        <row r="959">
          <cell r="C959" t="str">
            <v>51382219950227696X</v>
          </cell>
          <cell r="D959" t="str">
            <v>女</v>
          </cell>
          <cell r="E959" t="str">
            <v>汉族</v>
          </cell>
          <cell r="F959" t="str">
            <v>19950227</v>
          </cell>
          <cell r="G959">
            <v>26</v>
          </cell>
          <cell r="H959" t="str">
            <v>四川省仁寿县贵平镇中岗村9组</v>
          </cell>
          <cell r="I959">
            <v>13679641439</v>
          </cell>
        </row>
        <row r="960">
          <cell r="C960" t="str">
            <v>513822200210206762</v>
          </cell>
          <cell r="D960" t="str">
            <v>女</v>
          </cell>
          <cell r="E960" t="str">
            <v>汉族</v>
          </cell>
          <cell r="F960" t="str">
            <v>20021020</v>
          </cell>
          <cell r="G960">
            <v>19</v>
          </cell>
          <cell r="H960" t="str">
            <v>四川省仁寿县贵平镇中岗村9组</v>
          </cell>
          <cell r="I960">
            <v>13628142342</v>
          </cell>
        </row>
        <row r="961">
          <cell r="C961" t="str">
            <v>51112119430514693X</v>
          </cell>
          <cell r="D961" t="str">
            <v>男</v>
          </cell>
          <cell r="E961" t="str">
            <v>汉族</v>
          </cell>
          <cell r="F961" t="str">
            <v>19430514</v>
          </cell>
          <cell r="G961">
            <v>78</v>
          </cell>
          <cell r="H961" t="str">
            <v>四川省仁寿县贵平镇中岗村9组</v>
          </cell>
          <cell r="I961">
            <v>18880411851</v>
          </cell>
        </row>
        <row r="962">
          <cell r="C962" t="str">
            <v>511121194904186941</v>
          </cell>
          <cell r="D962" t="str">
            <v>女</v>
          </cell>
          <cell r="E962" t="str">
            <v>汉族</v>
          </cell>
          <cell r="F962" t="str">
            <v>19490418</v>
          </cell>
          <cell r="G962">
            <v>72</v>
          </cell>
          <cell r="H962" t="str">
            <v>四川省仁寿县贵平镇中岗村9组</v>
          </cell>
        </row>
        <row r="963">
          <cell r="C963" t="str">
            <v>511121197902216936</v>
          </cell>
          <cell r="D963" t="str">
            <v>男</v>
          </cell>
          <cell r="E963" t="str">
            <v>汉族</v>
          </cell>
          <cell r="F963" t="str">
            <v>19790221</v>
          </cell>
          <cell r="G963">
            <v>42</v>
          </cell>
          <cell r="H963" t="str">
            <v>四川省仁寿县贵平镇中岗村9组</v>
          </cell>
          <cell r="I963">
            <v>13540104242</v>
          </cell>
        </row>
        <row r="964">
          <cell r="C964" t="str">
            <v>51112119790302694X</v>
          </cell>
          <cell r="D964" t="str">
            <v>女</v>
          </cell>
          <cell r="E964" t="str">
            <v>汉族</v>
          </cell>
          <cell r="F964" t="str">
            <v>19790302</v>
          </cell>
          <cell r="G964">
            <v>42</v>
          </cell>
          <cell r="H964" t="str">
            <v>四川省仁寿县贵平镇中岗村9组</v>
          </cell>
          <cell r="I964">
            <v>15982295401</v>
          </cell>
        </row>
        <row r="965">
          <cell r="C965" t="str">
            <v>513822200010176693</v>
          </cell>
          <cell r="D965" t="str">
            <v>男</v>
          </cell>
          <cell r="E965" t="str">
            <v>汉族</v>
          </cell>
          <cell r="F965" t="str">
            <v>20001017</v>
          </cell>
          <cell r="G965">
            <v>21</v>
          </cell>
          <cell r="H965" t="str">
            <v>四川省仁寿县贵平镇中岗村9组</v>
          </cell>
          <cell r="I965">
            <v>18880456117</v>
          </cell>
        </row>
        <row r="966">
          <cell r="C966" t="str">
            <v>511121195502156955</v>
          </cell>
          <cell r="D966" t="str">
            <v>男</v>
          </cell>
          <cell r="E966" t="str">
            <v>汉族</v>
          </cell>
          <cell r="F966" t="str">
            <v>19550215</v>
          </cell>
          <cell r="G966">
            <v>66</v>
          </cell>
          <cell r="H966" t="str">
            <v>四川省仁寿县贵平镇中岗村9组</v>
          </cell>
          <cell r="I966">
            <v>18783384539</v>
          </cell>
        </row>
        <row r="967">
          <cell r="C967" t="str">
            <v>511121195802126942</v>
          </cell>
          <cell r="D967" t="str">
            <v>女</v>
          </cell>
          <cell r="E967" t="str">
            <v>汉族</v>
          </cell>
          <cell r="F967" t="str">
            <v>19580212</v>
          </cell>
          <cell r="G967">
            <v>63</v>
          </cell>
          <cell r="H967" t="str">
            <v>四川省仁寿县贵平镇中岗村9组</v>
          </cell>
        </row>
        <row r="968">
          <cell r="C968" t="str">
            <v>511121198212056968</v>
          </cell>
          <cell r="D968" t="str">
            <v>女</v>
          </cell>
          <cell r="E968" t="str">
            <v>汉族</v>
          </cell>
          <cell r="F968" t="str">
            <v>19821205</v>
          </cell>
          <cell r="G968">
            <v>39</v>
          </cell>
          <cell r="H968" t="str">
            <v>四川省仁寿县贵平镇中岗村9组</v>
          </cell>
          <cell r="I968">
            <v>18580237062</v>
          </cell>
        </row>
        <row r="969">
          <cell r="C969" t="str">
            <v>513822199912306949</v>
          </cell>
          <cell r="D969" t="str">
            <v>女</v>
          </cell>
          <cell r="E969" t="str">
            <v>汉族</v>
          </cell>
          <cell r="F969" t="str">
            <v>19991230</v>
          </cell>
          <cell r="G969">
            <v>22</v>
          </cell>
          <cell r="H969" t="str">
            <v>四川省仁寿县贵平镇中岗村9组</v>
          </cell>
          <cell r="I969">
            <v>18784438162</v>
          </cell>
        </row>
        <row r="970">
          <cell r="C970" t="str">
            <v>511121193503166945</v>
          </cell>
          <cell r="D970" t="str">
            <v>女</v>
          </cell>
          <cell r="E970" t="str">
            <v>汉族</v>
          </cell>
          <cell r="F970" t="str">
            <v>19350316</v>
          </cell>
          <cell r="G970">
            <v>86</v>
          </cell>
          <cell r="H970" t="str">
            <v>四川省仁寿县贵平镇中岗村9组</v>
          </cell>
          <cell r="I970">
            <v>15378459144</v>
          </cell>
        </row>
        <row r="971">
          <cell r="C971" t="str">
            <v>511121196604206946</v>
          </cell>
          <cell r="D971" t="str">
            <v>女</v>
          </cell>
          <cell r="E971" t="str">
            <v>汉族</v>
          </cell>
          <cell r="F971" t="str">
            <v>19660420</v>
          </cell>
          <cell r="G971">
            <v>55</v>
          </cell>
          <cell r="H971" t="str">
            <v>四川省仁寿县贵平镇中岗村9组</v>
          </cell>
          <cell r="I971">
            <v>18780003028</v>
          </cell>
        </row>
        <row r="972">
          <cell r="C972" t="str">
            <v>51112119740205693X</v>
          </cell>
          <cell r="D972" t="str">
            <v>男</v>
          </cell>
          <cell r="E972" t="str">
            <v>汉族</v>
          </cell>
          <cell r="F972" t="str">
            <v>19740205</v>
          </cell>
          <cell r="G972">
            <v>47</v>
          </cell>
          <cell r="H972" t="str">
            <v>四川省仁寿县贵平镇中岗村9组</v>
          </cell>
          <cell r="I972">
            <v>18782265433</v>
          </cell>
        </row>
        <row r="973">
          <cell r="C973" t="str">
            <v>511121197405036942</v>
          </cell>
          <cell r="D973" t="str">
            <v>女</v>
          </cell>
          <cell r="E973" t="str">
            <v>汉族</v>
          </cell>
          <cell r="F973" t="str">
            <v>19740503</v>
          </cell>
          <cell r="G973">
            <v>47</v>
          </cell>
          <cell r="H973" t="str">
            <v>四川省仁寿县贵平镇中岗村9组</v>
          </cell>
          <cell r="I973">
            <v>15208339259</v>
          </cell>
        </row>
        <row r="974">
          <cell r="C974" t="str">
            <v>511121193803136932</v>
          </cell>
          <cell r="D974" t="str">
            <v>男</v>
          </cell>
          <cell r="E974" t="str">
            <v>汉族</v>
          </cell>
          <cell r="F974" t="str">
            <v>19380313</v>
          </cell>
          <cell r="G974">
            <v>83</v>
          </cell>
          <cell r="H974" t="str">
            <v>四川省仁寿县贵平镇中岗村9组</v>
          </cell>
        </row>
        <row r="975">
          <cell r="C975" t="str">
            <v>51112119380303694X</v>
          </cell>
          <cell r="D975" t="str">
            <v>女</v>
          </cell>
          <cell r="E975" t="str">
            <v>汉族</v>
          </cell>
          <cell r="F975" t="str">
            <v>19380303</v>
          </cell>
          <cell r="G975">
            <v>83</v>
          </cell>
          <cell r="H975" t="str">
            <v>四川省仁寿县贵平镇中岗村9组</v>
          </cell>
          <cell r="I975">
            <v>18381150598</v>
          </cell>
        </row>
        <row r="976">
          <cell r="C976" t="str">
            <v>51142120050831669X</v>
          </cell>
          <cell r="D976" t="str">
            <v>男</v>
          </cell>
          <cell r="E976" t="str">
            <v>汉族</v>
          </cell>
          <cell r="F976" t="str">
            <v>20050831</v>
          </cell>
          <cell r="G976">
            <v>16</v>
          </cell>
          <cell r="H976" t="str">
            <v>四川省仁寿县贵平镇中岗村9组</v>
          </cell>
        </row>
        <row r="977">
          <cell r="C977" t="str">
            <v>513822199810246949</v>
          </cell>
          <cell r="D977" t="str">
            <v>女</v>
          </cell>
          <cell r="E977" t="str">
            <v>汉族</v>
          </cell>
          <cell r="F977" t="str">
            <v>19981024</v>
          </cell>
          <cell r="G977">
            <v>23</v>
          </cell>
          <cell r="H977" t="str">
            <v>四川省仁寿县贵平镇中岗村9组</v>
          </cell>
          <cell r="I977" t="str">
            <v>13548233369</v>
          </cell>
        </row>
        <row r="978">
          <cell r="C978" t="str">
            <v>511121196509216935</v>
          </cell>
          <cell r="D978" t="str">
            <v>男</v>
          </cell>
          <cell r="E978" t="str">
            <v>汉族</v>
          </cell>
          <cell r="F978" t="str">
            <v>19650921</v>
          </cell>
          <cell r="G978">
            <v>56</v>
          </cell>
          <cell r="H978" t="str">
            <v>四川省仁寿县贵平镇中岗村9组</v>
          </cell>
          <cell r="I978" t="str">
            <v>18381166636</v>
          </cell>
        </row>
        <row r="979">
          <cell r="C979" t="str">
            <v>51112119680306694X</v>
          </cell>
          <cell r="D979" t="str">
            <v>女</v>
          </cell>
          <cell r="E979" t="str">
            <v>汉族</v>
          </cell>
          <cell r="F979" t="str">
            <v>19680306</v>
          </cell>
          <cell r="G979">
            <v>53</v>
          </cell>
          <cell r="H979" t="str">
            <v>四川省仁寿县贵平镇中岗村9组</v>
          </cell>
          <cell r="I979">
            <v>15282324346</v>
          </cell>
        </row>
        <row r="980">
          <cell r="C980" t="str">
            <v>513822199005096933</v>
          </cell>
          <cell r="D980" t="str">
            <v>男</v>
          </cell>
          <cell r="E980" t="str">
            <v>汉族</v>
          </cell>
          <cell r="F980" t="str">
            <v>19900509</v>
          </cell>
          <cell r="G980">
            <v>31</v>
          </cell>
          <cell r="H980" t="str">
            <v>四川省仁寿县贵平镇中岗村9组</v>
          </cell>
          <cell r="I980">
            <v>17601289114</v>
          </cell>
        </row>
        <row r="981">
          <cell r="C981" t="str">
            <v>511421201106156771</v>
          </cell>
          <cell r="D981" t="str">
            <v>男</v>
          </cell>
          <cell r="E981" t="str">
            <v>汉族</v>
          </cell>
          <cell r="F981" t="str">
            <v>20110615</v>
          </cell>
          <cell r="G981">
            <v>10</v>
          </cell>
          <cell r="H981" t="str">
            <v>四川省仁寿县贵平镇中岗村9组</v>
          </cell>
        </row>
        <row r="982">
          <cell r="C982" t="str">
            <v>511121196310286936</v>
          </cell>
          <cell r="D982" t="str">
            <v>男</v>
          </cell>
          <cell r="E982" t="str">
            <v>汉族</v>
          </cell>
          <cell r="F982" t="str">
            <v>19631028</v>
          </cell>
          <cell r="G982">
            <v>58</v>
          </cell>
          <cell r="H982" t="str">
            <v>四川省仁寿县贵平镇中岗村9组</v>
          </cell>
          <cell r="I982">
            <v>13541131404</v>
          </cell>
        </row>
        <row r="983">
          <cell r="C983" t="str">
            <v>511121194708176965</v>
          </cell>
          <cell r="D983" t="str">
            <v>女</v>
          </cell>
          <cell r="E983" t="str">
            <v>汉族</v>
          </cell>
          <cell r="F983" t="str">
            <v>19470817</v>
          </cell>
          <cell r="G983">
            <v>74</v>
          </cell>
          <cell r="H983" t="str">
            <v>四川省仁寿县贵平镇中岗村9组</v>
          </cell>
        </row>
        <row r="984">
          <cell r="C984" t="str">
            <v>511121194505026932</v>
          </cell>
          <cell r="D984" t="str">
            <v>男</v>
          </cell>
          <cell r="E984" t="str">
            <v>汉族</v>
          </cell>
          <cell r="F984" t="str">
            <v>19450502</v>
          </cell>
          <cell r="G984">
            <v>76</v>
          </cell>
          <cell r="H984" t="str">
            <v>四川省仁寿县贵平镇中岗村9组</v>
          </cell>
          <cell r="I984">
            <v>18144218416</v>
          </cell>
        </row>
        <row r="985">
          <cell r="C985" t="str">
            <v>511121197206066938</v>
          </cell>
          <cell r="D985" t="str">
            <v>男</v>
          </cell>
          <cell r="E985" t="str">
            <v>汉族</v>
          </cell>
          <cell r="F985" t="str">
            <v>19720606</v>
          </cell>
          <cell r="G985">
            <v>49</v>
          </cell>
          <cell r="H985" t="str">
            <v>四川省仁寿县贵平镇中岗村9组</v>
          </cell>
          <cell r="I985">
            <v>13778897939</v>
          </cell>
        </row>
        <row r="986">
          <cell r="C986" t="str">
            <v>511121197602126947</v>
          </cell>
          <cell r="D986" t="str">
            <v>女</v>
          </cell>
          <cell r="E986" t="str">
            <v>汉族</v>
          </cell>
          <cell r="F986" t="str">
            <v>19760212</v>
          </cell>
          <cell r="G986">
            <v>45</v>
          </cell>
          <cell r="H986" t="str">
            <v>四川省仁寿县贵平镇中岗村9组</v>
          </cell>
          <cell r="I986">
            <v>18457301069</v>
          </cell>
        </row>
        <row r="987">
          <cell r="C987" t="str">
            <v>511121197807226941</v>
          </cell>
          <cell r="D987" t="str">
            <v>女</v>
          </cell>
          <cell r="E987" t="str">
            <v>汉族</v>
          </cell>
          <cell r="F987" t="str">
            <v>19780722</v>
          </cell>
          <cell r="G987">
            <v>43</v>
          </cell>
          <cell r="H987" t="str">
            <v>四川省仁寿县贵平镇中岗村9组</v>
          </cell>
          <cell r="I987">
            <v>15162875289</v>
          </cell>
        </row>
        <row r="988">
          <cell r="C988" t="str">
            <v>513822199702156938</v>
          </cell>
          <cell r="D988" t="str">
            <v>男</v>
          </cell>
          <cell r="E988" t="str">
            <v>汉族</v>
          </cell>
          <cell r="F988" t="str">
            <v>19970215</v>
          </cell>
          <cell r="G988">
            <v>24</v>
          </cell>
          <cell r="H988" t="str">
            <v>四川省仁寿县贵平镇中岗村9组</v>
          </cell>
          <cell r="I988">
            <v>18583862217</v>
          </cell>
        </row>
        <row r="989">
          <cell r="C989" t="str">
            <v>511121196604086956</v>
          </cell>
          <cell r="D989" t="str">
            <v>男</v>
          </cell>
          <cell r="E989" t="str">
            <v>汉族</v>
          </cell>
          <cell r="F989" t="str">
            <v>19660408</v>
          </cell>
          <cell r="G989">
            <v>55</v>
          </cell>
        </row>
        <row r="989">
          <cell r="I989">
            <v>18309065502</v>
          </cell>
        </row>
        <row r="990">
          <cell r="C990" t="str">
            <v>511121195402066936</v>
          </cell>
          <cell r="D990" t="str">
            <v>男</v>
          </cell>
          <cell r="E990" t="str">
            <v>汉族</v>
          </cell>
          <cell r="F990" t="str">
            <v>19540206</v>
          </cell>
          <cell r="G990">
            <v>67</v>
          </cell>
          <cell r="H990" t="str">
            <v>四川省仁寿县贵平镇中岗村9组</v>
          </cell>
          <cell r="I990">
            <v>15883349650</v>
          </cell>
        </row>
        <row r="991">
          <cell r="C991" t="str">
            <v>511121195105296962</v>
          </cell>
          <cell r="D991" t="str">
            <v>女</v>
          </cell>
          <cell r="E991" t="str">
            <v>汉族</v>
          </cell>
          <cell r="F991" t="str">
            <v>19510529</v>
          </cell>
          <cell r="G991">
            <v>70</v>
          </cell>
          <cell r="H991" t="str">
            <v>四川省仁寿县贵平镇中岗村9组</v>
          </cell>
          <cell r="I991">
            <v>13696086823</v>
          </cell>
        </row>
        <row r="992">
          <cell r="C992" t="str">
            <v>511121195606066946</v>
          </cell>
          <cell r="D992" t="str">
            <v>女</v>
          </cell>
          <cell r="E992" t="str">
            <v>汉族</v>
          </cell>
          <cell r="F992" t="str">
            <v>19560606</v>
          </cell>
          <cell r="G992">
            <v>65</v>
          </cell>
          <cell r="H992" t="str">
            <v>四川省仁寿县贵平镇中岗村9组</v>
          </cell>
          <cell r="I992">
            <v>18228536896</v>
          </cell>
        </row>
        <row r="993">
          <cell r="C993" t="str">
            <v>511121197510026930</v>
          </cell>
          <cell r="D993" t="str">
            <v>男</v>
          </cell>
          <cell r="E993" t="str">
            <v>汉族</v>
          </cell>
          <cell r="F993" t="str">
            <v>19751002</v>
          </cell>
          <cell r="G993">
            <v>46</v>
          </cell>
          <cell r="H993" t="str">
            <v>四川省仁寿县贵平镇中岗村9组</v>
          </cell>
          <cell r="I993">
            <v>18981833084</v>
          </cell>
        </row>
        <row r="994">
          <cell r="C994" t="str">
            <v>511121197510016943</v>
          </cell>
          <cell r="D994" t="str">
            <v>女</v>
          </cell>
          <cell r="E994" t="str">
            <v>汉族</v>
          </cell>
          <cell r="F994" t="str">
            <v>19751001</v>
          </cell>
          <cell r="G994">
            <v>46</v>
          </cell>
          <cell r="H994" t="str">
            <v>四川省仁寿县贵平镇中岗村9组</v>
          </cell>
          <cell r="I994">
            <v>18981883478</v>
          </cell>
        </row>
        <row r="995">
          <cell r="C995" t="str">
            <v>513822200002106695</v>
          </cell>
          <cell r="D995" t="str">
            <v>男</v>
          </cell>
          <cell r="E995" t="str">
            <v>汉族</v>
          </cell>
          <cell r="F995" t="str">
            <v>20000210</v>
          </cell>
          <cell r="G995">
            <v>21</v>
          </cell>
          <cell r="H995" t="str">
            <v>四川省仁寿县贵平镇中岗村9组</v>
          </cell>
        </row>
        <row r="996">
          <cell r="C996" t="str">
            <v>511121196810196953</v>
          </cell>
          <cell r="D996" t="str">
            <v>男</v>
          </cell>
          <cell r="E996" t="str">
            <v>汉族</v>
          </cell>
          <cell r="F996" t="str">
            <v>19681019</v>
          </cell>
          <cell r="G996">
            <v>53</v>
          </cell>
          <cell r="H996" t="str">
            <v>四川省仁寿县贵平镇中岗村9组</v>
          </cell>
          <cell r="I996">
            <v>13049866020</v>
          </cell>
        </row>
        <row r="997">
          <cell r="C997" t="str">
            <v>511121194410056944</v>
          </cell>
          <cell r="D997" t="str">
            <v>女</v>
          </cell>
          <cell r="E997" t="str">
            <v>汉族</v>
          </cell>
          <cell r="F997" t="str">
            <v>19441005</v>
          </cell>
          <cell r="G997">
            <v>77</v>
          </cell>
          <cell r="H997" t="str">
            <v>四川省仁寿县贵平镇中岗村9组</v>
          </cell>
        </row>
        <row r="998">
          <cell r="C998" t="str">
            <v>51112119650525693X</v>
          </cell>
          <cell r="D998" t="str">
            <v>男</v>
          </cell>
          <cell r="E998" t="str">
            <v>汉族</v>
          </cell>
          <cell r="F998" t="str">
            <v>19650525</v>
          </cell>
          <cell r="G998">
            <v>56</v>
          </cell>
          <cell r="H998" t="str">
            <v>四川省仁寿县贵平镇中岗村9组</v>
          </cell>
          <cell r="I998">
            <v>15928983583</v>
          </cell>
        </row>
        <row r="999">
          <cell r="C999" t="str">
            <v>511121196510266948</v>
          </cell>
          <cell r="D999" t="str">
            <v>女</v>
          </cell>
          <cell r="E999" t="str">
            <v>汉族</v>
          </cell>
          <cell r="F999" t="str">
            <v>19651026</v>
          </cell>
          <cell r="G999">
            <v>56</v>
          </cell>
          <cell r="H999" t="str">
            <v>四川省仁寿县贵平镇中岗村9组</v>
          </cell>
        </row>
        <row r="1000">
          <cell r="C1000" t="str">
            <v>513822198702226954</v>
          </cell>
          <cell r="D1000" t="str">
            <v>男</v>
          </cell>
          <cell r="E1000" t="str">
            <v>汉族</v>
          </cell>
          <cell r="F1000" t="str">
            <v>19870222</v>
          </cell>
          <cell r="G1000">
            <v>34</v>
          </cell>
          <cell r="H1000" t="str">
            <v>四川省仁寿县贵平镇中岗村9组</v>
          </cell>
          <cell r="I1000">
            <v>15280986658</v>
          </cell>
        </row>
        <row r="1001">
          <cell r="C1001" t="str">
            <v>513822199102046954</v>
          </cell>
          <cell r="D1001" t="str">
            <v>男</v>
          </cell>
          <cell r="E1001" t="str">
            <v>汉族</v>
          </cell>
          <cell r="F1001" t="str">
            <v>19910204</v>
          </cell>
          <cell r="G1001">
            <v>30</v>
          </cell>
          <cell r="H1001" t="str">
            <v>四川省仁寿县贵平镇中岗村9组</v>
          </cell>
          <cell r="I1001">
            <v>15800765369</v>
          </cell>
        </row>
        <row r="1002">
          <cell r="C1002" t="str">
            <v>511121198010266932</v>
          </cell>
          <cell r="D1002" t="str">
            <v>男</v>
          </cell>
          <cell r="E1002" t="str">
            <v>汉族</v>
          </cell>
          <cell r="F1002" t="str">
            <v>19801026</v>
          </cell>
          <cell r="G1002">
            <v>41</v>
          </cell>
          <cell r="H1002" t="str">
            <v>四川省仁寿县贵平镇中岗村9组</v>
          </cell>
          <cell r="I1002">
            <v>15283764126</v>
          </cell>
        </row>
        <row r="1003">
          <cell r="C1003" t="str">
            <v>51142120130821006X</v>
          </cell>
          <cell r="D1003" t="str">
            <v>女</v>
          </cell>
          <cell r="E1003" t="str">
            <v>汉族</v>
          </cell>
          <cell r="F1003" t="str">
            <v>20130821</v>
          </cell>
          <cell r="G1003">
            <v>8</v>
          </cell>
          <cell r="H1003" t="str">
            <v>四川省仁寿县贵平镇中岗村9组</v>
          </cell>
        </row>
        <row r="1004">
          <cell r="C1004" t="str">
            <v>511121195303136943</v>
          </cell>
          <cell r="D1004" t="str">
            <v>女</v>
          </cell>
          <cell r="E1004" t="str">
            <v>汉族</v>
          </cell>
          <cell r="F1004" t="str">
            <v>19530313</v>
          </cell>
          <cell r="G1004">
            <v>68</v>
          </cell>
          <cell r="H1004" t="str">
            <v>四川省仁寿县贵平镇中岗村9组</v>
          </cell>
          <cell r="I1004">
            <v>18328121568</v>
          </cell>
        </row>
        <row r="1005">
          <cell r="C1005" t="str">
            <v>511121195306226936</v>
          </cell>
          <cell r="D1005" t="str">
            <v>男</v>
          </cell>
          <cell r="E1005" t="str">
            <v>汉族</v>
          </cell>
          <cell r="F1005" t="str">
            <v>19530622</v>
          </cell>
          <cell r="G1005">
            <v>68</v>
          </cell>
          <cell r="H1005" t="str">
            <v>四川省仁寿县贵平镇中岗村9组</v>
          </cell>
        </row>
        <row r="1006">
          <cell r="C1006" t="str">
            <v>511121197912306935</v>
          </cell>
          <cell r="D1006" t="str">
            <v>男</v>
          </cell>
          <cell r="E1006" t="str">
            <v>汉族</v>
          </cell>
          <cell r="F1006" t="str">
            <v>19791230</v>
          </cell>
          <cell r="G1006">
            <v>42</v>
          </cell>
          <cell r="H1006" t="str">
            <v>四川省仁寿县贵平镇中岗村9组</v>
          </cell>
          <cell r="I1006">
            <v>13548239112</v>
          </cell>
        </row>
        <row r="1007">
          <cell r="C1007" t="str">
            <v>511121195105096944</v>
          </cell>
          <cell r="D1007" t="str">
            <v>女</v>
          </cell>
          <cell r="E1007" t="str">
            <v>汉族</v>
          </cell>
          <cell r="F1007" t="str">
            <v>19510509</v>
          </cell>
          <cell r="G1007">
            <v>70</v>
          </cell>
          <cell r="H1007" t="str">
            <v>四川省仁寿县贵平镇中岗村9组</v>
          </cell>
        </row>
        <row r="1008">
          <cell r="C1008" t="str">
            <v>511121194602286752</v>
          </cell>
          <cell r="D1008" t="str">
            <v>男</v>
          </cell>
          <cell r="E1008" t="str">
            <v>汉族</v>
          </cell>
          <cell r="F1008" t="str">
            <v>19460228</v>
          </cell>
          <cell r="G1008">
            <v>75</v>
          </cell>
          <cell r="H1008" t="str">
            <v>四川省仁寿县贵平镇中岗村9组</v>
          </cell>
          <cell r="I1008">
            <v>18384707082</v>
          </cell>
        </row>
        <row r="1009">
          <cell r="C1009" t="str">
            <v>51112119670921693X</v>
          </cell>
          <cell r="D1009" t="str">
            <v>男</v>
          </cell>
          <cell r="E1009" t="str">
            <v>汉族</v>
          </cell>
          <cell r="F1009" t="str">
            <v>19670921</v>
          </cell>
          <cell r="G1009">
            <v>54</v>
          </cell>
          <cell r="H1009" t="str">
            <v>四川省仁寿县贵平镇中岗村9组</v>
          </cell>
        </row>
        <row r="1010">
          <cell r="C1010" t="str">
            <v>511121196805089061</v>
          </cell>
          <cell r="D1010" t="str">
            <v>女</v>
          </cell>
          <cell r="E1010" t="str">
            <v>汉族</v>
          </cell>
          <cell r="F1010" t="str">
            <v>19680508</v>
          </cell>
          <cell r="G1010">
            <v>53</v>
          </cell>
          <cell r="H1010" t="str">
            <v>四川省仁寿县贵平镇中岗村9组</v>
          </cell>
        </row>
        <row r="1011">
          <cell r="C1011" t="str">
            <v>513822199111016941</v>
          </cell>
          <cell r="D1011" t="str">
            <v>女</v>
          </cell>
          <cell r="E1011" t="str">
            <v>汉族</v>
          </cell>
          <cell r="F1011" t="str">
            <v>19911101</v>
          </cell>
          <cell r="G1011">
            <v>30</v>
          </cell>
          <cell r="H1011" t="str">
            <v>四川省仁寿县贵平镇中岗村9组</v>
          </cell>
        </row>
        <row r="1012">
          <cell r="C1012" t="str">
            <v>513822199210256940</v>
          </cell>
          <cell r="D1012" t="str">
            <v>女</v>
          </cell>
          <cell r="E1012" t="str">
            <v>汉族</v>
          </cell>
          <cell r="F1012" t="str">
            <v>19921025</v>
          </cell>
          <cell r="G1012">
            <v>29</v>
          </cell>
          <cell r="H1012" t="str">
            <v>四川省仁寿县贵平镇中岗村9组</v>
          </cell>
        </row>
        <row r="1013">
          <cell r="C1013" t="str">
            <v>511121197201206938</v>
          </cell>
          <cell r="D1013" t="str">
            <v>男</v>
          </cell>
          <cell r="E1013" t="str">
            <v>汉族</v>
          </cell>
          <cell r="F1013" t="str">
            <v>19720120</v>
          </cell>
          <cell r="G1013">
            <v>49</v>
          </cell>
          <cell r="H1013" t="str">
            <v>四川省仁寿县贵平镇中岗村9组</v>
          </cell>
        </row>
        <row r="1014">
          <cell r="C1014" t="str">
            <v>511121193908166935</v>
          </cell>
          <cell r="D1014" t="str">
            <v>男</v>
          </cell>
          <cell r="E1014" t="str">
            <v>汉族</v>
          </cell>
          <cell r="F1014" t="str">
            <v>19390816</v>
          </cell>
          <cell r="G1014">
            <v>82</v>
          </cell>
          <cell r="H1014" t="str">
            <v>四川省仁寿县贵平镇中岗村9组</v>
          </cell>
          <cell r="I1014">
            <v>13608066794</v>
          </cell>
        </row>
        <row r="1015">
          <cell r="C1015" t="str">
            <v>511121194808176946</v>
          </cell>
          <cell r="D1015" t="str">
            <v>女</v>
          </cell>
          <cell r="E1015" t="str">
            <v>汉族</v>
          </cell>
          <cell r="F1015" t="str">
            <v>19480817</v>
          </cell>
          <cell r="G1015">
            <v>73</v>
          </cell>
          <cell r="H1015" t="str">
            <v>四川省仁寿县贵平镇中岗村9组</v>
          </cell>
        </row>
        <row r="1016">
          <cell r="C1016" t="str">
            <v>51112119780710694X</v>
          </cell>
          <cell r="D1016" t="str">
            <v>女</v>
          </cell>
          <cell r="E1016" t="str">
            <v>汉族</v>
          </cell>
          <cell r="F1016" t="str">
            <v>19780710</v>
          </cell>
          <cell r="G1016">
            <v>43</v>
          </cell>
          <cell r="H1016" t="str">
            <v>四川省仁寿县贵平镇中岗村9组</v>
          </cell>
          <cell r="I1016" t="str">
            <v>15362113976</v>
          </cell>
        </row>
        <row r="1017">
          <cell r="C1017" t="str">
            <v>51112119711113693X</v>
          </cell>
          <cell r="D1017" t="str">
            <v>男</v>
          </cell>
          <cell r="E1017" t="str">
            <v>汉族</v>
          </cell>
          <cell r="F1017" t="str">
            <v>19711113</v>
          </cell>
          <cell r="G1017">
            <v>50</v>
          </cell>
          <cell r="H1017" t="str">
            <v>四川省仁寿县贵平镇中岗村9组</v>
          </cell>
          <cell r="I1017">
            <v>15982016361</v>
          </cell>
        </row>
        <row r="1018">
          <cell r="C1018" t="str">
            <v>511121197207316943</v>
          </cell>
          <cell r="D1018" t="str">
            <v>女</v>
          </cell>
          <cell r="E1018" t="str">
            <v>汉族</v>
          </cell>
          <cell r="F1018" t="str">
            <v>19720731</v>
          </cell>
          <cell r="G1018">
            <v>49</v>
          </cell>
          <cell r="H1018" t="str">
            <v>四川省仁寿县贵平镇中岗村9组</v>
          </cell>
          <cell r="I1018">
            <v>13608066794</v>
          </cell>
        </row>
        <row r="1019">
          <cell r="C1019" t="str">
            <v>513822199508176935</v>
          </cell>
          <cell r="D1019" t="str">
            <v>男</v>
          </cell>
          <cell r="E1019" t="str">
            <v>汉族</v>
          </cell>
          <cell r="F1019" t="str">
            <v>19950817</v>
          </cell>
          <cell r="G1019">
            <v>26</v>
          </cell>
          <cell r="H1019" t="str">
            <v>四川省仁寿县贵平镇中岗村9组</v>
          </cell>
          <cell r="I1019">
            <v>13880208944</v>
          </cell>
        </row>
        <row r="1020">
          <cell r="C1020" t="str">
            <v>511121195512046936</v>
          </cell>
          <cell r="D1020" t="str">
            <v>女</v>
          </cell>
          <cell r="E1020" t="str">
            <v>汉族</v>
          </cell>
          <cell r="F1020" t="str">
            <v>19551204</v>
          </cell>
          <cell r="G1020">
            <v>66</v>
          </cell>
          <cell r="H1020" t="str">
            <v>四川省仁寿县贵平镇中岗村9组</v>
          </cell>
          <cell r="I1020">
            <v>13541432792</v>
          </cell>
        </row>
        <row r="1021">
          <cell r="C1021" t="str">
            <v>511121195512046936</v>
          </cell>
          <cell r="D1021" t="str">
            <v>男</v>
          </cell>
          <cell r="E1021" t="str">
            <v>汉族</v>
          </cell>
          <cell r="F1021" t="str">
            <v>19551204</v>
          </cell>
          <cell r="G1021">
            <v>66</v>
          </cell>
          <cell r="H1021" t="str">
            <v>四川省仁寿县贵平镇中岗村9组</v>
          </cell>
          <cell r="I1021">
            <v>18698027601</v>
          </cell>
        </row>
        <row r="1022">
          <cell r="C1022" t="str">
            <v>511121194308286938</v>
          </cell>
          <cell r="D1022" t="str">
            <v>男</v>
          </cell>
          <cell r="E1022" t="str">
            <v>汉族</v>
          </cell>
          <cell r="F1022" t="str">
            <v>19430828</v>
          </cell>
          <cell r="G1022">
            <v>78</v>
          </cell>
          <cell r="H1022" t="str">
            <v>四川省仁寿县贵平镇中岗村9组</v>
          </cell>
        </row>
        <row r="1023">
          <cell r="C1023" t="str">
            <v>511121197511126933</v>
          </cell>
          <cell r="D1023" t="str">
            <v>男</v>
          </cell>
          <cell r="E1023" t="str">
            <v>汉族</v>
          </cell>
          <cell r="F1023" t="str">
            <v>19751112</v>
          </cell>
          <cell r="G1023">
            <v>46</v>
          </cell>
          <cell r="H1023" t="str">
            <v>四川省仁寿县贵平镇中岗村9组</v>
          </cell>
        </row>
        <row r="1024">
          <cell r="C1024" t="str">
            <v>511121197906276944</v>
          </cell>
          <cell r="D1024" t="str">
            <v>女</v>
          </cell>
          <cell r="E1024" t="str">
            <v>汉族</v>
          </cell>
          <cell r="F1024" t="str">
            <v>19790627</v>
          </cell>
          <cell r="G1024">
            <v>42</v>
          </cell>
          <cell r="H1024" t="str">
            <v>四川省仁寿县贵平镇中岗村9组</v>
          </cell>
        </row>
        <row r="1025">
          <cell r="C1025" t="str">
            <v>511121194907176941</v>
          </cell>
          <cell r="D1025" t="str">
            <v>女</v>
          </cell>
          <cell r="E1025" t="str">
            <v>汉族</v>
          </cell>
          <cell r="F1025" t="str">
            <v>19490717</v>
          </cell>
          <cell r="G1025">
            <v>72</v>
          </cell>
          <cell r="H1025" t="str">
            <v>四川省仁寿县贵平镇中岗村9组</v>
          </cell>
          <cell r="I1025">
            <v>18080398574</v>
          </cell>
        </row>
        <row r="1026">
          <cell r="C1026" t="str">
            <v>51382220000804670X</v>
          </cell>
          <cell r="D1026" t="str">
            <v>女</v>
          </cell>
          <cell r="E1026" t="str">
            <v>汉族</v>
          </cell>
          <cell r="F1026" t="str">
            <v>20000804</v>
          </cell>
          <cell r="G1026">
            <v>21</v>
          </cell>
          <cell r="H1026" t="str">
            <v>四川省仁寿县贵平镇中岗村9组</v>
          </cell>
          <cell r="I1026">
            <v>18328103621</v>
          </cell>
        </row>
        <row r="1027">
          <cell r="C1027" t="str">
            <v>511121194510196936</v>
          </cell>
          <cell r="D1027" t="str">
            <v>男</v>
          </cell>
          <cell r="E1027" t="str">
            <v>汉族</v>
          </cell>
          <cell r="F1027" t="str">
            <v>19451019</v>
          </cell>
          <cell r="G1027">
            <v>76</v>
          </cell>
          <cell r="H1027" t="str">
            <v>四川省仁寿县贵平镇中岗村9组</v>
          </cell>
          <cell r="I1027">
            <v>18384773070</v>
          </cell>
        </row>
        <row r="1028">
          <cell r="C1028" t="str">
            <v>511121195106016942</v>
          </cell>
          <cell r="D1028" t="str">
            <v>女</v>
          </cell>
          <cell r="E1028" t="str">
            <v>汉族</v>
          </cell>
          <cell r="F1028" t="str">
            <v>19510601</v>
          </cell>
          <cell r="G1028">
            <v>70</v>
          </cell>
          <cell r="H1028" t="str">
            <v>四川省仁寿县贵平镇中岗村9组</v>
          </cell>
        </row>
        <row r="1029">
          <cell r="C1029" t="str">
            <v>513822199010036951</v>
          </cell>
          <cell r="D1029" t="str">
            <v>男</v>
          </cell>
          <cell r="E1029" t="str">
            <v>汉族</v>
          </cell>
          <cell r="F1029" t="str">
            <v>19901003</v>
          </cell>
          <cell r="G1029">
            <v>31</v>
          </cell>
          <cell r="H1029" t="str">
            <v>四川省仁寿县贵平镇中岗村9组</v>
          </cell>
          <cell r="I1029">
            <v>13488938639</v>
          </cell>
        </row>
        <row r="1030">
          <cell r="C1030" t="str">
            <v>511121197006136954</v>
          </cell>
          <cell r="D1030" t="str">
            <v>男</v>
          </cell>
          <cell r="E1030" t="str">
            <v>汉族</v>
          </cell>
          <cell r="F1030" t="str">
            <v>19700613</v>
          </cell>
          <cell r="G1030">
            <v>51</v>
          </cell>
          <cell r="H1030" t="str">
            <v>四川省仁寿县贵平镇中岗村9组</v>
          </cell>
          <cell r="I1030">
            <v>13648097092</v>
          </cell>
        </row>
        <row r="1031">
          <cell r="C1031" t="str">
            <v>511121196906136947</v>
          </cell>
          <cell r="D1031" t="str">
            <v>女</v>
          </cell>
          <cell r="E1031" t="str">
            <v>汉族</v>
          </cell>
          <cell r="F1031" t="str">
            <v>19690613</v>
          </cell>
          <cell r="G1031">
            <v>52</v>
          </cell>
          <cell r="H1031" t="str">
            <v>四川省仁寿县贵平镇中岗村9组</v>
          </cell>
          <cell r="I1031">
            <v>13981877083</v>
          </cell>
        </row>
        <row r="1032">
          <cell r="C1032" t="str">
            <v>513822199204246949</v>
          </cell>
          <cell r="D1032" t="str">
            <v>女</v>
          </cell>
          <cell r="E1032" t="str">
            <v>汉族</v>
          </cell>
          <cell r="F1032" t="str">
            <v>19920424</v>
          </cell>
          <cell r="G1032">
            <v>29</v>
          </cell>
          <cell r="H1032" t="str">
            <v>四川省仁寿县贵平镇中岗村9组</v>
          </cell>
          <cell r="I1032">
            <v>13308196954</v>
          </cell>
        </row>
        <row r="1033">
          <cell r="C1033" t="str">
            <v>511421201911170134</v>
          </cell>
          <cell r="D1033" t="str">
            <v>男</v>
          </cell>
          <cell r="E1033" t="str">
            <v>汉族</v>
          </cell>
          <cell r="F1033" t="str">
            <v>20191117</v>
          </cell>
          <cell r="G1033">
            <v>2</v>
          </cell>
          <cell r="H1033" t="str">
            <v>四川省仁寿县贵平镇中岗村9组</v>
          </cell>
        </row>
        <row r="1034">
          <cell r="C1034" t="str">
            <v>511121197509086936</v>
          </cell>
          <cell r="D1034" t="str">
            <v>男</v>
          </cell>
          <cell r="E1034" t="str">
            <v>汉族</v>
          </cell>
          <cell r="F1034" t="str">
            <v>19750908</v>
          </cell>
          <cell r="G1034">
            <v>46</v>
          </cell>
          <cell r="H1034" t="str">
            <v>四川省仁寿县贵平镇中岗村9组</v>
          </cell>
          <cell r="I1034">
            <v>13320993926</v>
          </cell>
        </row>
        <row r="1035">
          <cell r="C1035" t="str">
            <v>510525198101183848</v>
          </cell>
          <cell r="D1035" t="str">
            <v>女</v>
          </cell>
          <cell r="E1035" t="str">
            <v>汉族</v>
          </cell>
          <cell r="F1035" t="str">
            <v>19810118</v>
          </cell>
          <cell r="G1035">
            <v>40</v>
          </cell>
          <cell r="H1035" t="str">
            <v>四川省仁寿县贵平镇中岗村9组</v>
          </cell>
        </row>
        <row r="1036">
          <cell r="C1036" t="str">
            <v>511121195305136939</v>
          </cell>
          <cell r="D1036" t="str">
            <v>男</v>
          </cell>
          <cell r="E1036" t="str">
            <v>汉族</v>
          </cell>
          <cell r="F1036" t="str">
            <v>19530513</v>
          </cell>
          <cell r="G1036">
            <v>68</v>
          </cell>
          <cell r="H1036" t="str">
            <v>四川省仁寿县贵平镇中岗村9组</v>
          </cell>
        </row>
        <row r="1037">
          <cell r="C1037" t="str">
            <v>513822199602156930</v>
          </cell>
          <cell r="D1037" t="str">
            <v>男</v>
          </cell>
          <cell r="E1037" t="str">
            <v>汉族</v>
          </cell>
          <cell r="F1037" t="str">
            <v>19960215</v>
          </cell>
          <cell r="G1037">
            <v>25</v>
          </cell>
          <cell r="H1037" t="str">
            <v>四川省仁寿县贵平镇中岗村9组</v>
          </cell>
          <cell r="I1037">
            <v>15008267984</v>
          </cell>
        </row>
        <row r="1038">
          <cell r="C1038" t="str">
            <v>511421201511106874</v>
          </cell>
          <cell r="D1038" t="str">
            <v>男</v>
          </cell>
          <cell r="E1038" t="str">
            <v>汉族</v>
          </cell>
          <cell r="F1038" t="str">
            <v>20151110</v>
          </cell>
          <cell r="G1038">
            <v>6</v>
          </cell>
          <cell r="H1038" t="str">
            <v>四川省仁寿县贵平镇中岗村9组</v>
          </cell>
        </row>
        <row r="1039">
          <cell r="C1039" t="str">
            <v>51382220030606675X</v>
          </cell>
          <cell r="D1039" t="str">
            <v>男</v>
          </cell>
          <cell r="E1039" t="str">
            <v>汉族</v>
          </cell>
          <cell r="F1039" t="str">
            <v>20030606</v>
          </cell>
          <cell r="G1039">
            <v>18</v>
          </cell>
          <cell r="H1039" t="str">
            <v>四川省仁寿县贵平镇中岗村9组</v>
          </cell>
        </row>
        <row r="1040">
          <cell r="C1040" t="str">
            <v>511421201906110376</v>
          </cell>
          <cell r="D1040" t="str">
            <v>男</v>
          </cell>
          <cell r="E1040" t="str">
            <v>汉族</v>
          </cell>
          <cell r="F1040" t="str">
            <v>20190611</v>
          </cell>
          <cell r="G1040">
            <v>2</v>
          </cell>
          <cell r="H1040" t="str">
            <v>四川省仁寿县贵平镇中岗村9组</v>
          </cell>
        </row>
        <row r="1041">
          <cell r="C1041" t="str">
            <v>511121195311266932</v>
          </cell>
          <cell r="D1041" t="str">
            <v>男</v>
          </cell>
          <cell r="E1041" t="str">
            <v>汉族</v>
          </cell>
          <cell r="F1041" t="str">
            <v>19531126</v>
          </cell>
          <cell r="G1041">
            <v>68</v>
          </cell>
          <cell r="H1041" t="str">
            <v>四川省仁寿县贵平镇中岗村9组</v>
          </cell>
          <cell r="I1041">
            <v>18783310086</v>
          </cell>
        </row>
        <row r="1042">
          <cell r="C1042" t="str">
            <v>51112119481016694X</v>
          </cell>
          <cell r="D1042" t="str">
            <v>女</v>
          </cell>
          <cell r="E1042" t="str">
            <v>汉族</v>
          </cell>
          <cell r="F1042" t="str">
            <v>19481016</v>
          </cell>
          <cell r="G1042">
            <v>73</v>
          </cell>
          <cell r="H1042" t="str">
            <v>四川省仁寿县贵平镇中岗村9组</v>
          </cell>
        </row>
        <row r="1043">
          <cell r="C1043" t="str">
            <v>511121197111096931</v>
          </cell>
          <cell r="D1043" t="str">
            <v>男</v>
          </cell>
          <cell r="E1043" t="str">
            <v>汉族</v>
          </cell>
          <cell r="F1043" t="str">
            <v>19711109</v>
          </cell>
          <cell r="G1043">
            <v>50</v>
          </cell>
          <cell r="H1043" t="str">
            <v>四川省仁寿县贵平镇中岗村9组</v>
          </cell>
        </row>
        <row r="1044">
          <cell r="C1044" t="str">
            <v>511121197503126941</v>
          </cell>
          <cell r="D1044" t="str">
            <v>女</v>
          </cell>
          <cell r="E1044" t="str">
            <v>汉族</v>
          </cell>
          <cell r="F1044" t="str">
            <v>19750312</v>
          </cell>
          <cell r="G1044">
            <v>46</v>
          </cell>
          <cell r="H1044" t="str">
            <v>四川省仁寿县贵平镇中岗村9组</v>
          </cell>
          <cell r="I1044">
            <v>18328199498</v>
          </cell>
        </row>
        <row r="1045">
          <cell r="C1045" t="str">
            <v>513822199604166948</v>
          </cell>
          <cell r="D1045" t="str">
            <v>女</v>
          </cell>
          <cell r="E1045" t="str">
            <v>汉族</v>
          </cell>
          <cell r="F1045" t="str">
            <v>19960416</v>
          </cell>
          <cell r="G1045">
            <v>25</v>
          </cell>
          <cell r="H1045" t="str">
            <v>四川省仁寿县贵平镇中岗村9组</v>
          </cell>
          <cell r="I1045">
            <v>18728325021</v>
          </cell>
        </row>
        <row r="1046">
          <cell r="C1046" t="str">
            <v>513822200410186700</v>
          </cell>
          <cell r="D1046" t="str">
            <v>女</v>
          </cell>
          <cell r="E1046" t="str">
            <v>汉族</v>
          </cell>
          <cell r="F1046" t="str">
            <v>20041018</v>
          </cell>
          <cell r="G1046">
            <v>17</v>
          </cell>
          <cell r="H1046" t="str">
            <v>四川省仁寿县贵平镇中岗村9组</v>
          </cell>
        </row>
        <row r="1047">
          <cell r="C1047" t="str">
            <v>511121197610206939</v>
          </cell>
          <cell r="D1047" t="str">
            <v>男</v>
          </cell>
          <cell r="E1047" t="str">
            <v>汉族</v>
          </cell>
          <cell r="F1047" t="str">
            <v>19761020</v>
          </cell>
          <cell r="G1047">
            <v>45</v>
          </cell>
          <cell r="H1047" t="str">
            <v>四川省仁寿县贵平镇中岗村9组</v>
          </cell>
          <cell r="I1047">
            <v>18228135338</v>
          </cell>
        </row>
        <row r="1048">
          <cell r="C1048" t="str">
            <v>511121197911266783</v>
          </cell>
          <cell r="D1048" t="str">
            <v>女</v>
          </cell>
          <cell r="E1048" t="str">
            <v>汉族</v>
          </cell>
          <cell r="F1048" t="str">
            <v>19791126</v>
          </cell>
          <cell r="G1048">
            <v>42</v>
          </cell>
          <cell r="H1048" t="str">
            <v>四川省仁寿县贵平镇中岗村9组</v>
          </cell>
          <cell r="I1048">
            <v>18282467904</v>
          </cell>
        </row>
        <row r="1049">
          <cell r="C1049" t="str">
            <v>513822200007296694</v>
          </cell>
          <cell r="D1049" t="str">
            <v>男</v>
          </cell>
          <cell r="E1049" t="str">
            <v>汉族</v>
          </cell>
          <cell r="F1049" t="str">
            <v>20000729</v>
          </cell>
          <cell r="G1049">
            <v>21</v>
          </cell>
          <cell r="H1049" t="str">
            <v>四川省仁寿县贵平镇中岗村9组</v>
          </cell>
        </row>
        <row r="1050">
          <cell r="C1050" t="str">
            <v>511121195305266936</v>
          </cell>
          <cell r="D1050" t="str">
            <v>男</v>
          </cell>
          <cell r="E1050" t="str">
            <v>汉族</v>
          </cell>
          <cell r="F1050" t="str">
            <v>19530526</v>
          </cell>
          <cell r="G1050">
            <v>68</v>
          </cell>
          <cell r="H1050" t="str">
            <v>四川省仁寿县贵平镇中岗村9组</v>
          </cell>
        </row>
        <row r="1051">
          <cell r="C1051" t="str">
            <v>511121196712126935</v>
          </cell>
          <cell r="D1051" t="str">
            <v>男</v>
          </cell>
          <cell r="E1051" t="str">
            <v>汉族</v>
          </cell>
          <cell r="F1051" t="str">
            <v>19671212</v>
          </cell>
          <cell r="G1051">
            <v>54</v>
          </cell>
          <cell r="H1051" t="str">
            <v>四川省仁寿县贵平镇中岗村9组</v>
          </cell>
          <cell r="I1051">
            <v>17726717682</v>
          </cell>
        </row>
        <row r="1052">
          <cell r="C1052" t="str">
            <v>511121196707286969</v>
          </cell>
          <cell r="D1052" t="str">
            <v>女</v>
          </cell>
          <cell r="E1052" t="str">
            <v>汉族</v>
          </cell>
          <cell r="F1052" t="str">
            <v>19670728</v>
          </cell>
          <cell r="G1052">
            <v>54</v>
          </cell>
          <cell r="H1052" t="str">
            <v>四川省仁寿县贵平镇中岗村9组</v>
          </cell>
        </row>
        <row r="1053">
          <cell r="C1053" t="str">
            <v>513822199105036938</v>
          </cell>
          <cell r="D1053" t="str">
            <v>男</v>
          </cell>
          <cell r="E1053" t="str">
            <v>汉族</v>
          </cell>
          <cell r="F1053" t="str">
            <v>19910503</v>
          </cell>
          <cell r="G1053">
            <v>30</v>
          </cell>
          <cell r="H1053" t="str">
            <v>四川省仁寿县贵平镇中岗村9组</v>
          </cell>
        </row>
        <row r="1054">
          <cell r="C1054" t="str">
            <v>511121197010016939</v>
          </cell>
          <cell r="D1054" t="str">
            <v>男</v>
          </cell>
          <cell r="E1054" t="str">
            <v>汉族</v>
          </cell>
          <cell r="F1054" t="str">
            <v>19701001</v>
          </cell>
          <cell r="G1054">
            <v>51</v>
          </cell>
          <cell r="H1054" t="str">
            <v>四川省仁寿县贵平镇中岗村9组</v>
          </cell>
          <cell r="I1054">
            <v>18048054273</v>
          </cell>
        </row>
        <row r="1055">
          <cell r="C1055" t="str">
            <v>511121197111219006</v>
          </cell>
          <cell r="D1055" t="str">
            <v>女</v>
          </cell>
          <cell r="E1055" t="str">
            <v>汉族</v>
          </cell>
          <cell r="F1055" t="str">
            <v>19711121</v>
          </cell>
          <cell r="G1055">
            <v>50</v>
          </cell>
          <cell r="H1055" t="str">
            <v>四川省仁寿县贵平镇中岗村9组</v>
          </cell>
        </row>
        <row r="1056">
          <cell r="C1056" t="str">
            <v>513822199402106955</v>
          </cell>
          <cell r="D1056" t="str">
            <v>男</v>
          </cell>
          <cell r="E1056" t="str">
            <v>汉族</v>
          </cell>
          <cell r="F1056" t="str">
            <v>19940210</v>
          </cell>
          <cell r="G1056">
            <v>27</v>
          </cell>
          <cell r="H1056" t="str">
            <v>四川省仁寿县贵平镇中岗村9组</v>
          </cell>
          <cell r="I1056">
            <v>15198232484</v>
          </cell>
        </row>
        <row r="1057">
          <cell r="C1057" t="str">
            <v>511121196307016951</v>
          </cell>
          <cell r="D1057" t="str">
            <v>男</v>
          </cell>
          <cell r="E1057" t="str">
            <v>汉族</v>
          </cell>
          <cell r="F1057" t="str">
            <v>19630701</v>
          </cell>
          <cell r="G1057">
            <v>58</v>
          </cell>
          <cell r="H1057" t="str">
            <v>四川省仁寿县贵平镇中岗村9组</v>
          </cell>
          <cell r="I1057">
            <v>17360628079</v>
          </cell>
        </row>
        <row r="1058">
          <cell r="C1058" t="str">
            <v>511121196307116944</v>
          </cell>
          <cell r="D1058" t="str">
            <v>女</v>
          </cell>
          <cell r="E1058" t="str">
            <v>汉族</v>
          </cell>
          <cell r="F1058" t="str">
            <v>19630711</v>
          </cell>
          <cell r="G1058">
            <v>58</v>
          </cell>
          <cell r="H1058" t="str">
            <v>四川省仁寿县贵平镇中岗村9组</v>
          </cell>
        </row>
        <row r="1059">
          <cell r="C1059" t="str">
            <v>513822198707086946</v>
          </cell>
          <cell r="D1059" t="str">
            <v>女</v>
          </cell>
          <cell r="E1059" t="str">
            <v>汉族</v>
          </cell>
          <cell r="F1059" t="str">
            <v>19870708</v>
          </cell>
          <cell r="G1059">
            <v>34</v>
          </cell>
          <cell r="H1059" t="str">
            <v>四川省仁寿县贵平镇中岗村9组</v>
          </cell>
          <cell r="I1059">
            <v>13540705275</v>
          </cell>
        </row>
        <row r="1060">
          <cell r="C1060" t="str">
            <v>511421201708090079</v>
          </cell>
          <cell r="D1060" t="str">
            <v>男</v>
          </cell>
          <cell r="E1060" t="str">
            <v>汉族</v>
          </cell>
          <cell r="F1060" t="str">
            <v>20170809</v>
          </cell>
          <cell r="G1060">
            <v>4</v>
          </cell>
          <cell r="H1060" t="str">
            <v>四川省仁寿县贵平镇中岗村9组</v>
          </cell>
        </row>
        <row r="1061">
          <cell r="C1061" t="str">
            <v>511121194401116941</v>
          </cell>
          <cell r="D1061" t="str">
            <v>女</v>
          </cell>
          <cell r="E1061" t="str">
            <v>汉族</v>
          </cell>
          <cell r="F1061" t="str">
            <v>19440111</v>
          </cell>
          <cell r="G1061">
            <v>77</v>
          </cell>
          <cell r="H1061" t="str">
            <v>四川省仁寿县贵平镇中岗村9组</v>
          </cell>
          <cell r="I1061">
            <v>17313518325</v>
          </cell>
        </row>
        <row r="1062">
          <cell r="C1062" t="str">
            <v>511121197601096934</v>
          </cell>
          <cell r="D1062" t="str">
            <v>男</v>
          </cell>
          <cell r="E1062" t="str">
            <v>汉族</v>
          </cell>
          <cell r="F1062" t="str">
            <v>19760109</v>
          </cell>
          <cell r="G1062">
            <v>45</v>
          </cell>
          <cell r="H1062" t="str">
            <v>四川省仁寿县贵平镇中岗村9组</v>
          </cell>
          <cell r="I1062">
            <v>18328175588</v>
          </cell>
        </row>
        <row r="1063">
          <cell r="C1063" t="str">
            <v>513822200005026738</v>
          </cell>
          <cell r="D1063" t="str">
            <v>男</v>
          </cell>
          <cell r="E1063" t="str">
            <v>汉族</v>
          </cell>
          <cell r="F1063" t="str">
            <v>20000502</v>
          </cell>
          <cell r="G1063">
            <v>21</v>
          </cell>
          <cell r="H1063" t="str">
            <v>四川省仁寿县贵平镇中岗村9组</v>
          </cell>
          <cell r="I1063">
            <v>13540208158</v>
          </cell>
        </row>
        <row r="1064">
          <cell r="C1064" t="str">
            <v>511421200703016748</v>
          </cell>
          <cell r="D1064" t="str">
            <v>女</v>
          </cell>
          <cell r="E1064" t="str">
            <v>汉族</v>
          </cell>
          <cell r="F1064" t="str">
            <v>20070301</v>
          </cell>
          <cell r="G1064">
            <v>14</v>
          </cell>
          <cell r="H1064" t="str">
            <v>四川省仁寿县贵平镇中岗村9组</v>
          </cell>
        </row>
        <row r="1065">
          <cell r="C1065" t="str">
            <v>511121196809156954</v>
          </cell>
          <cell r="D1065" t="str">
            <v>男</v>
          </cell>
          <cell r="E1065" t="str">
            <v>汉族</v>
          </cell>
          <cell r="F1065" t="str">
            <v>19680915</v>
          </cell>
          <cell r="G1065">
            <v>53</v>
          </cell>
          <cell r="H1065" t="str">
            <v>四川省仁寿县贵平镇中岗村9组</v>
          </cell>
          <cell r="I1065">
            <v>13550222877</v>
          </cell>
        </row>
        <row r="1066">
          <cell r="C1066" t="str">
            <v>511121197006206940</v>
          </cell>
          <cell r="D1066" t="str">
            <v>女</v>
          </cell>
          <cell r="E1066" t="str">
            <v>汉族</v>
          </cell>
          <cell r="F1066" t="str">
            <v>19700620</v>
          </cell>
          <cell r="G1066">
            <v>51</v>
          </cell>
          <cell r="H1066" t="str">
            <v>四川省仁寿县贵平镇中岗村9组</v>
          </cell>
          <cell r="I1066">
            <v>18224090719</v>
          </cell>
        </row>
        <row r="1067">
          <cell r="C1067" t="str">
            <v>513822199010076937</v>
          </cell>
          <cell r="D1067" t="str">
            <v>男</v>
          </cell>
          <cell r="E1067" t="str">
            <v>汉族</v>
          </cell>
          <cell r="F1067" t="str">
            <v>19901007</v>
          </cell>
          <cell r="G1067">
            <v>31</v>
          </cell>
          <cell r="H1067" t="str">
            <v>四川省仁寿县贵平镇中岗村9组</v>
          </cell>
          <cell r="I1067">
            <v>18382365799</v>
          </cell>
        </row>
        <row r="1068">
          <cell r="C1068" t="str">
            <v>511023198808066849</v>
          </cell>
          <cell r="D1068" t="str">
            <v>女</v>
          </cell>
          <cell r="E1068" t="str">
            <v>汉族</v>
          </cell>
          <cell r="F1068" t="str">
            <v>19880806</v>
          </cell>
          <cell r="G1068">
            <v>33</v>
          </cell>
          <cell r="H1068" t="str">
            <v>四川省仁寿县贵平镇中岗村9组</v>
          </cell>
        </row>
        <row r="1069">
          <cell r="C1069" t="str">
            <v>511421201508316862</v>
          </cell>
          <cell r="D1069" t="str">
            <v>女</v>
          </cell>
          <cell r="E1069" t="str">
            <v>汉族</v>
          </cell>
          <cell r="F1069" t="str">
            <v>20150831</v>
          </cell>
          <cell r="G1069">
            <v>6</v>
          </cell>
          <cell r="H1069" t="str">
            <v>四川省仁寿县贵平镇中岗村9组</v>
          </cell>
        </row>
        <row r="1070">
          <cell r="C1070" t="str">
            <v>511121196611156932</v>
          </cell>
          <cell r="D1070" t="str">
            <v>男</v>
          </cell>
          <cell r="E1070" t="str">
            <v>汉族</v>
          </cell>
          <cell r="F1070" t="str">
            <v>19661115</v>
          </cell>
          <cell r="G1070">
            <v>55</v>
          </cell>
          <cell r="H1070" t="str">
            <v>四川省仁寿县贵平镇中岗村9组</v>
          </cell>
          <cell r="I1070">
            <v>13219764960</v>
          </cell>
        </row>
        <row r="1071">
          <cell r="C1071" t="str">
            <v>511121197310018944</v>
          </cell>
          <cell r="D1071" t="str">
            <v>女</v>
          </cell>
          <cell r="E1071" t="str">
            <v>汉族</v>
          </cell>
          <cell r="F1071" t="str">
            <v>19731001</v>
          </cell>
          <cell r="G1071">
            <v>48</v>
          </cell>
          <cell r="H1071" t="str">
            <v>四川省仁寿县贵平镇中岗村9组</v>
          </cell>
          <cell r="I1071">
            <v>18113648642</v>
          </cell>
        </row>
        <row r="1072">
          <cell r="C1072" t="str">
            <v>513822199211158955</v>
          </cell>
          <cell r="D1072" t="str">
            <v>男</v>
          </cell>
          <cell r="E1072" t="str">
            <v>汉族</v>
          </cell>
          <cell r="F1072" t="str">
            <v>19921115</v>
          </cell>
          <cell r="G1072">
            <v>29</v>
          </cell>
          <cell r="H1072" t="str">
            <v>四川省仁寿县贵平镇中岗村9组</v>
          </cell>
          <cell r="I1072">
            <v>15108460436</v>
          </cell>
        </row>
        <row r="1073">
          <cell r="C1073" t="str">
            <v>510722199412017069</v>
          </cell>
          <cell r="D1073" t="str">
            <v>女</v>
          </cell>
          <cell r="E1073" t="str">
            <v>汉族</v>
          </cell>
          <cell r="F1073" t="str">
            <v>19941201</v>
          </cell>
          <cell r="G1073">
            <v>27</v>
          </cell>
          <cell r="H1073" t="str">
            <v>四川省仁寿县贵平镇中岗村9组</v>
          </cell>
          <cell r="I1073">
            <v>13540854693</v>
          </cell>
        </row>
        <row r="1074">
          <cell r="C1074" t="str">
            <v>513822199009176957</v>
          </cell>
          <cell r="D1074" t="str">
            <v>男</v>
          </cell>
          <cell r="E1074" t="str">
            <v>汉族</v>
          </cell>
          <cell r="F1074" t="str">
            <v>19900917</v>
          </cell>
          <cell r="G1074">
            <v>31</v>
          </cell>
          <cell r="H1074" t="str">
            <v>四川省仁寿县贵平镇中岗村9组</v>
          </cell>
          <cell r="I1074">
            <v>18583826692</v>
          </cell>
        </row>
        <row r="1075">
          <cell r="C1075" t="str">
            <v>511121194912176954</v>
          </cell>
          <cell r="D1075" t="str">
            <v>男</v>
          </cell>
          <cell r="E1075" t="str">
            <v>汉族</v>
          </cell>
          <cell r="F1075" t="str">
            <v>19491217</v>
          </cell>
          <cell r="G1075">
            <v>72</v>
          </cell>
          <cell r="H1075" t="str">
            <v>四川省仁寿县贵平镇中岗村9组</v>
          </cell>
        </row>
        <row r="1076">
          <cell r="C1076" t="str">
            <v>511121198003256939</v>
          </cell>
          <cell r="D1076" t="str">
            <v>男</v>
          </cell>
          <cell r="E1076" t="str">
            <v>汉族</v>
          </cell>
          <cell r="F1076" t="str">
            <v>19800325</v>
          </cell>
          <cell r="G1076">
            <v>41</v>
          </cell>
          <cell r="H1076" t="str">
            <v>四川省仁寿县贵平镇中岗村9组</v>
          </cell>
          <cell r="I1076">
            <v>18180980325</v>
          </cell>
        </row>
        <row r="1077">
          <cell r="C1077" t="str">
            <v>510923198504044120</v>
          </cell>
          <cell r="D1077" t="str">
            <v>女</v>
          </cell>
          <cell r="E1077" t="str">
            <v>汉族</v>
          </cell>
          <cell r="F1077" t="str">
            <v>19850404</v>
          </cell>
          <cell r="G1077">
            <v>36</v>
          </cell>
          <cell r="H1077" t="str">
            <v>四川省仁寿县贵平镇中岗村9组</v>
          </cell>
        </row>
        <row r="1078">
          <cell r="C1078" t="str">
            <v>511421200609196711</v>
          </cell>
          <cell r="D1078" t="str">
            <v>男</v>
          </cell>
          <cell r="E1078" t="str">
            <v>汉族</v>
          </cell>
          <cell r="F1078" t="str">
            <v>20060919</v>
          </cell>
          <cell r="G1078">
            <v>15</v>
          </cell>
          <cell r="H1078" t="str">
            <v>四川省仁寿县贵平镇中岗村9组</v>
          </cell>
        </row>
        <row r="1079">
          <cell r="C1079" t="str">
            <v>511121194811216945</v>
          </cell>
          <cell r="D1079" t="str">
            <v>女</v>
          </cell>
          <cell r="E1079" t="str">
            <v>汉族</v>
          </cell>
          <cell r="F1079" t="str">
            <v>19481121</v>
          </cell>
          <cell r="G1079">
            <v>73</v>
          </cell>
          <cell r="H1079" t="str">
            <v>四川省仁寿县贵平镇中岗村9组</v>
          </cell>
          <cell r="I1079">
            <v>18228111025</v>
          </cell>
        </row>
        <row r="1080">
          <cell r="C1080" t="str">
            <v>511121196302126932</v>
          </cell>
          <cell r="D1080" t="str">
            <v>男</v>
          </cell>
          <cell r="E1080" t="str">
            <v>汉族</v>
          </cell>
          <cell r="F1080" t="str">
            <v>19630212</v>
          </cell>
          <cell r="G1080">
            <v>58</v>
          </cell>
          <cell r="H1080" t="str">
            <v>四川省仁寿县贵平镇中岗村9组</v>
          </cell>
          <cell r="I1080">
            <v>18108069343</v>
          </cell>
        </row>
        <row r="1081">
          <cell r="C1081" t="str">
            <v>513822198712246932</v>
          </cell>
          <cell r="D1081" t="str">
            <v>男</v>
          </cell>
          <cell r="E1081" t="str">
            <v>汉族</v>
          </cell>
          <cell r="F1081" t="str">
            <v>19871224</v>
          </cell>
          <cell r="G1081">
            <v>34</v>
          </cell>
          <cell r="H1081" t="str">
            <v>四川省仁寿县贵平镇中岗村9组</v>
          </cell>
          <cell r="I1081">
            <v>13348862306</v>
          </cell>
        </row>
        <row r="1082">
          <cell r="C1082" t="str">
            <v>511421201805240227</v>
          </cell>
          <cell r="D1082" t="str">
            <v>女</v>
          </cell>
          <cell r="E1082" t="str">
            <v>汉族</v>
          </cell>
          <cell r="F1082" t="str">
            <v>20180524</v>
          </cell>
          <cell r="G1082">
            <v>3</v>
          </cell>
          <cell r="H1082" t="str">
            <v>四川省仁寿县贵平镇中岗村9组</v>
          </cell>
        </row>
        <row r="1083">
          <cell r="C1083" t="str">
            <v>511121195005166933</v>
          </cell>
          <cell r="D1083" t="str">
            <v>男</v>
          </cell>
          <cell r="E1083" t="str">
            <v>汉族</v>
          </cell>
          <cell r="F1083" t="str">
            <v>19500516</v>
          </cell>
          <cell r="G1083">
            <v>71</v>
          </cell>
          <cell r="H1083" t="str">
            <v>四川省仁寿县贵平镇中岗村9组</v>
          </cell>
          <cell r="I1083">
            <v>13688256041</v>
          </cell>
        </row>
        <row r="1084">
          <cell r="C1084" t="str">
            <v>511421200608266992</v>
          </cell>
          <cell r="D1084" t="str">
            <v>男</v>
          </cell>
          <cell r="E1084" t="str">
            <v>汉族</v>
          </cell>
          <cell r="F1084" t="str">
            <v>20060826</v>
          </cell>
          <cell r="G1084">
            <v>15</v>
          </cell>
          <cell r="H1084" t="str">
            <v>四川省仁寿县贵平镇中岗村9组</v>
          </cell>
        </row>
        <row r="1085">
          <cell r="C1085" t="str">
            <v>513822199810156935</v>
          </cell>
          <cell r="D1085" t="str">
            <v>男</v>
          </cell>
          <cell r="E1085" t="str">
            <v>汉族</v>
          </cell>
          <cell r="F1085" t="str">
            <v>19981015</v>
          </cell>
          <cell r="G1085">
            <v>23</v>
          </cell>
          <cell r="H1085" t="str">
            <v>四川省仁寿县贵平镇中岗村9组</v>
          </cell>
        </row>
        <row r="1086">
          <cell r="C1086" t="str">
            <v>510106197410182915</v>
          </cell>
          <cell r="D1086" t="str">
            <v>男</v>
          </cell>
          <cell r="E1086" t="str">
            <v>汉族</v>
          </cell>
          <cell r="F1086" t="str">
            <v>19741018</v>
          </cell>
          <cell r="G1086">
            <v>47</v>
          </cell>
          <cell r="H1086" t="str">
            <v>四川省仁寿县贵平镇中岗村9组</v>
          </cell>
          <cell r="I1086">
            <v>13544892906</v>
          </cell>
        </row>
        <row r="1087">
          <cell r="C1087" t="str">
            <v>511421201612130276</v>
          </cell>
          <cell r="D1087" t="str">
            <v>男</v>
          </cell>
          <cell r="E1087" t="str">
            <v>汉族</v>
          </cell>
          <cell r="F1087" t="str">
            <v>20161213</v>
          </cell>
          <cell r="G1087">
            <v>5</v>
          </cell>
          <cell r="H1087" t="str">
            <v>四川省仁寿县贵平镇中岗村9组</v>
          </cell>
        </row>
        <row r="1088">
          <cell r="C1088" t="str">
            <v>513822199306106939</v>
          </cell>
          <cell r="D1088" t="str">
            <v>男</v>
          </cell>
          <cell r="E1088" t="str">
            <v>汉族</v>
          </cell>
          <cell r="F1088" t="str">
            <v>19930610</v>
          </cell>
          <cell r="G1088">
            <v>28</v>
          </cell>
          <cell r="H1088" t="str">
            <v>四川省仁寿县贵平镇中岗村9组</v>
          </cell>
          <cell r="I1088">
            <v>13881741603</v>
          </cell>
        </row>
        <row r="1089">
          <cell r="C1089" t="str">
            <v>511421201809030178</v>
          </cell>
          <cell r="D1089" t="str">
            <v>男</v>
          </cell>
          <cell r="E1089" t="str">
            <v>汉族</v>
          </cell>
          <cell r="F1089" t="str">
            <v>20180903</v>
          </cell>
          <cell r="G1089">
            <v>3</v>
          </cell>
          <cell r="H1089" t="str">
            <v>四川省仁寿县贵平镇中岗村9组</v>
          </cell>
        </row>
        <row r="1090">
          <cell r="C1090" t="str">
            <v>511121195507126931</v>
          </cell>
          <cell r="D1090" t="str">
            <v>男</v>
          </cell>
          <cell r="E1090" t="str">
            <v>汉族</v>
          </cell>
          <cell r="F1090" t="str">
            <v>19550712</v>
          </cell>
          <cell r="G1090">
            <v>66</v>
          </cell>
          <cell r="H1090" t="str">
            <v>四川省仁寿县贵平镇中岗村9组</v>
          </cell>
          <cell r="I1090">
            <v>18382382351</v>
          </cell>
        </row>
        <row r="1091">
          <cell r="C1091" t="str">
            <v>511121195503286946</v>
          </cell>
          <cell r="D1091" t="str">
            <v>女</v>
          </cell>
          <cell r="E1091" t="str">
            <v>汉族</v>
          </cell>
          <cell r="F1091" t="str">
            <v>19550328</v>
          </cell>
          <cell r="G1091">
            <v>66</v>
          </cell>
          <cell r="H1091" t="str">
            <v>四川省仁寿县贵平镇中岗村9组</v>
          </cell>
          <cell r="I1091">
            <v>18384787741</v>
          </cell>
        </row>
        <row r="1092">
          <cell r="C1092" t="str">
            <v>511121198111016967</v>
          </cell>
          <cell r="D1092" t="str">
            <v>女</v>
          </cell>
          <cell r="E1092" t="str">
            <v>汉族</v>
          </cell>
          <cell r="F1092" t="str">
            <v>19811101</v>
          </cell>
          <cell r="G1092">
            <v>40</v>
          </cell>
          <cell r="H1092" t="str">
            <v>四川省仁寿县贵平镇中岗村9组</v>
          </cell>
        </row>
        <row r="1093">
          <cell r="C1093" t="str">
            <v>51112119790812694X</v>
          </cell>
          <cell r="D1093" t="str">
            <v>女</v>
          </cell>
          <cell r="E1093" t="str">
            <v>汉族</v>
          </cell>
          <cell r="F1093" t="str">
            <v>19790812</v>
          </cell>
          <cell r="G1093">
            <v>42</v>
          </cell>
          <cell r="H1093" t="str">
            <v>四川省仁寿县贵平镇中岗村9组</v>
          </cell>
          <cell r="I1093">
            <v>18382382351</v>
          </cell>
        </row>
        <row r="1094">
          <cell r="C1094" t="str">
            <v>511421200511136745</v>
          </cell>
          <cell r="D1094" t="str">
            <v>女</v>
          </cell>
          <cell r="E1094" t="str">
            <v>汉族</v>
          </cell>
          <cell r="F1094" t="str">
            <v>20051113</v>
          </cell>
          <cell r="G1094">
            <v>16</v>
          </cell>
          <cell r="H1094" t="str">
            <v>四川省仁寿县贵平镇中岗村9组</v>
          </cell>
        </row>
        <row r="1095">
          <cell r="C1095" t="str">
            <v>511121196511116933</v>
          </cell>
          <cell r="D1095" t="str">
            <v>男</v>
          </cell>
          <cell r="E1095" t="str">
            <v>汉族</v>
          </cell>
          <cell r="F1095" t="str">
            <v>19651111</v>
          </cell>
          <cell r="G1095">
            <v>56</v>
          </cell>
          <cell r="H1095" t="str">
            <v>四川省仁寿县贵平镇中岗村9组</v>
          </cell>
          <cell r="I1095">
            <v>13980528960</v>
          </cell>
        </row>
        <row r="1096">
          <cell r="C1096" t="str">
            <v>511121196411056945</v>
          </cell>
          <cell r="D1096" t="str">
            <v>女</v>
          </cell>
          <cell r="E1096" t="str">
            <v>汉族</v>
          </cell>
          <cell r="F1096" t="str">
            <v>19641105</v>
          </cell>
          <cell r="G1096">
            <v>57</v>
          </cell>
          <cell r="H1096" t="str">
            <v>四川省仁寿县贵平镇中岗村9组</v>
          </cell>
          <cell r="I1096">
            <v>15882098782</v>
          </cell>
        </row>
        <row r="1097">
          <cell r="C1097" t="str">
            <v>511121193909016947</v>
          </cell>
          <cell r="D1097" t="str">
            <v>女</v>
          </cell>
          <cell r="E1097" t="str">
            <v>汉族</v>
          </cell>
          <cell r="F1097" t="str">
            <v>19390901</v>
          </cell>
          <cell r="G1097">
            <v>82</v>
          </cell>
          <cell r="H1097" t="str">
            <v>四川省仁寿县贵平镇中岗村9组</v>
          </cell>
        </row>
        <row r="1098">
          <cell r="C1098" t="str">
            <v>511121197003226938</v>
          </cell>
          <cell r="D1098" t="str">
            <v>男</v>
          </cell>
          <cell r="E1098" t="str">
            <v>汉族</v>
          </cell>
          <cell r="F1098" t="str">
            <v>19700322</v>
          </cell>
          <cell r="G1098">
            <v>51</v>
          </cell>
          <cell r="H1098" t="str">
            <v>四川省仁寿县贵平镇中岗村9组</v>
          </cell>
          <cell r="I1098">
            <v>13541083289</v>
          </cell>
        </row>
        <row r="1099">
          <cell r="C1099" t="str">
            <v>513822199907236931</v>
          </cell>
          <cell r="D1099" t="str">
            <v>男</v>
          </cell>
          <cell r="E1099" t="str">
            <v>汉族</v>
          </cell>
          <cell r="F1099" t="str">
            <v>19990723</v>
          </cell>
          <cell r="G1099">
            <v>22</v>
          </cell>
          <cell r="H1099" t="str">
            <v>四川省仁寿县贵平镇中岗村9组</v>
          </cell>
          <cell r="I1099">
            <v>13183877631</v>
          </cell>
        </row>
        <row r="1100">
          <cell r="C1100" t="str">
            <v>511421199405016699</v>
          </cell>
          <cell r="D1100" t="str">
            <v>男</v>
          </cell>
          <cell r="E1100" t="str">
            <v>汉族</v>
          </cell>
          <cell r="F1100" t="str">
            <v>19940501</v>
          </cell>
          <cell r="G1100">
            <v>27</v>
          </cell>
          <cell r="H1100" t="str">
            <v>四川省仁寿县贵平镇中岗村9组</v>
          </cell>
          <cell r="I1100">
            <v>15208237934</v>
          </cell>
        </row>
        <row r="1101">
          <cell r="C1101" t="str">
            <v>511121197202236952</v>
          </cell>
          <cell r="D1101" t="str">
            <v>男</v>
          </cell>
          <cell r="E1101" t="str">
            <v>汉族</v>
          </cell>
          <cell r="F1101" t="str">
            <v>19720223</v>
          </cell>
          <cell r="G1101">
            <v>49</v>
          </cell>
          <cell r="H1101" t="str">
            <v>四川省仁寿县贵平镇中岗村9组</v>
          </cell>
        </row>
        <row r="1102">
          <cell r="C1102" t="str">
            <v>51112119690818693X</v>
          </cell>
          <cell r="D1102" t="str">
            <v>男</v>
          </cell>
          <cell r="E1102" t="str">
            <v>汉族</v>
          </cell>
          <cell r="F1102" t="str">
            <v>19690818</v>
          </cell>
          <cell r="G1102">
            <v>52</v>
          </cell>
          <cell r="H1102" t="str">
            <v>四川省仁寿县贵平镇中岗村9组</v>
          </cell>
          <cell r="I1102">
            <v>15928015980</v>
          </cell>
        </row>
        <row r="1103">
          <cell r="C1103" t="str">
            <v>511121197308146947</v>
          </cell>
          <cell r="D1103" t="str">
            <v>女</v>
          </cell>
          <cell r="E1103" t="str">
            <v>汉族</v>
          </cell>
          <cell r="F1103" t="str">
            <v>19730814</v>
          </cell>
          <cell r="G1103">
            <v>48</v>
          </cell>
          <cell r="H1103" t="str">
            <v>四川省仁寿县贵平镇中岗村9组</v>
          </cell>
          <cell r="I1103">
            <v>18010557680</v>
          </cell>
        </row>
        <row r="1104">
          <cell r="C1104" t="str">
            <v>513822199208046936</v>
          </cell>
          <cell r="D1104" t="str">
            <v>男</v>
          </cell>
          <cell r="E1104" t="str">
            <v>汉族</v>
          </cell>
          <cell r="F1104" t="str">
            <v>19920804</v>
          </cell>
          <cell r="G1104">
            <v>29</v>
          </cell>
          <cell r="H1104" t="str">
            <v>四川省仁寿县贵平镇中岗村9组</v>
          </cell>
          <cell r="I1104">
            <v>18010622680</v>
          </cell>
        </row>
        <row r="1105">
          <cell r="C1105" t="str">
            <v>51382219910404694X</v>
          </cell>
          <cell r="D1105" t="str">
            <v>女</v>
          </cell>
          <cell r="E1105" t="str">
            <v>汉族</v>
          </cell>
          <cell r="F1105" t="str">
            <v>19910404</v>
          </cell>
          <cell r="G1105">
            <v>30</v>
          </cell>
          <cell r="H1105" t="str">
            <v>四川省仁寿县贵平镇中岗村9组</v>
          </cell>
          <cell r="I1105">
            <v>15828051098</v>
          </cell>
        </row>
        <row r="1106">
          <cell r="C1106" t="str">
            <v>511121194607016938</v>
          </cell>
          <cell r="D1106" t="str">
            <v>男</v>
          </cell>
          <cell r="E1106" t="str">
            <v>汉族</v>
          </cell>
          <cell r="F1106" t="str">
            <v>19460701</v>
          </cell>
          <cell r="G1106">
            <v>75</v>
          </cell>
          <cell r="H1106" t="str">
            <v>四川省仁寿县贵平镇中岗村9组</v>
          </cell>
          <cell r="I1106">
            <v>17318933963</v>
          </cell>
        </row>
        <row r="1107">
          <cell r="C1107" t="str">
            <v>511121194701166940</v>
          </cell>
          <cell r="D1107" t="str">
            <v>女</v>
          </cell>
          <cell r="E1107" t="str">
            <v>汉族</v>
          </cell>
          <cell r="F1107" t="str">
            <v>19470116</v>
          </cell>
          <cell r="G1107">
            <v>74</v>
          </cell>
          <cell r="H1107" t="str">
            <v>四川省仁寿县贵平镇中岗村9组</v>
          </cell>
        </row>
        <row r="1108">
          <cell r="C1108" t="str">
            <v>511121197711206938</v>
          </cell>
          <cell r="D1108" t="str">
            <v>男</v>
          </cell>
          <cell r="E1108" t="str">
            <v>汉族</v>
          </cell>
          <cell r="F1108" t="str">
            <v>19771120</v>
          </cell>
          <cell r="G1108">
            <v>44</v>
          </cell>
          <cell r="H1108" t="str">
            <v>四川省仁寿县贵平镇中岗村9组</v>
          </cell>
          <cell r="I1108">
            <v>18908065101</v>
          </cell>
        </row>
        <row r="1109">
          <cell r="C1109" t="str">
            <v>511121197203056937</v>
          </cell>
          <cell r="D1109" t="str">
            <v>男</v>
          </cell>
          <cell r="E1109" t="str">
            <v>汉族</v>
          </cell>
          <cell r="F1109" t="str">
            <v>19720305</v>
          </cell>
          <cell r="G1109">
            <v>49</v>
          </cell>
          <cell r="H1109" t="str">
            <v>四川省仁寿县贵平镇中岗村9组</v>
          </cell>
          <cell r="I1109">
            <v>18615749114</v>
          </cell>
        </row>
        <row r="1110">
          <cell r="C1110" t="str">
            <v>513822199601066933</v>
          </cell>
          <cell r="D1110" t="str">
            <v>男</v>
          </cell>
          <cell r="E1110" t="str">
            <v>汉族</v>
          </cell>
          <cell r="F1110" t="str">
            <v>19960106</v>
          </cell>
          <cell r="G1110">
            <v>25</v>
          </cell>
          <cell r="H1110" t="str">
            <v>四川省仁寿县贵平镇中岗村9组</v>
          </cell>
          <cell r="I1110">
            <v>18482167159</v>
          </cell>
        </row>
        <row r="1111">
          <cell r="C1111" t="str">
            <v>511121192809026932</v>
          </cell>
          <cell r="D1111" t="str">
            <v>男</v>
          </cell>
          <cell r="E1111" t="str">
            <v>汉族</v>
          </cell>
          <cell r="F1111" t="str">
            <v>19280902</v>
          </cell>
          <cell r="G1111">
            <v>93</v>
          </cell>
          <cell r="H1111" t="str">
            <v>四川省仁寿县贵平镇中岗村9组</v>
          </cell>
        </row>
        <row r="1112">
          <cell r="C1112" t="str">
            <v>511121196607076948</v>
          </cell>
          <cell r="D1112" t="str">
            <v>女</v>
          </cell>
          <cell r="E1112" t="str">
            <v>汉族</v>
          </cell>
          <cell r="F1112" t="str">
            <v>19660707</v>
          </cell>
          <cell r="G1112">
            <v>55</v>
          </cell>
          <cell r="H1112" t="str">
            <v>四川省仁寿县贵平镇中岗村9组</v>
          </cell>
          <cell r="I1112">
            <v>13890393946</v>
          </cell>
        </row>
        <row r="1113">
          <cell r="C1113" t="str">
            <v>513822199009276931</v>
          </cell>
          <cell r="D1113" t="str">
            <v>男</v>
          </cell>
          <cell r="E1113" t="str">
            <v>汉族</v>
          </cell>
          <cell r="F1113" t="str">
            <v>19900927</v>
          </cell>
          <cell r="G1113">
            <v>31</v>
          </cell>
          <cell r="H1113" t="str">
            <v>四川省仁寿县贵平镇中岗村9组</v>
          </cell>
        </row>
        <row r="1114">
          <cell r="C1114" t="str">
            <v>511121193709016942</v>
          </cell>
          <cell r="D1114" t="str">
            <v>女</v>
          </cell>
          <cell r="E1114" t="str">
            <v>汉族</v>
          </cell>
          <cell r="F1114" t="str">
            <v>19370901</v>
          </cell>
          <cell r="G1114">
            <v>84</v>
          </cell>
          <cell r="H1114" t="str">
            <v>四川省仁寿县贵平镇中岗村9组</v>
          </cell>
        </row>
        <row r="1115">
          <cell r="C1115" t="str">
            <v>511121195210046930</v>
          </cell>
          <cell r="D1115" t="str">
            <v>男</v>
          </cell>
          <cell r="E1115" t="str">
            <v>汉族</v>
          </cell>
          <cell r="F1115" t="str">
            <v>19521004</v>
          </cell>
          <cell r="G1115">
            <v>69</v>
          </cell>
          <cell r="H1115" t="str">
            <v>四川省仁寿县贵平镇中岗村9组</v>
          </cell>
          <cell r="I1115">
            <v>13795525989</v>
          </cell>
        </row>
        <row r="1116">
          <cell r="C1116" t="str">
            <v>513822198609216946</v>
          </cell>
          <cell r="D1116" t="str">
            <v>女</v>
          </cell>
          <cell r="E1116" t="str">
            <v>汉族</v>
          </cell>
          <cell r="F1116" t="str">
            <v>19860921</v>
          </cell>
          <cell r="G1116">
            <v>35</v>
          </cell>
          <cell r="H1116" t="str">
            <v>四川省仁寿县贵平镇中岗村9组</v>
          </cell>
          <cell r="I1116">
            <v>15008484880</v>
          </cell>
        </row>
        <row r="1117">
          <cell r="C1117" t="str">
            <v>511121195807206941</v>
          </cell>
          <cell r="D1117" t="str">
            <v>女</v>
          </cell>
          <cell r="E1117" t="str">
            <v>汉族</v>
          </cell>
          <cell r="F1117" t="str">
            <v>19580720</v>
          </cell>
          <cell r="G1117">
            <v>63</v>
          </cell>
          <cell r="H1117" t="str">
            <v>四川省仁寿县贵平镇中岗村9组</v>
          </cell>
        </row>
        <row r="1118">
          <cell r="C1118" t="str">
            <v>511121198109016968</v>
          </cell>
          <cell r="D1118" t="str">
            <v>女</v>
          </cell>
          <cell r="E1118" t="str">
            <v>汉族</v>
          </cell>
          <cell r="F1118" t="str">
            <v>19810901</v>
          </cell>
          <cell r="G1118">
            <v>40</v>
          </cell>
          <cell r="H1118" t="str">
            <v>四川省仁寿县贵平镇中岗村9组</v>
          </cell>
          <cell r="I1118">
            <v>13908054065</v>
          </cell>
        </row>
        <row r="1119">
          <cell r="C1119" t="str">
            <v>511121197907066930</v>
          </cell>
          <cell r="D1119" t="str">
            <v>男</v>
          </cell>
          <cell r="E1119" t="str">
            <v>汉族</v>
          </cell>
          <cell r="F1119" t="str">
            <v>19790706</v>
          </cell>
          <cell r="G1119">
            <v>42</v>
          </cell>
          <cell r="H1119" t="str">
            <v>四川省仁寿县贵平镇中岗村9组</v>
          </cell>
          <cell r="I1119">
            <v>13208199216</v>
          </cell>
        </row>
        <row r="1120">
          <cell r="C1120" t="str">
            <v>510821197711256326</v>
          </cell>
          <cell r="D1120" t="str">
            <v>女</v>
          </cell>
          <cell r="E1120" t="str">
            <v>汉族</v>
          </cell>
          <cell r="F1120" t="str">
            <v>19771125</v>
          </cell>
          <cell r="G1120">
            <v>44</v>
          </cell>
          <cell r="H1120" t="str">
            <v>四川省仁寿县贵平镇中岗村9组</v>
          </cell>
        </row>
        <row r="1121">
          <cell r="C1121" t="str">
            <v>51082120121119633X</v>
          </cell>
          <cell r="D1121" t="str">
            <v>男</v>
          </cell>
          <cell r="E1121" t="str">
            <v>汉族</v>
          </cell>
          <cell r="F1121" t="str">
            <v>20121119</v>
          </cell>
          <cell r="G1121">
            <v>9</v>
          </cell>
          <cell r="H1121" t="str">
            <v>四川省仁寿县贵平镇中岗村9组</v>
          </cell>
        </row>
        <row r="1122">
          <cell r="C1122" t="str">
            <v>511121197404236934</v>
          </cell>
          <cell r="D1122" t="str">
            <v>男</v>
          </cell>
          <cell r="E1122" t="str">
            <v>汉族</v>
          </cell>
          <cell r="F1122" t="str">
            <v>19740423</v>
          </cell>
          <cell r="G1122">
            <v>47</v>
          </cell>
          <cell r="H1122" t="str">
            <v>四川省仁寿县贵平镇中岗村9组</v>
          </cell>
          <cell r="I1122">
            <v>15520756103</v>
          </cell>
        </row>
        <row r="1123">
          <cell r="C1123" t="str">
            <v>512533197901101326</v>
          </cell>
          <cell r="D1123" t="str">
            <v>女</v>
          </cell>
          <cell r="E1123" t="str">
            <v>汉族</v>
          </cell>
          <cell r="F1123" t="str">
            <v>19790110</v>
          </cell>
          <cell r="G1123">
            <v>42</v>
          </cell>
          <cell r="H1123" t="str">
            <v>四川省仁寿县贵平镇中岗村9组</v>
          </cell>
        </row>
        <row r="1124">
          <cell r="C1124" t="str">
            <v>511526200101071317</v>
          </cell>
          <cell r="D1124" t="str">
            <v>男 </v>
          </cell>
          <cell r="E1124" t="str">
            <v>汉族</v>
          </cell>
          <cell r="F1124" t="str">
            <v>20010107</v>
          </cell>
          <cell r="G1124">
            <v>20</v>
          </cell>
          <cell r="H1124" t="str">
            <v>四川省仁寿县贵平镇中岗村9组</v>
          </cell>
        </row>
        <row r="1125">
          <cell r="C1125" t="str">
            <v>511421201210226856</v>
          </cell>
          <cell r="D1125" t="str">
            <v>男 </v>
          </cell>
          <cell r="E1125" t="str">
            <v>汉族</v>
          </cell>
          <cell r="F1125" t="str">
            <v>20121022</v>
          </cell>
          <cell r="G1125">
            <v>9</v>
          </cell>
          <cell r="H1125" t="str">
            <v>四川省仁寿县贵平镇中岗村9组</v>
          </cell>
        </row>
        <row r="1126">
          <cell r="C1126" t="str">
            <v>511121196612106996</v>
          </cell>
          <cell r="D1126" t="str">
            <v>男</v>
          </cell>
          <cell r="E1126" t="str">
            <v>汉族</v>
          </cell>
          <cell r="F1126" t="str">
            <v>19661210</v>
          </cell>
          <cell r="G1126">
            <v>55</v>
          </cell>
          <cell r="H1126" t="str">
            <v>四川省仁寿县贵平镇中岗村9组</v>
          </cell>
          <cell r="I1126">
            <v>13648047984</v>
          </cell>
        </row>
        <row r="1127">
          <cell r="C1127" t="str">
            <v>511121196708056946</v>
          </cell>
          <cell r="D1127" t="str">
            <v>女</v>
          </cell>
          <cell r="E1127" t="str">
            <v>汉族</v>
          </cell>
          <cell r="F1127" t="str">
            <v>19670805</v>
          </cell>
          <cell r="G1127">
            <v>54</v>
          </cell>
          <cell r="H1127" t="str">
            <v>四川省仁寿县贵平镇中岗村9组</v>
          </cell>
          <cell r="I1127">
            <v>13679014415</v>
          </cell>
        </row>
        <row r="1128">
          <cell r="C1128" t="str">
            <v>513822198908146941</v>
          </cell>
          <cell r="D1128" t="str">
            <v>女</v>
          </cell>
          <cell r="E1128" t="str">
            <v>汉族</v>
          </cell>
          <cell r="F1128" t="str">
            <v>19890814</v>
          </cell>
          <cell r="G1128">
            <v>32</v>
          </cell>
          <cell r="H1128" t="str">
            <v>四川省仁寿县贵平镇中岗村9组</v>
          </cell>
          <cell r="I1128">
            <v>13540663559</v>
          </cell>
        </row>
        <row r="1129">
          <cell r="C1129" t="str">
            <v>511121197311026938</v>
          </cell>
          <cell r="D1129" t="str">
            <v>男</v>
          </cell>
          <cell r="E1129" t="str">
            <v>汉族</v>
          </cell>
          <cell r="F1129" t="str">
            <v>19731102</v>
          </cell>
          <cell r="G1129">
            <v>48</v>
          </cell>
          <cell r="H1129" t="str">
            <v>四川省仁寿县贵平镇中岗村9组</v>
          </cell>
          <cell r="I1129">
            <v>13438149481</v>
          </cell>
        </row>
        <row r="1130">
          <cell r="C1130" t="str">
            <v>511121195202086932</v>
          </cell>
          <cell r="D1130" t="str">
            <v>男</v>
          </cell>
          <cell r="E1130" t="str">
            <v>汉族</v>
          </cell>
          <cell r="F1130" t="str">
            <v>19520208</v>
          </cell>
          <cell r="G1130">
            <v>69</v>
          </cell>
          <cell r="H1130" t="str">
            <v>四川省仁寿县贵平镇中岗村9组</v>
          </cell>
          <cell r="I1130">
            <v>18284542945</v>
          </cell>
        </row>
        <row r="1131">
          <cell r="C1131" t="str">
            <v>511121195209126968</v>
          </cell>
          <cell r="D1131" t="str">
            <v>女</v>
          </cell>
          <cell r="E1131" t="str">
            <v>汉族</v>
          </cell>
          <cell r="F1131" t="str">
            <v>19520912</v>
          </cell>
          <cell r="G1131">
            <v>69</v>
          </cell>
          <cell r="H1131" t="str">
            <v>四川省仁寿县贵平镇中岗村9组</v>
          </cell>
          <cell r="I1131">
            <v>13258253257</v>
          </cell>
        </row>
        <row r="1132">
          <cell r="C1132" t="str">
            <v>511121197510156938</v>
          </cell>
          <cell r="D1132" t="str">
            <v>男</v>
          </cell>
          <cell r="E1132" t="str">
            <v>汉族</v>
          </cell>
          <cell r="F1132" t="str">
            <v>19751015</v>
          </cell>
          <cell r="G1132">
            <v>46</v>
          </cell>
          <cell r="H1132" t="str">
            <v>四川省仁寿县贵平镇中岗村9组</v>
          </cell>
          <cell r="I1132">
            <v>13849828068</v>
          </cell>
        </row>
        <row r="1133">
          <cell r="C1133" t="str">
            <v>513822200011286755</v>
          </cell>
          <cell r="D1133" t="str">
            <v>男</v>
          </cell>
          <cell r="E1133" t="str">
            <v>汉族</v>
          </cell>
          <cell r="F1133" t="str">
            <v>20001128</v>
          </cell>
          <cell r="G1133">
            <v>21</v>
          </cell>
          <cell r="H1133" t="str">
            <v>四川省仁寿县贵平镇中岗村9组</v>
          </cell>
        </row>
        <row r="1134">
          <cell r="C1134" t="str">
            <v>511421200604246759</v>
          </cell>
          <cell r="D1134" t="str">
            <v>男</v>
          </cell>
          <cell r="E1134" t="str">
            <v>汉族</v>
          </cell>
          <cell r="F1134" t="str">
            <v>20060424</v>
          </cell>
          <cell r="G1134">
            <v>15</v>
          </cell>
          <cell r="H1134" t="str">
            <v>四川省仁寿县贵平镇中岗村9组</v>
          </cell>
        </row>
        <row r="1135">
          <cell r="C1135" t="str">
            <v>511421200905136887</v>
          </cell>
          <cell r="D1135" t="str">
            <v>女</v>
          </cell>
          <cell r="E1135" t="str">
            <v>汉族</v>
          </cell>
          <cell r="F1135" t="str">
            <v>20090513</v>
          </cell>
          <cell r="G1135">
            <v>12</v>
          </cell>
          <cell r="H1135" t="str">
            <v>四川省仁寿县贵平镇中岗村9组</v>
          </cell>
        </row>
        <row r="1136">
          <cell r="C1136" t="str">
            <v>511121197104246954</v>
          </cell>
          <cell r="D1136" t="str">
            <v>男</v>
          </cell>
          <cell r="E1136" t="str">
            <v>汉族</v>
          </cell>
          <cell r="F1136" t="str">
            <v>19710424</v>
          </cell>
          <cell r="G1136">
            <v>50</v>
          </cell>
          <cell r="H1136" t="str">
            <v>四川省仁寿县贵平镇中岗村9组</v>
          </cell>
          <cell r="I1136">
            <v>15082348088</v>
          </cell>
        </row>
        <row r="1137">
          <cell r="C1137" t="str">
            <v>511121196605286941</v>
          </cell>
          <cell r="D1137" t="str">
            <v>女</v>
          </cell>
          <cell r="E1137" t="str">
            <v>汉族</v>
          </cell>
          <cell r="F1137" t="str">
            <v>19660528</v>
          </cell>
          <cell r="G1137">
            <v>55</v>
          </cell>
          <cell r="H1137" t="str">
            <v>四川省仁寿县贵平镇中岗村9组</v>
          </cell>
          <cell r="I1137">
            <v>15082343899</v>
          </cell>
        </row>
        <row r="1138">
          <cell r="C1138" t="str">
            <v>51382219960724696X</v>
          </cell>
          <cell r="D1138" t="str">
            <v>女</v>
          </cell>
          <cell r="E1138" t="str">
            <v>汉族</v>
          </cell>
          <cell r="F1138" t="str">
            <v>19960724</v>
          </cell>
          <cell r="G1138">
            <v>25</v>
          </cell>
          <cell r="H1138" t="str">
            <v>四川省仁寿县贵平镇中岗村9组</v>
          </cell>
          <cell r="I1138">
            <v>13982147048</v>
          </cell>
        </row>
        <row r="1139">
          <cell r="C1139" t="str">
            <v>513822199405056930</v>
          </cell>
          <cell r="D1139" t="str">
            <v>男</v>
          </cell>
          <cell r="E1139" t="str">
            <v>汉族</v>
          </cell>
          <cell r="F1139" t="str">
            <v>19940505</v>
          </cell>
          <cell r="G1139">
            <v>27</v>
          </cell>
          <cell r="H1139" t="str">
            <v>四川省仁寿县贵平镇中岗村9组</v>
          </cell>
          <cell r="I1139">
            <v>17828225995</v>
          </cell>
        </row>
        <row r="1140">
          <cell r="C1140" t="str">
            <v>511121194005236933</v>
          </cell>
          <cell r="D1140" t="str">
            <v>男</v>
          </cell>
          <cell r="E1140" t="str">
            <v>汉族</v>
          </cell>
          <cell r="F1140" t="str">
            <v>19400523</v>
          </cell>
          <cell r="G1140">
            <v>81</v>
          </cell>
          <cell r="H1140" t="str">
            <v>四川省仁寿县贵平镇中岗村9组</v>
          </cell>
          <cell r="I1140">
            <v>13547664517</v>
          </cell>
        </row>
        <row r="1141">
          <cell r="C1141" t="str">
            <v>513822199605306949</v>
          </cell>
          <cell r="D1141" t="str">
            <v>女</v>
          </cell>
          <cell r="E1141" t="str">
            <v>汉族</v>
          </cell>
          <cell r="F1141" t="str">
            <v>19960530</v>
          </cell>
          <cell r="G1141">
            <v>25</v>
          </cell>
          <cell r="H1141" t="str">
            <v>四川省仁寿县贵平镇中岗村9组</v>
          </cell>
        </row>
        <row r="1142">
          <cell r="C1142" t="str">
            <v>511121195511276932</v>
          </cell>
          <cell r="D1142" t="str">
            <v>男</v>
          </cell>
          <cell r="E1142" t="str">
            <v>汉族</v>
          </cell>
          <cell r="F1142" t="str">
            <v>19551127</v>
          </cell>
          <cell r="G1142">
            <v>66</v>
          </cell>
          <cell r="H1142" t="str">
            <v>四川省仁寿县贵平镇中岗村9组</v>
          </cell>
          <cell r="I1142">
            <v>18080394524</v>
          </cell>
        </row>
        <row r="1143">
          <cell r="C1143" t="str">
            <v>511121193110026933</v>
          </cell>
          <cell r="D1143" t="str">
            <v>男</v>
          </cell>
          <cell r="E1143" t="str">
            <v>汉族</v>
          </cell>
          <cell r="F1143" t="str">
            <v>19311002</v>
          </cell>
          <cell r="G1143">
            <v>90</v>
          </cell>
          <cell r="H1143" t="str">
            <v>四川省仁寿县贵平镇中岗村9组</v>
          </cell>
        </row>
        <row r="1144">
          <cell r="C1144" t="str">
            <v>511121193111106943</v>
          </cell>
          <cell r="D1144" t="str">
            <v>女</v>
          </cell>
          <cell r="E1144" t="str">
            <v>汉族</v>
          </cell>
          <cell r="F1144" t="str">
            <v>19311110</v>
          </cell>
          <cell r="G1144">
            <v>90</v>
          </cell>
          <cell r="H1144" t="str">
            <v>四川省仁寿县贵平镇中岗村9组</v>
          </cell>
        </row>
        <row r="1145">
          <cell r="C1145" t="str">
            <v>511121194401116941</v>
          </cell>
          <cell r="D1145" t="str">
            <v>女</v>
          </cell>
          <cell r="E1145" t="str">
            <v>汉族</v>
          </cell>
          <cell r="F1145" t="str">
            <v>19440111</v>
          </cell>
          <cell r="G1145">
            <v>77</v>
          </cell>
          <cell r="H1145" t="str">
            <v>四川省仁寿县贵平镇中岗村9组</v>
          </cell>
          <cell r="I1145">
            <v>13096255278</v>
          </cell>
        </row>
        <row r="1146">
          <cell r="C1146" t="str">
            <v>511121193206246930</v>
          </cell>
          <cell r="D1146" t="str">
            <v>男</v>
          </cell>
          <cell r="E1146" t="str">
            <v>汉族</v>
          </cell>
          <cell r="F1146" t="str">
            <v>19320624</v>
          </cell>
          <cell r="G1146">
            <v>89</v>
          </cell>
          <cell r="H1146" t="str">
            <v>四川省仁寿县贵平镇中岗村9组</v>
          </cell>
        </row>
        <row r="1147">
          <cell r="C1147" t="str">
            <v>511121193412306949</v>
          </cell>
          <cell r="D1147" t="str">
            <v>女</v>
          </cell>
          <cell r="E1147" t="str">
            <v>汉族</v>
          </cell>
          <cell r="F1147" t="str">
            <v>19341230</v>
          </cell>
          <cell r="G1147">
            <v>87</v>
          </cell>
          <cell r="H1147" t="str">
            <v>四川省仁寿县贵平镇中岗村9组</v>
          </cell>
        </row>
        <row r="1148">
          <cell r="C1148" t="str">
            <v>511121195308256944</v>
          </cell>
          <cell r="D1148" t="str">
            <v>女</v>
          </cell>
          <cell r="E1148" t="str">
            <v>汉族</v>
          </cell>
          <cell r="F1148" t="str">
            <v>19530825</v>
          </cell>
          <cell r="G1148">
            <v>68</v>
          </cell>
          <cell r="H1148" t="str">
            <v>四川省仁寿县贵平镇中岗村9组</v>
          </cell>
          <cell r="I1148">
            <v>13795529995</v>
          </cell>
        </row>
        <row r="1149">
          <cell r="C1149" t="str">
            <v>511121198006046937</v>
          </cell>
          <cell r="D1149" t="str">
            <v>男</v>
          </cell>
          <cell r="E1149" t="str">
            <v>汉族</v>
          </cell>
          <cell r="F1149" t="str">
            <v>19800604</v>
          </cell>
          <cell r="G1149">
            <v>41</v>
          </cell>
          <cell r="H1149" t="str">
            <v>四川省仁寿县贵平镇中岗村9组</v>
          </cell>
          <cell r="I1149">
            <v>1355033336</v>
          </cell>
        </row>
        <row r="1150">
          <cell r="C1150" t="str">
            <v>51142120090116694X</v>
          </cell>
          <cell r="D1150" t="str">
            <v>女</v>
          </cell>
          <cell r="E1150" t="str">
            <v>汉族</v>
          </cell>
          <cell r="F1150" t="str">
            <v>20090116</v>
          </cell>
          <cell r="G1150">
            <v>12</v>
          </cell>
          <cell r="H1150" t="str">
            <v>四川省仁寿县贵平镇中岗村9组</v>
          </cell>
        </row>
        <row r="1151">
          <cell r="C1151" t="str">
            <v>511121195408176933</v>
          </cell>
          <cell r="D1151" t="str">
            <v>男</v>
          </cell>
          <cell r="E1151" t="str">
            <v>汉族</v>
          </cell>
          <cell r="F1151" t="str">
            <v>19540817</v>
          </cell>
          <cell r="G1151">
            <v>67</v>
          </cell>
          <cell r="H1151" t="str">
            <v>四川省仁寿县贵平镇中岗村9组</v>
          </cell>
          <cell r="I1151">
            <v>17761266381</v>
          </cell>
        </row>
        <row r="1152">
          <cell r="C1152" t="str">
            <v>511121197804286965</v>
          </cell>
          <cell r="D1152" t="str">
            <v>女</v>
          </cell>
          <cell r="E1152" t="str">
            <v>汉族</v>
          </cell>
          <cell r="F1152" t="str">
            <v>19780428</v>
          </cell>
          <cell r="G1152">
            <v>43</v>
          </cell>
          <cell r="H1152" t="str">
            <v>四川省仁寿县贵平镇中岗村9组</v>
          </cell>
          <cell r="I1152">
            <v>13558608824</v>
          </cell>
        </row>
        <row r="1153">
          <cell r="C1153" t="str">
            <v>511121193906256937</v>
          </cell>
          <cell r="D1153" t="str">
            <v>男</v>
          </cell>
          <cell r="E1153" t="str">
            <v>汉族</v>
          </cell>
          <cell r="F1153" t="str">
            <v>19390625</v>
          </cell>
          <cell r="G1153">
            <v>82</v>
          </cell>
          <cell r="H1153" t="str">
            <v>四川省仁寿县贵平镇中岗村9组</v>
          </cell>
        </row>
        <row r="1154">
          <cell r="C1154" t="str">
            <v>511121197012046939</v>
          </cell>
          <cell r="D1154" t="str">
            <v>男</v>
          </cell>
          <cell r="E1154" t="str">
            <v>汉族</v>
          </cell>
          <cell r="F1154" t="str">
            <v>19701204</v>
          </cell>
          <cell r="G1154">
            <v>51</v>
          </cell>
          <cell r="H1154" t="str">
            <v>四川省仁寿县贵平镇中岗村9组</v>
          </cell>
          <cell r="I1154">
            <v>18728044782</v>
          </cell>
        </row>
        <row r="1155">
          <cell r="C1155" t="str">
            <v>511121197608127924</v>
          </cell>
          <cell r="D1155" t="str">
            <v>女</v>
          </cell>
          <cell r="E1155" t="str">
            <v>汉族</v>
          </cell>
          <cell r="F1155" t="str">
            <v>19760812</v>
          </cell>
          <cell r="G1155">
            <v>45</v>
          </cell>
          <cell r="H1155" t="str">
            <v>四川省仁寿县贵平镇中岗村9组</v>
          </cell>
          <cell r="I1155">
            <v>13038250425</v>
          </cell>
        </row>
        <row r="1156">
          <cell r="C1156" t="str">
            <v>513822199709186937</v>
          </cell>
          <cell r="D1156" t="str">
            <v>男</v>
          </cell>
          <cell r="E1156" t="str">
            <v>汉族</v>
          </cell>
          <cell r="F1156" t="str">
            <v>19970918</v>
          </cell>
          <cell r="G1156">
            <v>24</v>
          </cell>
          <cell r="H1156" t="str">
            <v>四川省仁寿县贵平镇中岗村9组</v>
          </cell>
          <cell r="I1156">
            <v>18380614605</v>
          </cell>
        </row>
        <row r="1157">
          <cell r="C1157" t="str">
            <v>511421200701226733</v>
          </cell>
          <cell r="D1157" t="str">
            <v>男</v>
          </cell>
          <cell r="E1157" t="str">
            <v>汉族</v>
          </cell>
          <cell r="F1157" t="str">
            <v>20070122</v>
          </cell>
          <cell r="G1157">
            <v>14</v>
          </cell>
          <cell r="H1157" t="str">
            <v>四川省仁寿县贵平镇中岗村9组</v>
          </cell>
        </row>
        <row r="1158">
          <cell r="C1158" t="str">
            <v>51112119680318695X</v>
          </cell>
          <cell r="D1158" t="str">
            <v>男</v>
          </cell>
          <cell r="E1158" t="str">
            <v>汉族</v>
          </cell>
          <cell r="F1158" t="str">
            <v>19680318</v>
          </cell>
          <cell r="G1158">
            <v>53</v>
          </cell>
          <cell r="H1158" t="str">
            <v>四川省仁寿县贵平镇中岗村9组</v>
          </cell>
          <cell r="I1158">
            <v>13795511443</v>
          </cell>
        </row>
        <row r="1159">
          <cell r="C1159" t="str">
            <v>511121196808117021</v>
          </cell>
          <cell r="D1159" t="str">
            <v>女</v>
          </cell>
          <cell r="E1159" t="str">
            <v>汉族</v>
          </cell>
          <cell r="F1159" t="str">
            <v>19680811</v>
          </cell>
          <cell r="G1159">
            <v>53</v>
          </cell>
          <cell r="H1159" t="str">
            <v>四川省仁寿县贵平镇中岗村9组</v>
          </cell>
          <cell r="I1159">
            <v>18381452053</v>
          </cell>
        </row>
        <row r="1160">
          <cell r="C1160" t="str">
            <v>513822199412206968</v>
          </cell>
          <cell r="D1160" t="str">
            <v>女</v>
          </cell>
          <cell r="E1160" t="str">
            <v>汉族</v>
          </cell>
          <cell r="F1160" t="str">
            <v>19941220</v>
          </cell>
          <cell r="G1160">
            <v>27</v>
          </cell>
          <cell r="H1160" t="str">
            <v>四川省仁寿县贵平镇中岗村9组</v>
          </cell>
          <cell r="I1160">
            <v>18848255628</v>
          </cell>
        </row>
        <row r="1161">
          <cell r="C1161" t="str">
            <v>51382219910101693X</v>
          </cell>
          <cell r="D1161" t="str">
            <v>男</v>
          </cell>
          <cell r="E1161" t="str">
            <v>汉族</v>
          </cell>
          <cell r="F1161" t="str">
            <v>19910101</v>
          </cell>
          <cell r="G1161">
            <v>30</v>
          </cell>
          <cell r="H1161" t="str">
            <v>四川省仁寿县贵平镇中岗村9组</v>
          </cell>
          <cell r="I1161">
            <v>18282469178</v>
          </cell>
        </row>
        <row r="1162">
          <cell r="C1162" t="str">
            <v>511121195208306940</v>
          </cell>
          <cell r="D1162" t="str">
            <v>女</v>
          </cell>
          <cell r="E1162" t="str">
            <v>汉族</v>
          </cell>
          <cell r="F1162" t="str">
            <v>19520830</v>
          </cell>
          <cell r="G1162">
            <v>69</v>
          </cell>
          <cell r="H1162" t="str">
            <v>四川省仁寿县贵平镇中岗村9组</v>
          </cell>
          <cell r="I1162">
            <v>13880596619</v>
          </cell>
        </row>
        <row r="1163">
          <cell r="C1163" t="str">
            <v>511121195004046956</v>
          </cell>
          <cell r="D1163" t="str">
            <v>男</v>
          </cell>
          <cell r="E1163" t="str">
            <v>汉族</v>
          </cell>
          <cell r="F1163" t="str">
            <v>19500404</v>
          </cell>
          <cell r="G1163">
            <v>71</v>
          </cell>
          <cell r="H1163" t="str">
            <v>四川省仁寿县贵平镇中岗村9组</v>
          </cell>
          <cell r="I1163">
            <v>13006417096</v>
          </cell>
        </row>
        <row r="1164">
          <cell r="C1164" t="str">
            <v>511121194807226948</v>
          </cell>
          <cell r="D1164" t="str">
            <v>女</v>
          </cell>
          <cell r="E1164" t="str">
            <v>汉族</v>
          </cell>
          <cell r="F1164" t="str">
            <v>19480722</v>
          </cell>
          <cell r="G1164">
            <v>73</v>
          </cell>
          <cell r="H1164" t="str">
            <v>四川省仁寿县贵平镇中岗村9组</v>
          </cell>
          <cell r="I1164">
            <v>13547699306</v>
          </cell>
        </row>
        <row r="1165">
          <cell r="C1165" t="str">
            <v>511121197202016941</v>
          </cell>
          <cell r="D1165" t="str">
            <v>女</v>
          </cell>
          <cell r="E1165" t="str">
            <v>汉族</v>
          </cell>
          <cell r="F1165" t="str">
            <v>19720201</v>
          </cell>
          <cell r="G1165">
            <v>49</v>
          </cell>
          <cell r="H1165" t="str">
            <v>四川省仁寿县贵平镇中岗村9组</v>
          </cell>
        </row>
        <row r="1166">
          <cell r="C1166" t="str">
            <v>511121196812256956</v>
          </cell>
          <cell r="D1166" t="str">
            <v>男</v>
          </cell>
          <cell r="E1166" t="str">
            <v>汉族</v>
          </cell>
          <cell r="F1166" t="str">
            <v>19681225</v>
          </cell>
          <cell r="G1166">
            <v>53</v>
          </cell>
          <cell r="H1166" t="str">
            <v>四川省仁寿县贵平镇中岗村9组</v>
          </cell>
          <cell r="I1166" t="str">
            <v>15282380122</v>
          </cell>
        </row>
        <row r="1167">
          <cell r="C1167" t="str">
            <v>511121196807279061</v>
          </cell>
          <cell r="D1167" t="str">
            <v>女</v>
          </cell>
          <cell r="E1167" t="str">
            <v>汉族</v>
          </cell>
          <cell r="F1167" t="str">
            <v>19680727</v>
          </cell>
          <cell r="G1167">
            <v>53</v>
          </cell>
          <cell r="H1167" t="str">
            <v>四川省仁寿县贵平镇中岗村9组</v>
          </cell>
          <cell r="I1167">
            <v>18783397582</v>
          </cell>
        </row>
        <row r="1168">
          <cell r="C1168" t="str">
            <v>513822199105046941</v>
          </cell>
          <cell r="D1168" t="str">
            <v>女</v>
          </cell>
          <cell r="E1168" t="str">
            <v>汉族</v>
          </cell>
          <cell r="F1168" t="str">
            <v>19910504</v>
          </cell>
          <cell r="G1168">
            <v>30</v>
          </cell>
          <cell r="H1168" t="str">
            <v>四川省仁寿县贵平镇中岗村9组</v>
          </cell>
          <cell r="I1168">
            <v>18384752165</v>
          </cell>
        </row>
        <row r="1169">
          <cell r="C1169" t="str">
            <v>511421199610066740</v>
          </cell>
          <cell r="D1169" t="str">
            <v>女</v>
          </cell>
          <cell r="E1169" t="str">
            <v>汉族</v>
          </cell>
          <cell r="F1169" t="str">
            <v>19961006</v>
          </cell>
          <cell r="G1169">
            <v>25</v>
          </cell>
          <cell r="H1169" t="str">
            <v>四川省仁寿县贵平镇中岗村9组</v>
          </cell>
          <cell r="I1169">
            <v>18349393678</v>
          </cell>
        </row>
        <row r="1170">
          <cell r="C1170" t="str">
            <v>511121196209056933</v>
          </cell>
          <cell r="D1170" t="str">
            <v>男</v>
          </cell>
          <cell r="E1170" t="str">
            <v>汉族</v>
          </cell>
          <cell r="F1170" t="str">
            <v>19620905</v>
          </cell>
          <cell r="G1170">
            <v>59</v>
          </cell>
          <cell r="H1170" t="str">
            <v>四川省仁寿县贵平镇中岗村9组</v>
          </cell>
          <cell r="I1170">
            <v>15196470131</v>
          </cell>
        </row>
        <row r="1171">
          <cell r="C1171" t="str">
            <v>513822198709156979</v>
          </cell>
          <cell r="D1171" t="str">
            <v>男</v>
          </cell>
          <cell r="E1171" t="str">
            <v>汉族</v>
          </cell>
          <cell r="F1171" t="str">
            <v>19870915</v>
          </cell>
          <cell r="G1171">
            <v>34</v>
          </cell>
          <cell r="H1171" t="str">
            <v>四川省仁寿县贵平镇中岗村9组</v>
          </cell>
          <cell r="I1171">
            <v>15114015750</v>
          </cell>
        </row>
        <row r="1172">
          <cell r="C1172" t="str">
            <v>511421201001040019</v>
          </cell>
          <cell r="D1172" t="str">
            <v>男</v>
          </cell>
          <cell r="E1172" t="str">
            <v>汉族</v>
          </cell>
          <cell r="F1172" t="str">
            <v>20100104</v>
          </cell>
          <cell r="G1172">
            <v>11</v>
          </cell>
          <cell r="H1172" t="str">
            <v>四川省仁寿县贵平镇中岗村9组</v>
          </cell>
        </row>
        <row r="1173">
          <cell r="C1173" t="str">
            <v>511121197001196931</v>
          </cell>
          <cell r="D1173" t="str">
            <v>男</v>
          </cell>
          <cell r="E1173" t="str">
            <v>汉族</v>
          </cell>
          <cell r="F1173" t="str">
            <v>19700119</v>
          </cell>
          <cell r="G1173">
            <v>51</v>
          </cell>
          <cell r="H1173" t="str">
            <v>四川省仁寿县贵平镇中岗村9组</v>
          </cell>
          <cell r="I1173">
            <v>18380132212</v>
          </cell>
        </row>
        <row r="1174">
          <cell r="C1174" t="str">
            <v>511121197004096944</v>
          </cell>
          <cell r="D1174" t="str">
            <v>女</v>
          </cell>
          <cell r="E1174" t="str">
            <v>汉族</v>
          </cell>
          <cell r="F1174" t="str">
            <v>19700409</v>
          </cell>
          <cell r="G1174">
            <v>51</v>
          </cell>
          <cell r="H1174" t="str">
            <v>四川省仁寿县贵平镇中岗村9组</v>
          </cell>
        </row>
        <row r="1175">
          <cell r="C1175" t="str">
            <v>513822199201176949</v>
          </cell>
          <cell r="D1175" t="str">
            <v>女</v>
          </cell>
          <cell r="E1175" t="str">
            <v>汉族</v>
          </cell>
          <cell r="F1175" t="str">
            <v>19920117</v>
          </cell>
          <cell r="G1175">
            <v>29</v>
          </cell>
          <cell r="H1175" t="str">
            <v>四川省仁寿县贵平镇中岗村9组</v>
          </cell>
        </row>
        <row r="1176">
          <cell r="C1176" t="str">
            <v>511121197011096934</v>
          </cell>
          <cell r="D1176" t="str">
            <v>男</v>
          </cell>
          <cell r="E1176" t="str">
            <v>汉族</v>
          </cell>
          <cell r="F1176" t="str">
            <v>19701109</v>
          </cell>
          <cell r="G1176">
            <v>51</v>
          </cell>
          <cell r="H1176" t="str">
            <v>四川省仁寿县贵平镇中岗村9组</v>
          </cell>
          <cell r="I1176">
            <v>15288167623</v>
          </cell>
        </row>
        <row r="1177">
          <cell r="C1177" t="str">
            <v>511121197108116946</v>
          </cell>
          <cell r="D1177" t="str">
            <v>女</v>
          </cell>
          <cell r="E1177" t="str">
            <v>汉族</v>
          </cell>
          <cell r="F1177" t="str">
            <v>19710811</v>
          </cell>
          <cell r="G1177">
            <v>50</v>
          </cell>
          <cell r="H1177" t="str">
            <v>四川省仁寿县贵平镇中岗村9组</v>
          </cell>
          <cell r="I1177">
            <v>15282353865</v>
          </cell>
        </row>
        <row r="1178">
          <cell r="C1178" t="str">
            <v>513822199411096947</v>
          </cell>
          <cell r="D1178" t="str">
            <v>女</v>
          </cell>
          <cell r="E1178" t="str">
            <v>汉族</v>
          </cell>
          <cell r="F1178" t="str">
            <v>19941109</v>
          </cell>
          <cell r="G1178">
            <v>27</v>
          </cell>
          <cell r="H1178" t="str">
            <v>四川省仁寿县贵平镇中岗村9组</v>
          </cell>
          <cell r="I1178">
            <v>18208173161</v>
          </cell>
        </row>
        <row r="1179">
          <cell r="C1179" t="str">
            <v>513822199205086940</v>
          </cell>
          <cell r="D1179" t="str">
            <v>女</v>
          </cell>
          <cell r="E1179" t="str">
            <v>汉族</v>
          </cell>
          <cell r="F1179" t="str">
            <v>19920508</v>
          </cell>
          <cell r="G1179">
            <v>29</v>
          </cell>
          <cell r="H1179" t="str">
            <v>四川省仁寿县贵平镇中岗村9组</v>
          </cell>
          <cell r="I1179">
            <v>13908080949</v>
          </cell>
        </row>
        <row r="1180">
          <cell r="C1180" t="str">
            <v>511121197711196936</v>
          </cell>
          <cell r="D1180" t="str">
            <v>男</v>
          </cell>
          <cell r="E1180" t="str">
            <v>汉族</v>
          </cell>
          <cell r="F1180" t="str">
            <v>19771119</v>
          </cell>
          <cell r="G1180">
            <v>44</v>
          </cell>
          <cell r="H1180" t="str">
            <v>四川省仁寿县贵平镇中岗村9组</v>
          </cell>
          <cell r="I1180">
            <v>13628059536</v>
          </cell>
        </row>
        <row r="1181">
          <cell r="C1181" t="str">
            <v>511121198003129008</v>
          </cell>
          <cell r="D1181" t="str">
            <v>女</v>
          </cell>
          <cell r="E1181" t="str">
            <v>汉族</v>
          </cell>
          <cell r="F1181" t="str">
            <v>19800312</v>
          </cell>
          <cell r="G1181">
            <v>41</v>
          </cell>
          <cell r="H1181" t="str">
            <v>四川省仁寿县贵平镇中岗村9组</v>
          </cell>
          <cell r="I1181">
            <v>15928190624</v>
          </cell>
        </row>
        <row r="1182">
          <cell r="C1182" t="str">
            <v>51382220010926671X</v>
          </cell>
          <cell r="D1182" t="str">
            <v>男</v>
          </cell>
          <cell r="E1182" t="str">
            <v>汉族</v>
          </cell>
          <cell r="F1182" t="str">
            <v>20010926</v>
          </cell>
          <cell r="G1182">
            <v>20</v>
          </cell>
          <cell r="H1182" t="str">
            <v>四川省仁寿县贵平镇中岗村9组</v>
          </cell>
          <cell r="I1182">
            <v>15196475543</v>
          </cell>
        </row>
        <row r="1183">
          <cell r="C1183" t="str">
            <v>511421201401096863</v>
          </cell>
          <cell r="D1183" t="str">
            <v>女</v>
          </cell>
          <cell r="E1183" t="str">
            <v>汉族</v>
          </cell>
          <cell r="F1183" t="str">
            <v>20140109</v>
          </cell>
          <cell r="G1183">
            <v>7</v>
          </cell>
          <cell r="H1183" t="str">
            <v>四川省仁寿县贵平镇中岗村9组</v>
          </cell>
        </row>
        <row r="1184">
          <cell r="C1184" t="str">
            <v>511121195212156949</v>
          </cell>
          <cell r="D1184" t="str">
            <v>女</v>
          </cell>
          <cell r="E1184" t="str">
            <v>汉族</v>
          </cell>
          <cell r="F1184" t="str">
            <v>19521215</v>
          </cell>
          <cell r="G1184">
            <v>69</v>
          </cell>
          <cell r="H1184" t="str">
            <v>四川省仁寿县贵平镇中岗村9组</v>
          </cell>
          <cell r="I1184">
            <v>15892741319</v>
          </cell>
        </row>
        <row r="1185">
          <cell r="C1185" t="str">
            <v>511121194801236934</v>
          </cell>
          <cell r="D1185" t="str">
            <v>男</v>
          </cell>
          <cell r="E1185" t="str">
            <v>汉族</v>
          </cell>
          <cell r="F1185" t="str">
            <v>19480123</v>
          </cell>
          <cell r="G1185">
            <v>73</v>
          </cell>
          <cell r="H1185" t="str">
            <v>四川省仁寿县贵平镇中岗村9组</v>
          </cell>
        </row>
        <row r="1186">
          <cell r="C1186" t="str">
            <v>51112119470410696X</v>
          </cell>
          <cell r="D1186" t="str">
            <v>女</v>
          </cell>
          <cell r="E1186" t="str">
            <v>汉族</v>
          </cell>
          <cell r="F1186" t="str">
            <v>19470410</v>
          </cell>
          <cell r="G1186">
            <v>74</v>
          </cell>
          <cell r="H1186" t="str">
            <v>四川省仁寿县贵平镇中岗村9组</v>
          </cell>
        </row>
        <row r="1187">
          <cell r="C1187" t="str">
            <v>511121197501056935</v>
          </cell>
          <cell r="D1187" t="str">
            <v>男</v>
          </cell>
          <cell r="E1187" t="str">
            <v>汉族</v>
          </cell>
          <cell r="F1187" t="str">
            <v>19750105</v>
          </cell>
          <cell r="G1187">
            <v>46</v>
          </cell>
          <cell r="H1187" t="str">
            <v>四川省仁寿县贵平镇中岗村9组</v>
          </cell>
        </row>
        <row r="1188">
          <cell r="C1188" t="str">
            <v>511121197609286994</v>
          </cell>
          <cell r="D1188" t="str">
            <v>男</v>
          </cell>
          <cell r="E1188" t="str">
            <v>汉族</v>
          </cell>
          <cell r="F1188" t="str">
            <v>19760928</v>
          </cell>
          <cell r="G1188">
            <v>45</v>
          </cell>
          <cell r="H1188" t="str">
            <v>四川省仁寿县贵平镇中岗村9组</v>
          </cell>
          <cell r="I1188">
            <v>13320894118</v>
          </cell>
        </row>
        <row r="1189">
          <cell r="C1189" t="str">
            <v>51092119850621440X</v>
          </cell>
          <cell r="D1189" t="str">
            <v>女</v>
          </cell>
          <cell r="E1189" t="str">
            <v>汉族</v>
          </cell>
          <cell r="F1189" t="str">
            <v>19850621</v>
          </cell>
          <cell r="G1189">
            <v>36</v>
          </cell>
          <cell r="H1189" t="str">
            <v>四川省仁寿县贵平镇中岗村9组</v>
          </cell>
          <cell r="I1189">
            <v>15928217691</v>
          </cell>
        </row>
        <row r="1190">
          <cell r="C1190" t="str">
            <v>511421200503036701</v>
          </cell>
          <cell r="D1190" t="str">
            <v>女</v>
          </cell>
          <cell r="E1190" t="str">
            <v>汉族</v>
          </cell>
          <cell r="F1190" t="str">
            <v>20050303</v>
          </cell>
          <cell r="G1190">
            <v>16</v>
          </cell>
          <cell r="H1190" t="str">
            <v>四川省仁寿县贵平镇中岗村9组</v>
          </cell>
        </row>
        <row r="1191">
          <cell r="C1191" t="str">
            <v>511421200710256790</v>
          </cell>
          <cell r="D1191" t="str">
            <v>男</v>
          </cell>
          <cell r="E1191" t="str">
            <v>汉族</v>
          </cell>
          <cell r="F1191" t="str">
            <v>20071025</v>
          </cell>
          <cell r="G1191">
            <v>14</v>
          </cell>
          <cell r="H1191" t="str">
            <v>四川省仁寿县贵平镇中岗村9组</v>
          </cell>
        </row>
        <row r="1192">
          <cell r="C1192" t="str">
            <v>513822198706016938</v>
          </cell>
          <cell r="D1192" t="str">
            <v>男</v>
          </cell>
          <cell r="E1192" t="str">
            <v>汉族</v>
          </cell>
          <cell r="F1192" t="str">
            <v>19870601</v>
          </cell>
          <cell r="G1192">
            <v>34</v>
          </cell>
          <cell r="H1192" t="str">
            <v>四川省仁寿县贵平镇中岗村9组</v>
          </cell>
        </row>
        <row r="1193">
          <cell r="C1193" t="str">
            <v>511421201205036935</v>
          </cell>
          <cell r="D1193" t="str">
            <v>男</v>
          </cell>
          <cell r="E1193" t="str">
            <v>汉族</v>
          </cell>
          <cell r="F1193" t="str">
            <v>20120503</v>
          </cell>
          <cell r="G1193">
            <v>9</v>
          </cell>
          <cell r="H1193" t="str">
            <v>四川省仁寿县贵平镇中岗村9组</v>
          </cell>
        </row>
        <row r="1194">
          <cell r="C1194" t="str">
            <v>511121194103266933</v>
          </cell>
          <cell r="D1194" t="str">
            <v>男</v>
          </cell>
          <cell r="E1194" t="str">
            <v>汉族</v>
          </cell>
          <cell r="F1194" t="str">
            <v>19410326</v>
          </cell>
          <cell r="G1194">
            <v>80</v>
          </cell>
          <cell r="H1194" t="str">
            <v>四川省仁寿县贵平镇中岗村9组</v>
          </cell>
          <cell r="I1194">
            <v>17608106281</v>
          </cell>
        </row>
        <row r="1195">
          <cell r="C1195" t="str">
            <v>511121194601226942</v>
          </cell>
          <cell r="D1195" t="str">
            <v>女</v>
          </cell>
          <cell r="E1195" t="str">
            <v>汉族</v>
          </cell>
          <cell r="F1195" t="str">
            <v>19460122</v>
          </cell>
          <cell r="G1195">
            <v>75</v>
          </cell>
          <cell r="H1195" t="str">
            <v>四川省仁寿县贵平镇中岗村9组</v>
          </cell>
        </row>
        <row r="1196">
          <cell r="C1196" t="str">
            <v>511121197603236937</v>
          </cell>
          <cell r="D1196" t="str">
            <v>男</v>
          </cell>
          <cell r="E1196" t="str">
            <v>汉族</v>
          </cell>
          <cell r="F1196" t="str">
            <v>19760323</v>
          </cell>
          <cell r="G1196">
            <v>45</v>
          </cell>
          <cell r="H1196" t="str">
            <v>四川省仁寿县贵平镇中岗村9组</v>
          </cell>
          <cell r="I1196">
            <v>15928946711</v>
          </cell>
        </row>
        <row r="1197">
          <cell r="C1197" t="str">
            <v>511121197610186958</v>
          </cell>
          <cell r="D1197" t="str">
            <v>男</v>
          </cell>
          <cell r="E1197" t="str">
            <v>汉族</v>
          </cell>
          <cell r="F1197" t="str">
            <v>19761018</v>
          </cell>
          <cell r="G1197">
            <v>45</v>
          </cell>
          <cell r="H1197" t="str">
            <v>四川省仁寿县贵平镇中岗村9组</v>
          </cell>
          <cell r="I1197">
            <v>15928946711</v>
          </cell>
        </row>
        <row r="1198">
          <cell r="C1198" t="str">
            <v>511121198201308744</v>
          </cell>
          <cell r="D1198" t="str">
            <v>女</v>
          </cell>
          <cell r="E1198" t="str">
            <v>汉族</v>
          </cell>
          <cell r="F1198" t="str">
            <v>19820130</v>
          </cell>
          <cell r="G1198">
            <v>39</v>
          </cell>
          <cell r="H1198" t="str">
            <v>四川省仁寿县贵平镇中岗村9组</v>
          </cell>
          <cell r="I1198">
            <v>1878334246</v>
          </cell>
        </row>
        <row r="1199">
          <cell r="C1199" t="str">
            <v>513822200104126697</v>
          </cell>
          <cell r="D1199" t="str">
            <v>男</v>
          </cell>
          <cell r="E1199" t="str">
            <v>汉族</v>
          </cell>
          <cell r="F1199" t="str">
            <v>20010412</v>
          </cell>
          <cell r="G1199">
            <v>20</v>
          </cell>
          <cell r="H1199" t="str">
            <v>四川省仁寿县贵平镇中岗村9组</v>
          </cell>
        </row>
        <row r="1200">
          <cell r="C1200" t="str">
            <v>513822200007296694</v>
          </cell>
          <cell r="D1200" t="str">
            <v>男</v>
          </cell>
          <cell r="E1200" t="str">
            <v>汉族</v>
          </cell>
          <cell r="F1200" t="str">
            <v>20000729</v>
          </cell>
          <cell r="G1200">
            <v>21</v>
          </cell>
          <cell r="H1200" t="str">
            <v>四川省仁寿县贵平镇中岗村9组</v>
          </cell>
        </row>
        <row r="1201">
          <cell r="C1201" t="str">
            <v>511121196706136934</v>
          </cell>
          <cell r="D1201" t="str">
            <v>男</v>
          </cell>
          <cell r="E1201" t="str">
            <v>汉族</v>
          </cell>
          <cell r="F1201" t="str">
            <v>19670613</v>
          </cell>
          <cell r="G1201">
            <v>54</v>
          </cell>
          <cell r="H1201" t="str">
            <v>四川省仁寿县贵平镇中岗村9组</v>
          </cell>
          <cell r="I1201">
            <v>13547831139</v>
          </cell>
        </row>
        <row r="1202">
          <cell r="C1202" t="str">
            <v>511121196907046943</v>
          </cell>
          <cell r="D1202" t="str">
            <v>女</v>
          </cell>
          <cell r="E1202" t="str">
            <v>汉族</v>
          </cell>
          <cell r="F1202" t="str">
            <v>19690704</v>
          </cell>
          <cell r="G1202">
            <v>52</v>
          </cell>
          <cell r="H1202" t="str">
            <v>四川省仁寿县贵平镇中岗村9组</v>
          </cell>
          <cell r="I1202">
            <v>13540301198</v>
          </cell>
        </row>
        <row r="1203">
          <cell r="C1203" t="str">
            <v>513822198901046956</v>
          </cell>
          <cell r="D1203" t="str">
            <v>男</v>
          </cell>
          <cell r="E1203" t="str">
            <v>汉族</v>
          </cell>
          <cell r="F1203" t="str">
            <v>19890104</v>
          </cell>
          <cell r="G1203">
            <v>32</v>
          </cell>
          <cell r="H1203" t="str">
            <v>四川省仁寿县贵平镇中岗村9组</v>
          </cell>
          <cell r="I1203">
            <v>15828627887</v>
          </cell>
        </row>
        <row r="1204">
          <cell r="C1204" t="str">
            <v>513901198903296442</v>
          </cell>
          <cell r="D1204" t="str">
            <v>女</v>
          </cell>
          <cell r="E1204" t="str">
            <v>汉族</v>
          </cell>
          <cell r="F1204" t="str">
            <v>19890329</v>
          </cell>
          <cell r="G1204">
            <v>32</v>
          </cell>
          <cell r="H1204" t="str">
            <v>四川省仁寿县贵平镇中岗村9组</v>
          </cell>
        </row>
        <row r="1205">
          <cell r="C1205" t="str">
            <v>512002200809196417</v>
          </cell>
          <cell r="D1205" t="str">
            <v>男</v>
          </cell>
          <cell r="E1205" t="str">
            <v>汉族</v>
          </cell>
          <cell r="F1205" t="str">
            <v>20080919</v>
          </cell>
          <cell r="G1205">
            <v>13</v>
          </cell>
          <cell r="H1205" t="str">
            <v>四川省仁寿县贵平镇中岗村9组</v>
          </cell>
        </row>
        <row r="1206">
          <cell r="C1206" t="str">
            <v>511121197806246932</v>
          </cell>
          <cell r="D1206" t="str">
            <v>男</v>
          </cell>
          <cell r="E1206" t="str">
            <v>汉族</v>
          </cell>
          <cell r="F1206" t="str">
            <v>19780624</v>
          </cell>
          <cell r="G1206">
            <v>43</v>
          </cell>
          <cell r="H1206" t="str">
            <v>四川省仁寿县贵平镇中岗村9组</v>
          </cell>
        </row>
        <row r="1207">
          <cell r="C1207" t="str">
            <v>511121197905286948</v>
          </cell>
          <cell r="D1207" t="str">
            <v>女</v>
          </cell>
          <cell r="E1207" t="str">
            <v>汉族</v>
          </cell>
          <cell r="F1207" t="str">
            <v>19790528</v>
          </cell>
          <cell r="G1207">
            <v>42</v>
          </cell>
          <cell r="H1207" t="str">
            <v>四川省仁寿县贵平镇中岗村9组</v>
          </cell>
          <cell r="I1207">
            <v>18011402396</v>
          </cell>
        </row>
        <row r="1208">
          <cell r="C1208" t="str">
            <v>513822200006256754</v>
          </cell>
          <cell r="D1208" t="str">
            <v>男</v>
          </cell>
          <cell r="E1208" t="str">
            <v>汉族</v>
          </cell>
          <cell r="F1208" t="str">
            <v>20000625</v>
          </cell>
          <cell r="G1208">
            <v>21</v>
          </cell>
          <cell r="H1208" t="str">
            <v>四川省仁寿县贵平镇中岗村9组</v>
          </cell>
        </row>
        <row r="1209">
          <cell r="C1209" t="str">
            <v>511121198009296931</v>
          </cell>
          <cell r="D1209" t="str">
            <v>男</v>
          </cell>
          <cell r="E1209" t="str">
            <v>汉族</v>
          </cell>
          <cell r="F1209" t="str">
            <v>19800929</v>
          </cell>
          <cell r="G1209">
            <v>41</v>
          </cell>
          <cell r="H1209" t="str">
            <v>四川省仁寿县贵平镇中岗村9组</v>
          </cell>
          <cell r="I1209">
            <v>15828201558</v>
          </cell>
        </row>
        <row r="1210">
          <cell r="C1210" t="str">
            <v>511121195502056946</v>
          </cell>
          <cell r="D1210" t="str">
            <v>女</v>
          </cell>
          <cell r="E1210" t="str">
            <v>汉族</v>
          </cell>
          <cell r="F1210" t="str">
            <v>19550205</v>
          </cell>
          <cell r="G1210">
            <v>66</v>
          </cell>
          <cell r="H1210" t="str">
            <v>四川省仁寿县贵平镇中岗村9组</v>
          </cell>
          <cell r="I1210">
            <v>13281261072</v>
          </cell>
        </row>
        <row r="1211">
          <cell r="C1211" t="str">
            <v>511121197204176957</v>
          </cell>
          <cell r="D1211" t="str">
            <v>男</v>
          </cell>
          <cell r="E1211" t="str">
            <v>汉族</v>
          </cell>
          <cell r="F1211" t="str">
            <v>19720417</v>
          </cell>
          <cell r="G1211">
            <v>49</v>
          </cell>
          <cell r="H1211" t="str">
            <v>四川省仁寿县贵平镇中岗村9组</v>
          </cell>
          <cell r="I1211">
            <v>13880486178</v>
          </cell>
        </row>
        <row r="1212">
          <cell r="C1212" t="str">
            <v>511027197108222207</v>
          </cell>
          <cell r="D1212" t="str">
            <v>女</v>
          </cell>
          <cell r="E1212" t="str">
            <v>汉族</v>
          </cell>
          <cell r="F1212" t="str">
            <v>19710822</v>
          </cell>
          <cell r="G1212">
            <v>50</v>
          </cell>
          <cell r="H1212" t="str">
            <v>四川省仁寿县贵平镇中岗村9组</v>
          </cell>
        </row>
        <row r="1213">
          <cell r="C1213" t="str">
            <v>513822199901186937</v>
          </cell>
          <cell r="D1213" t="str">
            <v>男</v>
          </cell>
          <cell r="E1213" t="str">
            <v>汉族</v>
          </cell>
          <cell r="F1213" t="str">
            <v>19990118</v>
          </cell>
          <cell r="G1213">
            <v>22</v>
          </cell>
          <cell r="H1213" t="str">
            <v>四川省仁寿县贵平镇中岗村9组</v>
          </cell>
        </row>
        <row r="1214">
          <cell r="C1214" t="str">
            <v>511121198210126934</v>
          </cell>
          <cell r="D1214" t="str">
            <v>男</v>
          </cell>
          <cell r="E1214" t="str">
            <v>汉族</v>
          </cell>
          <cell r="F1214" t="str">
            <v>19821012</v>
          </cell>
          <cell r="G1214">
            <v>39</v>
          </cell>
          <cell r="H1214" t="str">
            <v>四川省仁寿县贵平镇中岗村9组</v>
          </cell>
          <cell r="I1214">
            <v>18280137887</v>
          </cell>
        </row>
        <row r="1215">
          <cell r="C1215" t="str">
            <v>511022198204222285</v>
          </cell>
          <cell r="D1215" t="str">
            <v>女</v>
          </cell>
          <cell r="E1215" t="str">
            <v>汉族</v>
          </cell>
          <cell r="F1215" t="str">
            <v>19820422</v>
          </cell>
          <cell r="G1215">
            <v>39</v>
          </cell>
          <cell r="H1215" t="str">
            <v>四川省仁寿县贵平镇中岗村9组</v>
          </cell>
          <cell r="I1215">
            <v>13881914795</v>
          </cell>
        </row>
        <row r="1216">
          <cell r="C1216" t="str">
            <v>513822200406126756</v>
          </cell>
          <cell r="D1216" t="str">
            <v>男</v>
          </cell>
          <cell r="E1216" t="str">
            <v>汉族</v>
          </cell>
          <cell r="F1216" t="str">
            <v>20040612</v>
          </cell>
          <cell r="G1216">
            <v>17</v>
          </cell>
          <cell r="H1216" t="str">
            <v>四川省仁寿县贵平镇中岗村9组</v>
          </cell>
        </row>
        <row r="1217">
          <cell r="C1217" t="str">
            <v>511121197312086932</v>
          </cell>
          <cell r="D1217" t="str">
            <v>男</v>
          </cell>
          <cell r="E1217" t="str">
            <v>汉族</v>
          </cell>
          <cell r="F1217" t="str">
            <v>19731208</v>
          </cell>
          <cell r="G1217">
            <v>48</v>
          </cell>
          <cell r="H1217" t="str">
            <v>四川省仁寿县贵平镇中岗村9组</v>
          </cell>
          <cell r="I1217">
            <v>15558245700</v>
          </cell>
        </row>
        <row r="1218">
          <cell r="C1218" t="str">
            <v>512534197405251225</v>
          </cell>
          <cell r="D1218" t="str">
            <v>女</v>
          </cell>
          <cell r="E1218" t="str">
            <v>苗族</v>
          </cell>
          <cell r="F1218" t="str">
            <v>19740525</v>
          </cell>
          <cell r="G1218">
            <v>47</v>
          </cell>
          <cell r="H1218" t="str">
            <v>四川省仁寿县贵平镇中岗村9组</v>
          </cell>
          <cell r="I1218">
            <v>13567924298</v>
          </cell>
        </row>
        <row r="1219">
          <cell r="C1219" t="str">
            <v>511121193809236934</v>
          </cell>
          <cell r="D1219" t="str">
            <v>男</v>
          </cell>
          <cell r="E1219" t="str">
            <v>汉族</v>
          </cell>
          <cell r="F1219" t="str">
            <v>19380923</v>
          </cell>
          <cell r="G1219">
            <v>83</v>
          </cell>
          <cell r="H1219" t="str">
            <v>四川省仁寿县贵平镇中岗村9组</v>
          </cell>
          <cell r="I1219">
            <v>18481096811</v>
          </cell>
        </row>
        <row r="1220">
          <cell r="C1220" t="str">
            <v>511121197510186934</v>
          </cell>
          <cell r="D1220" t="str">
            <v>男</v>
          </cell>
          <cell r="E1220" t="str">
            <v>汉族</v>
          </cell>
          <cell r="F1220" t="str">
            <v>19751018</v>
          </cell>
          <cell r="G1220">
            <v>46</v>
          </cell>
          <cell r="H1220" t="str">
            <v>四川省仁寿县贵平镇中岗村9组</v>
          </cell>
          <cell r="I1220">
            <v>18384773070</v>
          </cell>
        </row>
        <row r="1221">
          <cell r="C1221" t="str">
            <v>511121197210086982</v>
          </cell>
          <cell r="D1221" t="str">
            <v>女</v>
          </cell>
          <cell r="E1221" t="str">
            <v>汉族</v>
          </cell>
          <cell r="F1221" t="str">
            <v>19721008</v>
          </cell>
          <cell r="G1221">
            <v>49</v>
          </cell>
          <cell r="H1221" t="str">
            <v>四川省仁寿县贵平镇中岗村9组</v>
          </cell>
        </row>
        <row r="1222">
          <cell r="C1222" t="str">
            <v>513822200105126701</v>
          </cell>
          <cell r="D1222" t="str">
            <v>女</v>
          </cell>
          <cell r="E1222" t="str">
            <v>汉族</v>
          </cell>
          <cell r="F1222" t="str">
            <v>20010512</v>
          </cell>
          <cell r="G1222">
            <v>20</v>
          </cell>
          <cell r="H1222" t="str">
            <v>四川省仁寿县贵平镇中岗村9组</v>
          </cell>
        </row>
        <row r="1223">
          <cell r="C1223" t="str">
            <v>511121197102246950</v>
          </cell>
          <cell r="D1223" t="str">
            <v>男</v>
          </cell>
          <cell r="E1223" t="str">
            <v>汉族</v>
          </cell>
          <cell r="F1223" t="str">
            <v>19710224</v>
          </cell>
          <cell r="G1223">
            <v>50</v>
          </cell>
          <cell r="H1223" t="str">
            <v>四川省仁寿县贵平镇中岗村9组</v>
          </cell>
          <cell r="I1223">
            <v>15260262164</v>
          </cell>
        </row>
        <row r="1224">
          <cell r="C1224" t="str">
            <v>511121197109216789</v>
          </cell>
          <cell r="D1224" t="str">
            <v>女</v>
          </cell>
          <cell r="E1224" t="str">
            <v>汉族</v>
          </cell>
          <cell r="F1224" t="str">
            <v>19710921</v>
          </cell>
          <cell r="G1224">
            <v>50</v>
          </cell>
          <cell r="H1224" t="str">
            <v>四川省仁寿县贵平镇中岗村9组</v>
          </cell>
        </row>
        <row r="1225">
          <cell r="C1225" t="str">
            <v>513822199508246956</v>
          </cell>
          <cell r="D1225" t="str">
            <v>男</v>
          </cell>
          <cell r="E1225" t="str">
            <v>汉族</v>
          </cell>
          <cell r="F1225" t="str">
            <v>19950824</v>
          </cell>
          <cell r="G1225">
            <v>26</v>
          </cell>
          <cell r="H1225" t="str">
            <v>四川省仁寿县贵平镇中岗村9组</v>
          </cell>
        </row>
        <row r="1226">
          <cell r="C1226" t="str">
            <v>51112119751128697X</v>
          </cell>
          <cell r="D1226" t="str">
            <v>男</v>
          </cell>
          <cell r="E1226" t="str">
            <v>汉族</v>
          </cell>
          <cell r="F1226" t="str">
            <v>19751128</v>
          </cell>
          <cell r="G1226">
            <v>46</v>
          </cell>
          <cell r="H1226" t="str">
            <v>四川省仁寿县贵平镇中岗村9组</v>
          </cell>
          <cell r="I1226">
            <v>13778873512</v>
          </cell>
        </row>
        <row r="1227">
          <cell r="C1227" t="str">
            <v>511121198004146942</v>
          </cell>
          <cell r="D1227" t="str">
            <v>女</v>
          </cell>
          <cell r="E1227" t="str">
            <v>汉族</v>
          </cell>
          <cell r="F1227" t="str">
            <v>19800414</v>
          </cell>
          <cell r="G1227">
            <v>41</v>
          </cell>
          <cell r="H1227" t="str">
            <v>四川省仁寿县贵平镇中岗村9组</v>
          </cell>
        </row>
        <row r="1228">
          <cell r="C1228" t="str">
            <v>51142120070222676X</v>
          </cell>
          <cell r="D1228" t="str">
            <v>女</v>
          </cell>
          <cell r="E1228" t="str">
            <v>汉族</v>
          </cell>
          <cell r="F1228" t="str">
            <v>20070222</v>
          </cell>
          <cell r="G1228">
            <v>14</v>
          </cell>
          <cell r="H1228" t="str">
            <v>四川省仁寿县贵平镇中岗村9组</v>
          </cell>
        </row>
        <row r="1229">
          <cell r="C1229" t="str">
            <v>511121193002136932</v>
          </cell>
          <cell r="D1229" t="str">
            <v>男</v>
          </cell>
          <cell r="E1229" t="str">
            <v>汉族</v>
          </cell>
          <cell r="F1229" t="str">
            <v>19300213</v>
          </cell>
          <cell r="G1229">
            <v>91</v>
          </cell>
          <cell r="H1229" t="str">
            <v>四川省仁寿县贵平镇中岗村9组</v>
          </cell>
        </row>
        <row r="1230">
          <cell r="C1230" t="str">
            <v>511121197706146934</v>
          </cell>
          <cell r="D1230" t="str">
            <v>男</v>
          </cell>
          <cell r="E1230" t="str">
            <v>汉族</v>
          </cell>
          <cell r="F1230" t="str">
            <v>19770614</v>
          </cell>
          <cell r="G1230">
            <v>44</v>
          </cell>
          <cell r="H1230" t="str">
            <v>四川省仁寿县贵平镇中岗村9组</v>
          </cell>
        </row>
        <row r="1231">
          <cell r="C1231" t="str">
            <v>612732198204244623</v>
          </cell>
          <cell r="D1231" t="str">
            <v>女</v>
          </cell>
          <cell r="E1231" t="str">
            <v>汉族</v>
          </cell>
          <cell r="F1231" t="str">
            <v>19820424</v>
          </cell>
          <cell r="G1231">
            <v>39</v>
          </cell>
          <cell r="H1231" t="str">
            <v>四川省仁寿县贵平镇中岗村9组</v>
          </cell>
        </row>
        <row r="1232">
          <cell r="C1232" t="str">
            <v>513822200103106694</v>
          </cell>
          <cell r="D1232" t="str">
            <v>男</v>
          </cell>
          <cell r="E1232" t="str">
            <v>汉族</v>
          </cell>
          <cell r="F1232" t="str">
            <v>20010310</v>
          </cell>
          <cell r="G1232">
            <v>20</v>
          </cell>
          <cell r="H1232" t="str">
            <v>四川省仁寿县贵平镇中岗村9组</v>
          </cell>
        </row>
        <row r="1233">
          <cell r="C1233" t="str">
            <v>511421201405076878</v>
          </cell>
          <cell r="D1233" t="str">
            <v>男</v>
          </cell>
          <cell r="E1233" t="str">
            <v>汉族</v>
          </cell>
          <cell r="F1233" t="str">
            <v>20140507</v>
          </cell>
          <cell r="G1233">
            <v>7</v>
          </cell>
          <cell r="H1233" t="str">
            <v>四川省仁寿县贵平镇中岗村9组</v>
          </cell>
        </row>
        <row r="1234">
          <cell r="C1234" t="str">
            <v>511121195410206935</v>
          </cell>
          <cell r="D1234" t="str">
            <v>男</v>
          </cell>
          <cell r="E1234" t="str">
            <v>汉族</v>
          </cell>
          <cell r="F1234" t="str">
            <v>19541020</v>
          </cell>
          <cell r="G1234">
            <v>67</v>
          </cell>
          <cell r="H1234" t="str">
            <v>四川省仁寿县贵平镇中岗村9组</v>
          </cell>
          <cell r="I1234">
            <v>18228111164</v>
          </cell>
        </row>
        <row r="1235">
          <cell r="C1235" t="str">
            <v>511121195103136965</v>
          </cell>
          <cell r="D1235" t="str">
            <v>女</v>
          </cell>
          <cell r="E1235" t="str">
            <v>汉族</v>
          </cell>
          <cell r="F1235" t="str">
            <v>19510313</v>
          </cell>
          <cell r="G1235">
            <v>70</v>
          </cell>
          <cell r="H1235" t="str">
            <v>四川省仁寿县贵平镇中岗村9组</v>
          </cell>
        </row>
        <row r="1236">
          <cell r="C1236" t="str">
            <v>511121197902096938</v>
          </cell>
          <cell r="D1236" t="str">
            <v>男</v>
          </cell>
          <cell r="E1236" t="str">
            <v>汉族</v>
          </cell>
          <cell r="F1236" t="str">
            <v>19790209</v>
          </cell>
          <cell r="G1236">
            <v>42</v>
          </cell>
          <cell r="H1236" t="str">
            <v>四川省仁寿县贵平镇中岗村9组</v>
          </cell>
          <cell r="I1236">
            <v>15182228586</v>
          </cell>
        </row>
        <row r="1237">
          <cell r="C1237" t="str">
            <v>511325198209211820</v>
          </cell>
          <cell r="D1237" t="str">
            <v>女</v>
          </cell>
          <cell r="E1237" t="str">
            <v>汉族</v>
          </cell>
          <cell r="F1237" t="str">
            <v>19820921</v>
          </cell>
          <cell r="G1237">
            <v>39</v>
          </cell>
          <cell r="H1237" t="str">
            <v>四川省仁寿县贵平镇中岗村9组</v>
          </cell>
          <cell r="I1237">
            <v>15180742839</v>
          </cell>
        </row>
        <row r="1238">
          <cell r="C1238" t="str">
            <v>513822200412266691</v>
          </cell>
          <cell r="D1238" t="str">
            <v>男</v>
          </cell>
          <cell r="E1238" t="str">
            <v>汉族</v>
          </cell>
          <cell r="F1238" t="str">
            <v>20041226</v>
          </cell>
          <cell r="G1238">
            <v>17</v>
          </cell>
          <cell r="H1238" t="str">
            <v>四川省仁寿县贵平镇中岗村9组</v>
          </cell>
        </row>
        <row r="1239">
          <cell r="C1239" t="str">
            <v>511325200612282127</v>
          </cell>
          <cell r="D1239" t="str">
            <v>女</v>
          </cell>
          <cell r="E1239" t="str">
            <v>汉族</v>
          </cell>
          <cell r="F1239" t="str">
            <v>20061228</v>
          </cell>
          <cell r="G1239">
            <v>15</v>
          </cell>
          <cell r="H1239" t="str">
            <v>四川省仁寿县贵平镇中岗村9组</v>
          </cell>
        </row>
        <row r="1240">
          <cell r="C1240" t="str">
            <v>511121198102176934</v>
          </cell>
          <cell r="D1240" t="str">
            <v>男</v>
          </cell>
          <cell r="E1240" t="str">
            <v>汉族</v>
          </cell>
          <cell r="F1240" t="str">
            <v>19810217</v>
          </cell>
          <cell r="G1240">
            <v>40</v>
          </cell>
          <cell r="H1240" t="str">
            <v>四川省仁寿县贵平镇中岗村9组</v>
          </cell>
          <cell r="I1240">
            <v>13980912245</v>
          </cell>
        </row>
        <row r="1241">
          <cell r="C1241" t="str">
            <v>51112119620422693X</v>
          </cell>
          <cell r="D1241" t="str">
            <v>男</v>
          </cell>
          <cell r="E1241" t="str">
            <v>汉族</v>
          </cell>
          <cell r="F1241" t="str">
            <v>19620422</v>
          </cell>
          <cell r="G1241">
            <v>59</v>
          </cell>
          <cell r="H1241" t="str">
            <v>四川省仁寿县贵平镇中岗村9组</v>
          </cell>
        </row>
        <row r="1242">
          <cell r="C1242" t="str">
            <v>511121196501086945</v>
          </cell>
          <cell r="D1242" t="str">
            <v>女</v>
          </cell>
          <cell r="E1242" t="str">
            <v>汉族</v>
          </cell>
          <cell r="F1242" t="str">
            <v>19650108</v>
          </cell>
          <cell r="G1242">
            <v>56</v>
          </cell>
          <cell r="H1242" t="str">
            <v>四川省仁寿县贵平镇中岗村9组</v>
          </cell>
        </row>
        <row r="1243">
          <cell r="C1243" t="str">
            <v>511121197404296961</v>
          </cell>
          <cell r="D1243" t="str">
            <v>女</v>
          </cell>
          <cell r="E1243" t="str">
            <v>汉族</v>
          </cell>
          <cell r="F1243" t="str">
            <v>19740429</v>
          </cell>
          <cell r="G1243">
            <v>47</v>
          </cell>
          <cell r="H1243" t="str">
            <v>四川省仁寿县贵平镇中岗村9组</v>
          </cell>
          <cell r="I1243">
            <v>15882453271</v>
          </cell>
        </row>
        <row r="1244">
          <cell r="C1244" t="str">
            <v>513822199803086940</v>
          </cell>
          <cell r="D1244" t="str">
            <v>女</v>
          </cell>
          <cell r="E1244" t="str">
            <v>汉族</v>
          </cell>
          <cell r="F1244" t="str">
            <v>19980308</v>
          </cell>
          <cell r="G1244">
            <v>23</v>
          </cell>
          <cell r="H1244" t="str">
            <v>四川省仁寿县贵平镇中岗村9组</v>
          </cell>
          <cell r="I1244">
            <v>15882296462</v>
          </cell>
        </row>
        <row r="1245">
          <cell r="C1245" t="str">
            <v>511121197211116944</v>
          </cell>
          <cell r="D1245" t="str">
            <v>女</v>
          </cell>
          <cell r="E1245" t="str">
            <v>汉族</v>
          </cell>
          <cell r="F1245" t="str">
            <v>19721111</v>
          </cell>
          <cell r="G1245">
            <v>49</v>
          </cell>
          <cell r="H1245" t="str">
            <v>四川省仁寿县贵平镇中岗村9组</v>
          </cell>
          <cell r="I1245">
            <v>15108439086</v>
          </cell>
        </row>
        <row r="1246">
          <cell r="C1246" t="str">
            <v>513822198512176933</v>
          </cell>
          <cell r="D1246" t="str">
            <v>男</v>
          </cell>
          <cell r="E1246" t="str">
            <v>汉族</v>
          </cell>
          <cell r="F1246" t="str">
            <v>19851217</v>
          </cell>
          <cell r="G1246">
            <v>36</v>
          </cell>
          <cell r="H1246" t="str">
            <v>四川省仁寿县贵平镇中岗村9组</v>
          </cell>
          <cell r="I1246">
            <v>15282136153</v>
          </cell>
        </row>
        <row r="1247">
          <cell r="C1247" t="str">
            <v>511121195305266936</v>
          </cell>
          <cell r="D1247" t="str">
            <v>男</v>
          </cell>
          <cell r="E1247" t="str">
            <v>汉族</v>
          </cell>
          <cell r="F1247" t="str">
            <v>19530526</v>
          </cell>
          <cell r="G1247">
            <v>68</v>
          </cell>
          <cell r="H1247" t="str">
            <v>四川省仁寿县贵平镇中岗村9组</v>
          </cell>
          <cell r="I1247">
            <v>13730761889</v>
          </cell>
        </row>
        <row r="1248">
          <cell r="C1248" t="str">
            <v>511421201905140303</v>
          </cell>
          <cell r="D1248" t="str">
            <v>女</v>
          </cell>
          <cell r="E1248" t="str">
            <v>汉族</v>
          </cell>
          <cell r="F1248" t="str">
            <v>20190514</v>
          </cell>
          <cell r="G1248">
            <v>2</v>
          </cell>
          <cell r="H1248" t="str">
            <v>四川省仁寿县贵平镇中岗村9组</v>
          </cell>
        </row>
        <row r="1249">
          <cell r="C1249" t="str">
            <v>511121194308196932</v>
          </cell>
          <cell r="D1249" t="str">
            <v>男</v>
          </cell>
          <cell r="E1249" t="str">
            <v>汉族</v>
          </cell>
          <cell r="F1249" t="str">
            <v>19430819</v>
          </cell>
          <cell r="G1249">
            <v>78</v>
          </cell>
          <cell r="H1249" t="str">
            <v>四川省仁寿县贵平镇中岗村10组</v>
          </cell>
          <cell r="I1249">
            <v>13440168132</v>
          </cell>
        </row>
        <row r="1250">
          <cell r="C1250" t="str">
            <v>511121195803126944</v>
          </cell>
          <cell r="D1250" t="str">
            <v>女</v>
          </cell>
          <cell r="E1250" t="str">
            <v>汉族</v>
          </cell>
          <cell r="F1250" t="str">
            <v>19580312</v>
          </cell>
          <cell r="G1250">
            <v>63</v>
          </cell>
          <cell r="H1250" t="str">
            <v>四川省仁寿县贵平镇中岗村10组</v>
          </cell>
          <cell r="I1250">
            <v>13440168132</v>
          </cell>
        </row>
        <row r="1251">
          <cell r="C1251" t="str">
            <v>513822198704176938</v>
          </cell>
          <cell r="D1251" t="str">
            <v>男</v>
          </cell>
          <cell r="E1251" t="str">
            <v>汉族</v>
          </cell>
          <cell r="F1251" t="str">
            <v>19870417</v>
          </cell>
          <cell r="G1251">
            <v>34</v>
          </cell>
          <cell r="H1251" t="str">
            <v>四川省仁寿县贵平镇中岗村10组</v>
          </cell>
          <cell r="I1251">
            <v>13880905824</v>
          </cell>
        </row>
        <row r="1252">
          <cell r="C1252" t="str">
            <v>51112119770519693X</v>
          </cell>
          <cell r="D1252" t="str">
            <v>男</v>
          </cell>
          <cell r="E1252" t="str">
            <v>汉族</v>
          </cell>
          <cell r="F1252" t="str">
            <v>19770519</v>
          </cell>
          <cell r="G1252">
            <v>44</v>
          </cell>
          <cell r="H1252" t="str">
            <v>四川省仁寿县贵平镇中岗村10组</v>
          </cell>
          <cell r="I1252">
            <v>13541156924</v>
          </cell>
        </row>
        <row r="1253">
          <cell r="C1253" t="str">
            <v>511121196906306950</v>
          </cell>
          <cell r="D1253" t="str">
            <v>男</v>
          </cell>
          <cell r="E1253" t="str">
            <v>汉族</v>
          </cell>
          <cell r="F1253" t="str">
            <v>19690630</v>
          </cell>
          <cell r="G1253">
            <v>52</v>
          </cell>
          <cell r="H1253" t="str">
            <v>四川省仁寿县贵平镇中岗村10组</v>
          </cell>
          <cell r="I1253">
            <v>13541366816</v>
          </cell>
        </row>
        <row r="1254">
          <cell r="C1254" t="str">
            <v>511121197201036828</v>
          </cell>
          <cell r="D1254" t="str">
            <v>女</v>
          </cell>
          <cell r="E1254" t="str">
            <v>汉族</v>
          </cell>
          <cell r="F1254" t="str">
            <v>19720103</v>
          </cell>
          <cell r="G1254">
            <v>49</v>
          </cell>
          <cell r="H1254" t="str">
            <v>四川省仁寿县贵平镇中岗村10组</v>
          </cell>
          <cell r="I1254">
            <v>13541366816</v>
          </cell>
        </row>
        <row r="1255">
          <cell r="C1255" t="str">
            <v>513822199211036958</v>
          </cell>
          <cell r="D1255" t="str">
            <v>男</v>
          </cell>
          <cell r="E1255" t="str">
            <v>汉族</v>
          </cell>
          <cell r="F1255" t="str">
            <v>19921103</v>
          </cell>
          <cell r="G1255">
            <v>29</v>
          </cell>
          <cell r="H1255" t="str">
            <v>四川省仁寿县贵平镇中岗村10组</v>
          </cell>
        </row>
        <row r="1256">
          <cell r="C1256" t="str">
            <v>51112119671201698X</v>
          </cell>
          <cell r="D1256" t="str">
            <v>女</v>
          </cell>
          <cell r="E1256" t="str">
            <v>汉族</v>
          </cell>
          <cell r="F1256" t="str">
            <v>19671201</v>
          </cell>
          <cell r="G1256">
            <v>54</v>
          </cell>
          <cell r="H1256" t="str">
            <v>四川省仁寿县贵平镇中岗村10组</v>
          </cell>
          <cell r="I1256">
            <v>13730629938</v>
          </cell>
        </row>
        <row r="1257">
          <cell r="C1257" t="str">
            <v>513822199509176937</v>
          </cell>
          <cell r="D1257" t="str">
            <v>男</v>
          </cell>
          <cell r="E1257" t="str">
            <v>汉族</v>
          </cell>
          <cell r="F1257" t="str">
            <v>19950917</v>
          </cell>
          <cell r="G1257">
            <v>26</v>
          </cell>
          <cell r="H1257" t="str">
            <v>四川省仁寿县贵平镇中岗村10组</v>
          </cell>
          <cell r="I1257">
            <v>13808035206</v>
          </cell>
        </row>
        <row r="1258">
          <cell r="C1258" t="str">
            <v>510921199808214266</v>
          </cell>
          <cell r="D1258" t="str">
            <v>女</v>
          </cell>
          <cell r="E1258" t="str">
            <v>汉族</v>
          </cell>
          <cell r="F1258" t="str">
            <v>19980821</v>
          </cell>
          <cell r="G1258">
            <v>23</v>
          </cell>
          <cell r="H1258" t="str">
            <v>四川省仁寿县贵平镇中岗村10组</v>
          </cell>
          <cell r="I1258">
            <v>18780129720</v>
          </cell>
        </row>
        <row r="1259">
          <cell r="C1259" t="str">
            <v>511421201811290319</v>
          </cell>
          <cell r="D1259" t="str">
            <v>男</v>
          </cell>
          <cell r="E1259" t="str">
            <v>汉族</v>
          </cell>
          <cell r="F1259" t="str">
            <v>20181129</v>
          </cell>
          <cell r="G1259">
            <v>3</v>
          </cell>
          <cell r="H1259" t="str">
            <v>四川省仁寿县贵平镇中岗村10组</v>
          </cell>
        </row>
        <row r="1260">
          <cell r="C1260" t="str">
            <v>513822199004116947</v>
          </cell>
          <cell r="D1260" t="str">
            <v>女</v>
          </cell>
          <cell r="E1260" t="str">
            <v>汉族</v>
          </cell>
          <cell r="F1260" t="str">
            <v>19900411</v>
          </cell>
          <cell r="G1260">
            <v>31</v>
          </cell>
          <cell r="H1260" t="str">
            <v>四川省仁寿县贵平镇中岗村10组</v>
          </cell>
        </row>
        <row r="1261">
          <cell r="C1261" t="str">
            <v>513822199203126945</v>
          </cell>
          <cell r="D1261" t="str">
            <v>女</v>
          </cell>
          <cell r="E1261" t="str">
            <v>汉族</v>
          </cell>
          <cell r="F1261" t="str">
            <v>19920312</v>
          </cell>
          <cell r="G1261">
            <v>29</v>
          </cell>
          <cell r="H1261" t="str">
            <v>四川省仁寿县贵平镇中岗村10组</v>
          </cell>
        </row>
        <row r="1262">
          <cell r="C1262" t="str">
            <v>511121194803266934</v>
          </cell>
          <cell r="D1262" t="str">
            <v>男</v>
          </cell>
          <cell r="E1262" t="str">
            <v>汉族</v>
          </cell>
          <cell r="F1262" t="str">
            <v>19480326</v>
          </cell>
          <cell r="G1262">
            <v>73</v>
          </cell>
          <cell r="H1262" t="str">
            <v>四川省仁寿县贵平镇中岗村10组</v>
          </cell>
          <cell r="I1262">
            <v>15244846768</v>
          </cell>
        </row>
        <row r="1263">
          <cell r="C1263" t="str">
            <v>51112119770113693X</v>
          </cell>
          <cell r="D1263" t="str">
            <v>男</v>
          </cell>
          <cell r="E1263" t="str">
            <v>汉族</v>
          </cell>
          <cell r="F1263" t="str">
            <v>19770113</v>
          </cell>
          <cell r="G1263">
            <v>44</v>
          </cell>
          <cell r="H1263" t="str">
            <v>四川省仁寿县贵平镇中岗村10组</v>
          </cell>
          <cell r="I1263">
            <v>18380257150</v>
          </cell>
        </row>
        <row r="1264">
          <cell r="C1264" t="str">
            <v>511121197909166943</v>
          </cell>
          <cell r="D1264" t="str">
            <v>女</v>
          </cell>
          <cell r="E1264" t="str">
            <v>汉族</v>
          </cell>
          <cell r="F1264" t="str">
            <v>19790916</v>
          </cell>
          <cell r="G1264">
            <v>42</v>
          </cell>
          <cell r="H1264" t="str">
            <v>四川省仁寿县贵平镇中岗村10组</v>
          </cell>
          <cell r="I1264">
            <v>15244833465</v>
          </cell>
        </row>
        <row r="1265">
          <cell r="C1265" t="str">
            <v>513822200304046691</v>
          </cell>
          <cell r="D1265" t="str">
            <v>男</v>
          </cell>
          <cell r="E1265" t="str">
            <v>汉族</v>
          </cell>
          <cell r="F1265" t="str">
            <v>20030404</v>
          </cell>
          <cell r="G1265">
            <v>18</v>
          </cell>
          <cell r="H1265" t="str">
            <v>四川省仁寿县贵平镇中岗村10组</v>
          </cell>
          <cell r="I1265">
            <v>13909031964</v>
          </cell>
        </row>
        <row r="1266">
          <cell r="C1266" t="str">
            <v>513822200107146706</v>
          </cell>
          <cell r="D1266" t="str">
            <v>女</v>
          </cell>
          <cell r="E1266" t="str">
            <v>汉族</v>
          </cell>
          <cell r="F1266" t="str">
            <v>20010714</v>
          </cell>
          <cell r="G1266">
            <v>20</v>
          </cell>
          <cell r="H1266" t="str">
            <v>四川省仁寿县贵平镇中岗村10组</v>
          </cell>
          <cell r="I1266">
            <v>18228594275</v>
          </cell>
        </row>
        <row r="1267">
          <cell r="C1267" t="str">
            <v>511121197109216930</v>
          </cell>
          <cell r="D1267" t="str">
            <v>男</v>
          </cell>
          <cell r="E1267" t="str">
            <v>汉族</v>
          </cell>
          <cell r="F1267" t="str">
            <v>19710921</v>
          </cell>
          <cell r="G1267">
            <v>50</v>
          </cell>
          <cell r="H1267" t="str">
            <v>四川省仁寿县贵平镇中岗村10组</v>
          </cell>
          <cell r="I1267">
            <v>13709045951</v>
          </cell>
        </row>
        <row r="1268">
          <cell r="C1268" t="str">
            <v>51382219831028694X</v>
          </cell>
          <cell r="D1268" t="str">
            <v>女</v>
          </cell>
          <cell r="E1268" t="str">
            <v>汉族</v>
          </cell>
          <cell r="F1268" t="str">
            <v>19831028</v>
          </cell>
          <cell r="G1268">
            <v>38</v>
          </cell>
          <cell r="H1268" t="str">
            <v>四川省仁寿县贵平镇中岗村10组</v>
          </cell>
          <cell r="I1268">
            <v>18384769854</v>
          </cell>
        </row>
        <row r="1269">
          <cell r="C1269" t="str">
            <v>513822200002296695</v>
          </cell>
          <cell r="D1269" t="str">
            <v>男</v>
          </cell>
          <cell r="E1269" t="str">
            <v>汉族</v>
          </cell>
          <cell r="F1269" t="str">
            <v>20000229</v>
          </cell>
          <cell r="G1269">
            <v>21</v>
          </cell>
          <cell r="H1269" t="str">
            <v>四川省仁寿县贵平镇中岗村10组</v>
          </cell>
          <cell r="I1269">
            <v>18228530795</v>
          </cell>
        </row>
        <row r="1270">
          <cell r="C1270" t="str">
            <v>511121197404176935</v>
          </cell>
          <cell r="D1270" t="str">
            <v>男</v>
          </cell>
          <cell r="E1270" t="str">
            <v>汉族</v>
          </cell>
          <cell r="F1270" t="str">
            <v>19740417</v>
          </cell>
          <cell r="G1270">
            <v>47</v>
          </cell>
          <cell r="H1270" t="str">
            <v>四川省仁寿县贵平镇中岗村10组</v>
          </cell>
          <cell r="I1270">
            <v>13568319850</v>
          </cell>
        </row>
        <row r="1271">
          <cell r="C1271" t="str">
            <v>513822199401097022</v>
          </cell>
          <cell r="D1271" t="str">
            <v>女</v>
          </cell>
          <cell r="E1271" t="str">
            <v>汉族</v>
          </cell>
          <cell r="F1271" t="str">
            <v>19940109</v>
          </cell>
          <cell r="G1271">
            <v>27</v>
          </cell>
          <cell r="H1271" t="str">
            <v>四川省仁寿县贵平镇中岗村10组</v>
          </cell>
          <cell r="I1271">
            <v>13243785322</v>
          </cell>
        </row>
        <row r="1272">
          <cell r="C1272" t="str">
            <v>511121197412076782</v>
          </cell>
          <cell r="D1272" t="str">
            <v>女</v>
          </cell>
          <cell r="E1272" t="str">
            <v>汉族</v>
          </cell>
          <cell r="F1272" t="str">
            <v>19741207</v>
          </cell>
          <cell r="G1272">
            <v>47</v>
          </cell>
          <cell r="H1272" t="str">
            <v>四川省仁寿县贵平镇中岗村10组</v>
          </cell>
          <cell r="I1272">
            <v>18228577760</v>
          </cell>
        </row>
        <row r="1273">
          <cell r="C1273" t="str">
            <v>511121194612256944</v>
          </cell>
          <cell r="D1273" t="str">
            <v>女</v>
          </cell>
          <cell r="E1273" t="str">
            <v>汉族</v>
          </cell>
          <cell r="F1273" t="str">
            <v>19461225</v>
          </cell>
          <cell r="G1273">
            <v>75</v>
          </cell>
          <cell r="H1273" t="str">
            <v>四川省仁寿县贵平镇中岗村10组</v>
          </cell>
          <cell r="I1273">
            <v>13608165787</v>
          </cell>
        </row>
        <row r="1274">
          <cell r="C1274" t="str">
            <v>513822199508116932</v>
          </cell>
          <cell r="D1274" t="str">
            <v>男</v>
          </cell>
          <cell r="E1274" t="str">
            <v>汉族</v>
          </cell>
          <cell r="F1274" t="str">
            <v>19950811</v>
          </cell>
          <cell r="G1274">
            <v>26</v>
          </cell>
          <cell r="H1274" t="str">
            <v>四川省仁寿县贵平镇中岗村10组</v>
          </cell>
          <cell r="I1274">
            <v>18380187650</v>
          </cell>
        </row>
        <row r="1275">
          <cell r="C1275" t="str">
            <v>511121196502256934</v>
          </cell>
          <cell r="D1275" t="str">
            <v>男</v>
          </cell>
          <cell r="E1275" t="str">
            <v>汉族</v>
          </cell>
          <cell r="F1275" t="str">
            <v>19650225</v>
          </cell>
          <cell r="G1275">
            <v>56</v>
          </cell>
          <cell r="H1275" t="str">
            <v>四川省仁寿县贵平镇中岗村10组</v>
          </cell>
          <cell r="I1275">
            <v>13881994029</v>
          </cell>
        </row>
        <row r="1276">
          <cell r="C1276" t="str">
            <v>511121196411166968</v>
          </cell>
          <cell r="D1276" t="str">
            <v>女</v>
          </cell>
          <cell r="E1276" t="str">
            <v>汉族</v>
          </cell>
          <cell r="F1276" t="str">
            <v>19641116</v>
          </cell>
          <cell r="G1276">
            <v>57</v>
          </cell>
          <cell r="H1276" t="str">
            <v>四川省仁寿县贵平镇中岗村10组</v>
          </cell>
        </row>
        <row r="1277">
          <cell r="C1277" t="str">
            <v>513822198811206936</v>
          </cell>
          <cell r="D1277" t="str">
            <v>男</v>
          </cell>
          <cell r="E1277" t="str">
            <v>汉族</v>
          </cell>
          <cell r="F1277" t="str">
            <v>19881120</v>
          </cell>
          <cell r="G1277">
            <v>33</v>
          </cell>
          <cell r="H1277" t="str">
            <v>四川省仁寿县贵平镇中岗村10组</v>
          </cell>
          <cell r="I1277">
            <v>15928478682</v>
          </cell>
        </row>
        <row r="1278">
          <cell r="C1278" t="str">
            <v>511121195901256937</v>
          </cell>
          <cell r="D1278" t="str">
            <v>男</v>
          </cell>
          <cell r="E1278" t="str">
            <v>汉族</v>
          </cell>
          <cell r="F1278" t="str">
            <v>19590125</v>
          </cell>
          <cell r="G1278">
            <v>62</v>
          </cell>
          <cell r="H1278" t="str">
            <v>四川省仁寿县贵平镇中岗村10组</v>
          </cell>
          <cell r="I1278">
            <v>18784443203</v>
          </cell>
        </row>
        <row r="1279">
          <cell r="C1279" t="str">
            <v>511121196809077084</v>
          </cell>
          <cell r="D1279" t="str">
            <v>女</v>
          </cell>
          <cell r="E1279" t="str">
            <v>汉族</v>
          </cell>
          <cell r="F1279" t="str">
            <v>19680907</v>
          </cell>
          <cell r="G1279">
            <v>53</v>
          </cell>
          <cell r="H1279" t="str">
            <v>四川省仁寿县贵平镇中岗村10组</v>
          </cell>
          <cell r="I1279">
            <v>15883345168</v>
          </cell>
        </row>
        <row r="1280">
          <cell r="C1280" t="str">
            <v>511421200612276712</v>
          </cell>
          <cell r="D1280" t="str">
            <v>男</v>
          </cell>
          <cell r="E1280" t="str">
            <v>汉族</v>
          </cell>
          <cell r="F1280" t="str">
            <v>20061227</v>
          </cell>
          <cell r="G1280">
            <v>15</v>
          </cell>
          <cell r="H1280" t="str">
            <v>四川省仁寿县贵平镇中岗村10组</v>
          </cell>
        </row>
        <row r="1281">
          <cell r="C1281" t="str">
            <v>511121196906016937</v>
          </cell>
          <cell r="D1281" t="str">
            <v>男</v>
          </cell>
          <cell r="E1281" t="str">
            <v>汉族</v>
          </cell>
          <cell r="F1281" t="str">
            <v>19690601</v>
          </cell>
          <cell r="G1281">
            <v>52</v>
          </cell>
          <cell r="H1281" t="str">
            <v>四川省仁寿县贵平镇中岗村10组</v>
          </cell>
          <cell r="I1281">
            <v>18328190632</v>
          </cell>
        </row>
        <row r="1282">
          <cell r="C1282" t="str">
            <v>511121197210229007</v>
          </cell>
          <cell r="D1282" t="str">
            <v>女</v>
          </cell>
          <cell r="E1282" t="str">
            <v>汉族</v>
          </cell>
          <cell r="F1282" t="str">
            <v>19721022</v>
          </cell>
          <cell r="G1282">
            <v>49</v>
          </cell>
          <cell r="H1282" t="str">
            <v>四川省仁寿县贵平镇中岗村10组</v>
          </cell>
          <cell r="I1282">
            <v>15883346866</v>
          </cell>
        </row>
        <row r="1283">
          <cell r="C1283" t="str">
            <v>513822199502176934</v>
          </cell>
          <cell r="D1283" t="str">
            <v>男</v>
          </cell>
          <cell r="E1283" t="str">
            <v>汉族</v>
          </cell>
          <cell r="F1283" t="str">
            <v>19950217</v>
          </cell>
          <cell r="G1283">
            <v>26</v>
          </cell>
          <cell r="H1283" t="str">
            <v>四川省仁寿县贵平镇中岗村10组</v>
          </cell>
          <cell r="I1283">
            <v>15282308823</v>
          </cell>
        </row>
        <row r="1284">
          <cell r="C1284" t="str">
            <v>511421200904286787</v>
          </cell>
          <cell r="D1284" t="str">
            <v>女</v>
          </cell>
          <cell r="E1284" t="str">
            <v>汉族</v>
          </cell>
          <cell r="F1284" t="str">
            <v>20090428</v>
          </cell>
          <cell r="G1284">
            <v>12</v>
          </cell>
          <cell r="H1284" t="str">
            <v>四川省仁寿县贵平镇中岗村10组</v>
          </cell>
        </row>
        <row r="1285">
          <cell r="C1285" t="str">
            <v>511121197302066954</v>
          </cell>
          <cell r="D1285" t="str">
            <v>男</v>
          </cell>
          <cell r="E1285" t="str">
            <v>汉族</v>
          </cell>
          <cell r="F1285" t="str">
            <v>19730206</v>
          </cell>
          <cell r="G1285">
            <v>48</v>
          </cell>
          <cell r="H1285" t="str">
            <v>四川省仁寿县贵平镇中岗村10组</v>
          </cell>
          <cell r="I1285">
            <v>13350092163</v>
          </cell>
        </row>
        <row r="1286">
          <cell r="C1286" t="str">
            <v>51382219990205694X</v>
          </cell>
          <cell r="D1286" t="str">
            <v>女</v>
          </cell>
          <cell r="E1286" t="str">
            <v>汉族</v>
          </cell>
          <cell r="F1286" t="str">
            <v>19990205</v>
          </cell>
          <cell r="G1286">
            <v>22</v>
          </cell>
          <cell r="H1286" t="str">
            <v>四川省仁寿县贵平镇中岗村10组</v>
          </cell>
          <cell r="I1286">
            <v>19113592589</v>
          </cell>
        </row>
        <row r="1287">
          <cell r="C1287" t="str">
            <v>51112119520904695X</v>
          </cell>
          <cell r="D1287" t="str">
            <v>男</v>
          </cell>
          <cell r="E1287" t="str">
            <v>汉族</v>
          </cell>
          <cell r="F1287" t="str">
            <v>19520904</v>
          </cell>
          <cell r="G1287">
            <v>69</v>
          </cell>
          <cell r="H1287" t="str">
            <v>四川省仁寿县贵平镇中岗村10组</v>
          </cell>
          <cell r="I1287">
            <v>18089523830</v>
          </cell>
        </row>
        <row r="1288">
          <cell r="C1288" t="str">
            <v>511121195501106948</v>
          </cell>
          <cell r="D1288" t="str">
            <v>女</v>
          </cell>
          <cell r="E1288" t="str">
            <v>汉族</v>
          </cell>
          <cell r="F1288" t="str">
            <v>19550110</v>
          </cell>
          <cell r="G1288">
            <v>66</v>
          </cell>
          <cell r="H1288" t="str">
            <v>四川省仁寿县贵平镇中岗村10组</v>
          </cell>
          <cell r="I1288">
            <v>13320952481</v>
          </cell>
        </row>
        <row r="1289">
          <cell r="C1289" t="str">
            <v>511121195109106951</v>
          </cell>
          <cell r="D1289" t="str">
            <v>男</v>
          </cell>
          <cell r="E1289" t="str">
            <v>汉族</v>
          </cell>
          <cell r="F1289" t="str">
            <v>19510910</v>
          </cell>
          <cell r="G1289">
            <v>70</v>
          </cell>
          <cell r="H1289" t="str">
            <v>四川省仁寿县贵平镇中岗村10组</v>
          </cell>
          <cell r="I1289">
            <v>15928029624</v>
          </cell>
        </row>
        <row r="1290">
          <cell r="C1290" t="str">
            <v>511121195205176968</v>
          </cell>
          <cell r="D1290" t="str">
            <v>女</v>
          </cell>
          <cell r="E1290" t="str">
            <v>汉族</v>
          </cell>
          <cell r="F1290" t="str">
            <v>19520517</v>
          </cell>
          <cell r="G1290">
            <v>69</v>
          </cell>
          <cell r="H1290" t="str">
            <v>四川省仁寿县贵平镇中岗村10组</v>
          </cell>
          <cell r="I1290">
            <v>18200266034</v>
          </cell>
        </row>
        <row r="1291">
          <cell r="C1291" t="str">
            <v>513822200305116751</v>
          </cell>
          <cell r="D1291" t="str">
            <v>男</v>
          </cell>
          <cell r="E1291" t="str">
            <v>汉族</v>
          </cell>
          <cell r="F1291" t="str">
            <v>20030511</v>
          </cell>
          <cell r="G1291">
            <v>18</v>
          </cell>
          <cell r="H1291" t="str">
            <v>四川省仁寿县贵平镇中岗村10组</v>
          </cell>
          <cell r="I1291">
            <v>18582462813</v>
          </cell>
        </row>
        <row r="1292">
          <cell r="C1292" t="str">
            <v>511121194708176949</v>
          </cell>
          <cell r="D1292" t="str">
            <v>女</v>
          </cell>
          <cell r="E1292" t="str">
            <v>汉族</v>
          </cell>
          <cell r="F1292" t="str">
            <v>19470817</v>
          </cell>
          <cell r="G1292">
            <v>74</v>
          </cell>
          <cell r="H1292" t="str">
            <v>四川省仁寿县贵平镇中岗村10组</v>
          </cell>
        </row>
        <row r="1293">
          <cell r="C1293" t="str">
            <v>511121197603246959</v>
          </cell>
          <cell r="D1293" t="str">
            <v>男</v>
          </cell>
          <cell r="E1293" t="str">
            <v>汉族</v>
          </cell>
          <cell r="F1293" t="str">
            <v>19760324</v>
          </cell>
          <cell r="G1293">
            <v>45</v>
          </cell>
          <cell r="H1293" t="str">
            <v>四川省仁寿县贵平镇中岗村10组</v>
          </cell>
          <cell r="I1293">
            <v>13980601906</v>
          </cell>
        </row>
        <row r="1294">
          <cell r="C1294" t="str">
            <v>511024196904066563</v>
          </cell>
          <cell r="D1294" t="str">
            <v>女</v>
          </cell>
          <cell r="E1294" t="str">
            <v>汉族</v>
          </cell>
          <cell r="F1294" t="str">
            <v>19690406</v>
          </cell>
          <cell r="G1294">
            <v>52</v>
          </cell>
          <cell r="H1294" t="str">
            <v>四川省仁寿县贵平镇中岗村10组</v>
          </cell>
        </row>
        <row r="1295">
          <cell r="C1295" t="str">
            <v>513822199911206946</v>
          </cell>
          <cell r="D1295" t="str">
            <v>女</v>
          </cell>
          <cell r="E1295" t="str">
            <v>汉族</v>
          </cell>
          <cell r="F1295" t="str">
            <v>19991120</v>
          </cell>
          <cell r="G1295">
            <v>22</v>
          </cell>
          <cell r="H1295" t="str">
            <v>四川省仁寿县贵平镇中岗村10组</v>
          </cell>
          <cell r="I1295">
            <v>15584415969</v>
          </cell>
        </row>
        <row r="1296">
          <cell r="C1296" t="str">
            <v>513822199911206807</v>
          </cell>
          <cell r="D1296" t="str">
            <v>女</v>
          </cell>
          <cell r="E1296" t="str">
            <v>汉族</v>
          </cell>
          <cell r="F1296" t="str">
            <v>19991120</v>
          </cell>
          <cell r="G1296">
            <v>22</v>
          </cell>
          <cell r="H1296" t="str">
            <v>四川省仁寿县贵平镇中岗村10组</v>
          </cell>
          <cell r="I1296">
            <v>13438467845</v>
          </cell>
        </row>
        <row r="1297">
          <cell r="C1297" t="str">
            <v>51112119410417693X</v>
          </cell>
          <cell r="D1297" t="str">
            <v>男</v>
          </cell>
          <cell r="E1297" t="str">
            <v>汉族</v>
          </cell>
          <cell r="F1297" t="str">
            <v>19410417</v>
          </cell>
          <cell r="G1297">
            <v>80</v>
          </cell>
          <cell r="H1297" t="str">
            <v>四川省仁寿县贵平镇中岗村10组</v>
          </cell>
          <cell r="I1297">
            <v>15283795365</v>
          </cell>
        </row>
        <row r="1298">
          <cell r="C1298" t="str">
            <v>511121197303016932</v>
          </cell>
          <cell r="D1298" t="str">
            <v>男</v>
          </cell>
          <cell r="E1298" t="str">
            <v>汉族</v>
          </cell>
          <cell r="F1298" t="str">
            <v>19730301</v>
          </cell>
          <cell r="G1298">
            <v>48</v>
          </cell>
          <cell r="H1298" t="str">
            <v>四川省仁寿县贵平镇中岗村10组</v>
          </cell>
          <cell r="I1298">
            <v>13548105655</v>
          </cell>
        </row>
        <row r="1299">
          <cell r="C1299" t="str">
            <v>511121197003136983</v>
          </cell>
          <cell r="D1299" t="str">
            <v>女</v>
          </cell>
          <cell r="E1299" t="str">
            <v>汉族</v>
          </cell>
          <cell r="F1299" t="str">
            <v>19700313</v>
          </cell>
          <cell r="G1299">
            <v>51</v>
          </cell>
          <cell r="H1299" t="str">
            <v>四川省仁寿县贵平镇中岗村10组</v>
          </cell>
        </row>
        <row r="1300">
          <cell r="C1300" t="str">
            <v>513822199204086930</v>
          </cell>
          <cell r="D1300" t="str">
            <v>男</v>
          </cell>
          <cell r="E1300" t="str">
            <v>汉族</v>
          </cell>
          <cell r="F1300" t="str">
            <v>19920408</v>
          </cell>
          <cell r="G1300">
            <v>29</v>
          </cell>
          <cell r="H1300" t="str">
            <v>四川省仁寿县贵平镇中岗村10组</v>
          </cell>
          <cell r="I1300">
            <v>13734908247</v>
          </cell>
        </row>
        <row r="1301">
          <cell r="C1301" t="str">
            <v>513822199008256947</v>
          </cell>
          <cell r="D1301" t="str">
            <v>女</v>
          </cell>
          <cell r="E1301" t="str">
            <v>汉族</v>
          </cell>
          <cell r="F1301" t="str">
            <v>19900825</v>
          </cell>
          <cell r="G1301">
            <v>31</v>
          </cell>
          <cell r="H1301" t="str">
            <v>四川省仁寿县贵平镇中岗村10组</v>
          </cell>
          <cell r="I1301">
            <v>15982022634</v>
          </cell>
        </row>
        <row r="1302">
          <cell r="C1302" t="str">
            <v>511421201809220020</v>
          </cell>
          <cell r="D1302" t="str">
            <v>女</v>
          </cell>
          <cell r="E1302" t="str">
            <v>汉族</v>
          </cell>
          <cell r="F1302" t="str">
            <v>20180922</v>
          </cell>
          <cell r="G1302">
            <v>3</v>
          </cell>
          <cell r="H1302" t="str">
            <v>四川省仁寿县贵平镇中岗村10组</v>
          </cell>
        </row>
        <row r="1303">
          <cell r="C1303" t="str">
            <v>511421202001230036</v>
          </cell>
          <cell r="D1303" t="str">
            <v>男</v>
          </cell>
          <cell r="E1303" t="str">
            <v>汉族</v>
          </cell>
          <cell r="F1303" t="str">
            <v>20200123</v>
          </cell>
          <cell r="G1303">
            <v>1</v>
          </cell>
          <cell r="H1303" t="str">
            <v>四川省仁寿县贵平镇中岗村10组</v>
          </cell>
        </row>
        <row r="1304">
          <cell r="C1304" t="str">
            <v>511421201909280039</v>
          </cell>
          <cell r="D1304" t="str">
            <v>男</v>
          </cell>
          <cell r="E1304" t="str">
            <v>汉族</v>
          </cell>
          <cell r="F1304" t="str">
            <v>20190928</v>
          </cell>
          <cell r="G1304">
            <v>2</v>
          </cell>
          <cell r="H1304" t="str">
            <v>四川省仁寿县贵平镇中岗村10组</v>
          </cell>
        </row>
        <row r="1305">
          <cell r="C1305" t="str">
            <v>511121196807056933</v>
          </cell>
          <cell r="D1305" t="str">
            <v>男</v>
          </cell>
          <cell r="E1305" t="str">
            <v>汉族</v>
          </cell>
          <cell r="F1305" t="str">
            <v>19680705</v>
          </cell>
          <cell r="G1305">
            <v>53</v>
          </cell>
          <cell r="H1305" t="str">
            <v>四川省仁寿县贵平镇中岗村10组</v>
          </cell>
          <cell r="I1305">
            <v>17085056261</v>
          </cell>
        </row>
        <row r="1306">
          <cell r="C1306" t="str">
            <v>511121196712066944</v>
          </cell>
          <cell r="D1306" t="str">
            <v>女</v>
          </cell>
          <cell r="E1306" t="str">
            <v>汉族</v>
          </cell>
          <cell r="F1306" t="str">
            <v>19671206</v>
          </cell>
          <cell r="G1306">
            <v>54</v>
          </cell>
          <cell r="H1306" t="str">
            <v>四川省仁寿县贵平镇中岗村10组</v>
          </cell>
          <cell r="I1306">
            <v>13551180542</v>
          </cell>
        </row>
        <row r="1307">
          <cell r="C1307" t="str">
            <v>513822199207136948</v>
          </cell>
          <cell r="D1307" t="str">
            <v>女</v>
          </cell>
          <cell r="E1307" t="str">
            <v>汉族</v>
          </cell>
          <cell r="F1307" t="str">
            <v>19920713</v>
          </cell>
          <cell r="G1307">
            <v>29</v>
          </cell>
          <cell r="H1307" t="str">
            <v>四川省仁寿县贵平镇中岗村10组</v>
          </cell>
          <cell r="I1307">
            <v>17737748781</v>
          </cell>
        </row>
        <row r="1308">
          <cell r="C1308" t="str">
            <v>511421201703170205</v>
          </cell>
          <cell r="D1308" t="str">
            <v>女</v>
          </cell>
          <cell r="E1308" t="str">
            <v>汉族</v>
          </cell>
          <cell r="F1308" t="str">
            <v>20170317</v>
          </cell>
          <cell r="G1308">
            <v>4</v>
          </cell>
          <cell r="H1308" t="str">
            <v>四川省仁寿县贵平镇中岗村10组</v>
          </cell>
        </row>
        <row r="1309">
          <cell r="C1309" t="str">
            <v>511421201810150197</v>
          </cell>
          <cell r="D1309" t="str">
            <v>男</v>
          </cell>
          <cell r="E1309" t="str">
            <v>汉族</v>
          </cell>
          <cell r="F1309" t="str">
            <v>20181015</v>
          </cell>
          <cell r="G1309">
            <v>3</v>
          </cell>
          <cell r="H1309" t="str">
            <v>四川省仁寿县贵平镇中岗村10组</v>
          </cell>
        </row>
        <row r="1310">
          <cell r="C1310" t="str">
            <v>511121197010186938</v>
          </cell>
          <cell r="D1310" t="str">
            <v>男</v>
          </cell>
          <cell r="E1310" t="str">
            <v>汉族</v>
          </cell>
          <cell r="F1310" t="str">
            <v>19701018</v>
          </cell>
          <cell r="G1310">
            <v>51</v>
          </cell>
          <cell r="H1310" t="str">
            <v>四川省仁寿县贵平镇中岗村10组</v>
          </cell>
          <cell r="I1310">
            <v>18328157981</v>
          </cell>
        </row>
        <row r="1311">
          <cell r="C1311" t="str">
            <v>511121197203246941</v>
          </cell>
          <cell r="D1311" t="str">
            <v>女</v>
          </cell>
          <cell r="E1311" t="str">
            <v>汉族</v>
          </cell>
          <cell r="F1311" t="str">
            <v>19720324</v>
          </cell>
          <cell r="G1311">
            <v>49</v>
          </cell>
          <cell r="H1311" t="str">
            <v>四川省仁寿县贵平镇中岗村10组</v>
          </cell>
          <cell r="I1311">
            <v>18228530812</v>
          </cell>
        </row>
        <row r="1312">
          <cell r="C1312" t="str">
            <v>513822199707156937</v>
          </cell>
          <cell r="D1312" t="str">
            <v>男</v>
          </cell>
          <cell r="E1312" t="str">
            <v>汉族</v>
          </cell>
          <cell r="F1312" t="str">
            <v>19970715</v>
          </cell>
          <cell r="G1312">
            <v>24</v>
          </cell>
          <cell r="H1312" t="str">
            <v>四川省仁寿县贵平镇中岗村10组</v>
          </cell>
          <cell r="I1312">
            <v>18728481598</v>
          </cell>
        </row>
        <row r="1313">
          <cell r="C1313" t="str">
            <v>511121194607046934</v>
          </cell>
          <cell r="D1313" t="str">
            <v>男</v>
          </cell>
          <cell r="E1313" t="str">
            <v>汉族</v>
          </cell>
          <cell r="F1313" t="str">
            <v>19460704</v>
          </cell>
          <cell r="G1313">
            <v>75</v>
          </cell>
          <cell r="H1313" t="str">
            <v>四川省仁寿县贵平镇中岗村10组</v>
          </cell>
          <cell r="I1313">
            <v>15050383234</v>
          </cell>
        </row>
        <row r="1314">
          <cell r="C1314" t="str">
            <v>511121197906186957</v>
          </cell>
          <cell r="D1314" t="str">
            <v>男</v>
          </cell>
          <cell r="E1314" t="str">
            <v>汉族</v>
          </cell>
          <cell r="F1314" t="str">
            <v>19790618</v>
          </cell>
          <cell r="G1314">
            <v>42</v>
          </cell>
          <cell r="H1314" t="str">
            <v>四川省仁寿县贵平镇中岗村10组</v>
          </cell>
          <cell r="I1314">
            <v>15050383234</v>
          </cell>
        </row>
        <row r="1315">
          <cell r="C1315" t="str">
            <v>511121197212256949</v>
          </cell>
          <cell r="D1315" t="str">
            <v>女</v>
          </cell>
          <cell r="E1315" t="str">
            <v>汉族</v>
          </cell>
          <cell r="F1315" t="str">
            <v>19721225</v>
          </cell>
          <cell r="G1315">
            <v>49</v>
          </cell>
          <cell r="H1315" t="str">
            <v>四川省仁寿县贵平镇中岗村10组</v>
          </cell>
        </row>
        <row r="1316">
          <cell r="C1316" t="str">
            <v>511121193710176943</v>
          </cell>
          <cell r="D1316" t="str">
            <v>女</v>
          </cell>
          <cell r="E1316" t="str">
            <v>汉族</v>
          </cell>
          <cell r="F1316" t="str">
            <v>19371017</v>
          </cell>
          <cell r="G1316">
            <v>84</v>
          </cell>
          <cell r="H1316" t="str">
            <v>四川省仁寿县贵平镇中岗村10组</v>
          </cell>
        </row>
        <row r="1317">
          <cell r="C1317" t="str">
            <v>511421201907010246</v>
          </cell>
          <cell r="D1317" t="str">
            <v>女</v>
          </cell>
          <cell r="E1317" t="str">
            <v>汉族</v>
          </cell>
          <cell r="F1317" t="str">
            <v>20190701</v>
          </cell>
          <cell r="G1317">
            <v>2</v>
          </cell>
          <cell r="H1317" t="str">
            <v>四川省仁寿县贵平镇中岗村10组</v>
          </cell>
        </row>
        <row r="1318">
          <cell r="C1318" t="str">
            <v>511121195709076936</v>
          </cell>
          <cell r="D1318" t="str">
            <v>男</v>
          </cell>
          <cell r="E1318" t="str">
            <v>汉族</v>
          </cell>
          <cell r="F1318" t="str">
            <v>19570907</v>
          </cell>
          <cell r="G1318">
            <v>64</v>
          </cell>
          <cell r="H1318" t="str">
            <v>四川省仁寿县贵平镇中岗村10组</v>
          </cell>
          <cell r="I1318">
            <v>17098336209</v>
          </cell>
        </row>
        <row r="1319">
          <cell r="C1319" t="str">
            <v>51112119560814694X</v>
          </cell>
          <cell r="D1319" t="str">
            <v>女</v>
          </cell>
          <cell r="E1319" t="str">
            <v>汉族</v>
          </cell>
          <cell r="F1319" t="str">
            <v>19560814</v>
          </cell>
          <cell r="G1319">
            <v>65</v>
          </cell>
          <cell r="H1319" t="str">
            <v>四川省仁寿县贵平镇中岗村10组</v>
          </cell>
          <cell r="I1319">
            <v>15108478966</v>
          </cell>
        </row>
        <row r="1320">
          <cell r="C1320" t="str">
            <v>511121195205176933</v>
          </cell>
          <cell r="D1320" t="str">
            <v>男</v>
          </cell>
          <cell r="E1320" t="str">
            <v>汉族</v>
          </cell>
          <cell r="F1320" t="str">
            <v>19520517</v>
          </cell>
          <cell r="G1320">
            <v>69</v>
          </cell>
          <cell r="H1320" t="str">
            <v>四川省仁寿县贵平镇中岗村10组</v>
          </cell>
          <cell r="I1320">
            <v>18113654114</v>
          </cell>
        </row>
        <row r="1321">
          <cell r="C1321" t="str">
            <v>511121195212206969</v>
          </cell>
          <cell r="D1321" t="str">
            <v>女</v>
          </cell>
          <cell r="E1321" t="str">
            <v>汉族</v>
          </cell>
          <cell r="F1321" t="str">
            <v>19521220</v>
          </cell>
          <cell r="G1321">
            <v>69</v>
          </cell>
          <cell r="H1321" t="str">
            <v>四川省仁寿县贵平镇中岗村10组</v>
          </cell>
          <cell r="I1321">
            <v>13398149532</v>
          </cell>
        </row>
        <row r="1322">
          <cell r="C1322" t="str">
            <v>511121197710246938</v>
          </cell>
          <cell r="D1322" t="str">
            <v>男</v>
          </cell>
          <cell r="E1322" t="str">
            <v>汉族</v>
          </cell>
          <cell r="F1322" t="str">
            <v>19771024</v>
          </cell>
          <cell r="G1322">
            <v>44</v>
          </cell>
          <cell r="H1322" t="str">
            <v>四川省仁寿县贵平镇中岗村10组</v>
          </cell>
          <cell r="I1322">
            <v>17708002072</v>
          </cell>
        </row>
        <row r="1323">
          <cell r="C1323" t="str">
            <v>511121197508017023</v>
          </cell>
          <cell r="D1323" t="str">
            <v>女</v>
          </cell>
          <cell r="E1323" t="str">
            <v>汉族</v>
          </cell>
          <cell r="F1323" t="str">
            <v>19750801</v>
          </cell>
          <cell r="G1323">
            <v>46</v>
          </cell>
          <cell r="H1323" t="str">
            <v>四川省仁寿县贵平镇中岗村10组</v>
          </cell>
          <cell r="I1323">
            <v>13423800024</v>
          </cell>
        </row>
        <row r="1324">
          <cell r="C1324" t="str">
            <v>51382220000519669X</v>
          </cell>
          <cell r="D1324" t="str">
            <v>男</v>
          </cell>
          <cell r="E1324" t="str">
            <v>汉族</v>
          </cell>
          <cell r="F1324" t="str">
            <v>20000519</v>
          </cell>
          <cell r="G1324">
            <v>21</v>
          </cell>
          <cell r="H1324" t="str">
            <v>四川省仁寿县贵平镇中岗村10组</v>
          </cell>
          <cell r="I1324">
            <v>15220200193</v>
          </cell>
        </row>
        <row r="1325">
          <cell r="C1325" t="str">
            <v>511121197706196931</v>
          </cell>
          <cell r="D1325" t="str">
            <v>男</v>
          </cell>
          <cell r="E1325" t="str">
            <v>汉族</v>
          </cell>
          <cell r="F1325" t="str">
            <v>19770619</v>
          </cell>
          <cell r="G1325">
            <v>44</v>
          </cell>
          <cell r="H1325" t="str">
            <v>四川省仁寿县贵平镇中岗村10组</v>
          </cell>
          <cell r="I1325">
            <v>13438454494</v>
          </cell>
        </row>
        <row r="1326">
          <cell r="C1326" t="str">
            <v>511421201504236873</v>
          </cell>
          <cell r="D1326" t="str">
            <v>男</v>
          </cell>
          <cell r="E1326" t="str">
            <v>汉族</v>
          </cell>
          <cell r="F1326" t="str">
            <v>20150423</v>
          </cell>
          <cell r="G1326">
            <v>6</v>
          </cell>
          <cell r="H1326" t="str">
            <v>四川省仁寿县贵平镇中岗村10组</v>
          </cell>
        </row>
        <row r="1327">
          <cell r="C1327" t="str">
            <v>511121196706156935</v>
          </cell>
          <cell r="D1327" t="str">
            <v>男</v>
          </cell>
          <cell r="E1327" t="str">
            <v>汉族</v>
          </cell>
          <cell r="F1327" t="str">
            <v>19670615</v>
          </cell>
          <cell r="G1327">
            <v>54</v>
          </cell>
          <cell r="H1327" t="str">
            <v>四川省仁寿县贵平镇中岗村10组</v>
          </cell>
          <cell r="I1327">
            <v>18381181398</v>
          </cell>
        </row>
        <row r="1328">
          <cell r="C1328" t="str">
            <v>513822199009026940</v>
          </cell>
          <cell r="D1328" t="str">
            <v>女</v>
          </cell>
          <cell r="E1328" t="str">
            <v>汉族</v>
          </cell>
          <cell r="F1328" t="str">
            <v>19900902</v>
          </cell>
          <cell r="G1328">
            <v>31</v>
          </cell>
          <cell r="H1328" t="str">
            <v>四川省仁寿县贵平镇中岗村10组</v>
          </cell>
          <cell r="I1328">
            <v>18981896211</v>
          </cell>
        </row>
        <row r="1329">
          <cell r="C1329" t="str">
            <v>511121193706296934</v>
          </cell>
          <cell r="D1329" t="str">
            <v>男</v>
          </cell>
          <cell r="E1329" t="str">
            <v>汉族</v>
          </cell>
          <cell r="F1329" t="str">
            <v>19370629</v>
          </cell>
          <cell r="G1329">
            <v>84</v>
          </cell>
          <cell r="H1329" t="str">
            <v>四川省仁寿县贵平镇中岗村10组</v>
          </cell>
          <cell r="I1329">
            <v>13714095882</v>
          </cell>
        </row>
        <row r="1330">
          <cell r="C1330" t="str">
            <v>511121193708216942</v>
          </cell>
          <cell r="D1330" t="str">
            <v>女</v>
          </cell>
          <cell r="E1330" t="str">
            <v>汉族</v>
          </cell>
          <cell r="F1330" t="str">
            <v>19370821</v>
          </cell>
          <cell r="G1330">
            <v>84</v>
          </cell>
          <cell r="H1330" t="str">
            <v>四川省仁寿县贵平镇中岗村10组</v>
          </cell>
        </row>
        <row r="1331">
          <cell r="C1331" t="str">
            <v>511121197112106951</v>
          </cell>
          <cell r="D1331" t="str">
            <v>男</v>
          </cell>
          <cell r="E1331" t="str">
            <v>汉族</v>
          </cell>
          <cell r="F1331" t="str">
            <v>19711210</v>
          </cell>
          <cell r="G1331">
            <v>50</v>
          </cell>
          <cell r="H1331" t="str">
            <v>四川省仁寿县贵平镇中岗村10组</v>
          </cell>
          <cell r="I1331">
            <v>13714095882</v>
          </cell>
        </row>
        <row r="1332">
          <cell r="C1332" t="str">
            <v>511121197107296949</v>
          </cell>
          <cell r="D1332" t="str">
            <v>女</v>
          </cell>
          <cell r="E1332" t="str">
            <v>汉族</v>
          </cell>
          <cell r="F1332" t="str">
            <v>19710729</v>
          </cell>
          <cell r="G1332">
            <v>50</v>
          </cell>
          <cell r="H1332" t="str">
            <v>四川省仁寿县贵平镇中岗村10组</v>
          </cell>
          <cell r="I1332">
            <v>13163713615</v>
          </cell>
        </row>
        <row r="1333">
          <cell r="C1333" t="str">
            <v>513822199510096934</v>
          </cell>
          <cell r="D1333" t="str">
            <v>男</v>
          </cell>
          <cell r="E1333" t="str">
            <v>汉族</v>
          </cell>
          <cell r="F1333" t="str">
            <v>19951009</v>
          </cell>
          <cell r="G1333">
            <v>26</v>
          </cell>
          <cell r="H1333" t="str">
            <v>四川省仁寿县贵平镇中岗村10组</v>
          </cell>
          <cell r="I1333">
            <v>18383118937</v>
          </cell>
        </row>
        <row r="1334">
          <cell r="C1334" t="str">
            <v>513822200001256704</v>
          </cell>
          <cell r="D1334" t="str">
            <v>女</v>
          </cell>
          <cell r="E1334" t="str">
            <v>汉族</v>
          </cell>
          <cell r="F1334" t="str">
            <v>20000125</v>
          </cell>
          <cell r="G1334">
            <v>21</v>
          </cell>
          <cell r="H1334" t="str">
            <v>四川省仁寿县贵平镇中岗村10组</v>
          </cell>
          <cell r="I1334">
            <v>18328138046</v>
          </cell>
        </row>
        <row r="1335">
          <cell r="C1335" t="str">
            <v>511121196609256934</v>
          </cell>
          <cell r="D1335" t="str">
            <v>男</v>
          </cell>
          <cell r="E1335" t="str">
            <v>汉族</v>
          </cell>
          <cell r="F1335" t="str">
            <v>19660925</v>
          </cell>
          <cell r="G1335">
            <v>55</v>
          </cell>
          <cell r="H1335" t="str">
            <v>四川省仁寿县贵平镇中岗村10组</v>
          </cell>
          <cell r="I1335">
            <v>13908959064</v>
          </cell>
        </row>
        <row r="1336">
          <cell r="C1336" t="str">
            <v>511121196407096944</v>
          </cell>
          <cell r="D1336" t="str">
            <v>女</v>
          </cell>
          <cell r="E1336" t="str">
            <v>汉族</v>
          </cell>
          <cell r="F1336" t="str">
            <v>19640709</v>
          </cell>
          <cell r="G1336">
            <v>57</v>
          </cell>
          <cell r="H1336" t="str">
            <v>四川省仁寿县贵平镇中岗村10组</v>
          </cell>
          <cell r="I1336">
            <v>15183335936</v>
          </cell>
        </row>
        <row r="1337">
          <cell r="C1337" t="str">
            <v>513822198812096943</v>
          </cell>
          <cell r="D1337" t="str">
            <v>女</v>
          </cell>
          <cell r="E1337" t="str">
            <v>汉族</v>
          </cell>
          <cell r="F1337" t="str">
            <v>19881209</v>
          </cell>
          <cell r="G1337">
            <v>33</v>
          </cell>
          <cell r="H1337" t="str">
            <v>四川省仁寿县贵平镇中岗村10组</v>
          </cell>
          <cell r="I1337">
            <v>13908959064</v>
          </cell>
        </row>
        <row r="1338">
          <cell r="C1338" t="str">
            <v>511121196604076934</v>
          </cell>
          <cell r="D1338" t="str">
            <v>男</v>
          </cell>
          <cell r="E1338" t="str">
            <v>汉族</v>
          </cell>
          <cell r="F1338" t="str">
            <v>19660407</v>
          </cell>
          <cell r="G1338">
            <v>55</v>
          </cell>
          <cell r="H1338" t="str">
            <v>四川省仁寿县贵平镇中岗村10组</v>
          </cell>
          <cell r="I1338">
            <v>13088385171</v>
          </cell>
        </row>
        <row r="1339">
          <cell r="C1339" t="str">
            <v>511121196512276963</v>
          </cell>
          <cell r="D1339" t="str">
            <v>女</v>
          </cell>
          <cell r="E1339" t="str">
            <v>汉族</v>
          </cell>
          <cell r="F1339" t="str">
            <v>19651227</v>
          </cell>
          <cell r="G1339">
            <v>56</v>
          </cell>
          <cell r="H1339" t="str">
            <v>四川省仁寿县贵平镇中岗村10组</v>
          </cell>
          <cell r="I1339">
            <v>18384776715</v>
          </cell>
        </row>
        <row r="1340">
          <cell r="C1340" t="str">
            <v>511121196410256937</v>
          </cell>
          <cell r="D1340" t="str">
            <v>男</v>
          </cell>
          <cell r="E1340" t="str">
            <v>汉族</v>
          </cell>
          <cell r="F1340" t="str">
            <v>19641025</v>
          </cell>
          <cell r="G1340">
            <v>57</v>
          </cell>
          <cell r="H1340" t="str">
            <v>四川省仁寿县贵平镇中岗村10组</v>
          </cell>
          <cell r="I1340">
            <v>13648053224</v>
          </cell>
        </row>
        <row r="1341">
          <cell r="C1341" t="str">
            <v>511121196501126900</v>
          </cell>
          <cell r="D1341" t="str">
            <v>女</v>
          </cell>
          <cell r="E1341" t="str">
            <v>汉族</v>
          </cell>
          <cell r="F1341" t="str">
            <v>19650112</v>
          </cell>
          <cell r="G1341">
            <v>56</v>
          </cell>
          <cell r="H1341" t="str">
            <v>四川省仁寿县贵平镇中岗村10组</v>
          </cell>
        </row>
        <row r="1342">
          <cell r="C1342" t="str">
            <v>511121196610036947</v>
          </cell>
          <cell r="D1342" t="str">
            <v>女</v>
          </cell>
          <cell r="E1342" t="str">
            <v>汉族</v>
          </cell>
          <cell r="F1342" t="str">
            <v>19661003</v>
          </cell>
          <cell r="G1342">
            <v>55</v>
          </cell>
          <cell r="H1342" t="str">
            <v>四川省仁寿县贵平镇中岗村10组</v>
          </cell>
          <cell r="I1342">
            <v>18728342177</v>
          </cell>
        </row>
        <row r="1343">
          <cell r="C1343" t="str">
            <v>511121194301286935</v>
          </cell>
          <cell r="D1343" t="str">
            <v>男</v>
          </cell>
          <cell r="E1343" t="str">
            <v>汉族</v>
          </cell>
          <cell r="F1343" t="str">
            <v>19430128</v>
          </cell>
          <cell r="G1343">
            <v>78</v>
          </cell>
          <cell r="H1343" t="str">
            <v>四川省仁寿县贵平镇中岗村10组</v>
          </cell>
        </row>
        <row r="1344">
          <cell r="C1344" t="str">
            <v>511121194502186949</v>
          </cell>
          <cell r="D1344" t="str">
            <v>女</v>
          </cell>
          <cell r="E1344" t="str">
            <v>汉族</v>
          </cell>
          <cell r="F1344" t="str">
            <v>19450218</v>
          </cell>
          <cell r="G1344">
            <v>76</v>
          </cell>
          <cell r="H1344" t="str">
            <v>四川省仁寿县贵平镇中岗村10组</v>
          </cell>
          <cell r="I1344">
            <v>17341975183</v>
          </cell>
        </row>
        <row r="1345">
          <cell r="C1345" t="str">
            <v>513822198712266933</v>
          </cell>
          <cell r="D1345" t="str">
            <v>男</v>
          </cell>
          <cell r="E1345" t="str">
            <v>汉族</v>
          </cell>
          <cell r="F1345" t="str">
            <v>19871226</v>
          </cell>
          <cell r="G1345">
            <v>34</v>
          </cell>
          <cell r="H1345" t="str">
            <v>四川省仁寿县贵平镇中岗村10组</v>
          </cell>
          <cell r="I1345">
            <v>19828378470</v>
          </cell>
        </row>
        <row r="1346">
          <cell r="C1346" t="str">
            <v>511121196307186934</v>
          </cell>
          <cell r="D1346" t="str">
            <v>男</v>
          </cell>
          <cell r="E1346" t="str">
            <v>汉族</v>
          </cell>
          <cell r="F1346" t="str">
            <v>19630718</v>
          </cell>
          <cell r="G1346">
            <v>58</v>
          </cell>
          <cell r="H1346" t="str">
            <v>四川省仁寿县贵平镇中岗村10组</v>
          </cell>
          <cell r="I1346">
            <v>13550531168</v>
          </cell>
        </row>
        <row r="1347">
          <cell r="C1347" t="str">
            <v>511121196303076965</v>
          </cell>
          <cell r="D1347" t="str">
            <v>女</v>
          </cell>
          <cell r="E1347" t="str">
            <v>汉族</v>
          </cell>
          <cell r="F1347" t="str">
            <v>19630307</v>
          </cell>
          <cell r="G1347">
            <v>58</v>
          </cell>
          <cell r="H1347" t="str">
            <v>四川省仁寿县贵平镇中岗村10组</v>
          </cell>
          <cell r="I1347">
            <v>18227817400</v>
          </cell>
        </row>
        <row r="1348">
          <cell r="C1348" t="str">
            <v>513822199107156933</v>
          </cell>
          <cell r="D1348" t="str">
            <v>男</v>
          </cell>
          <cell r="E1348" t="str">
            <v>汉族</v>
          </cell>
          <cell r="F1348" t="str">
            <v>19910715</v>
          </cell>
          <cell r="G1348">
            <v>30</v>
          </cell>
          <cell r="H1348" t="str">
            <v>四川省仁寿县贵平镇中岗村10组</v>
          </cell>
          <cell r="I1348">
            <v>17319330501</v>
          </cell>
        </row>
        <row r="1349">
          <cell r="C1349" t="str">
            <v>511121196904206999</v>
          </cell>
          <cell r="D1349" t="str">
            <v>男</v>
          </cell>
          <cell r="E1349" t="str">
            <v>汉族</v>
          </cell>
          <cell r="F1349" t="str">
            <v>19690420</v>
          </cell>
          <cell r="G1349">
            <v>52</v>
          </cell>
          <cell r="H1349" t="str">
            <v>四川省仁寿县贵平镇中岗村10组</v>
          </cell>
          <cell r="I1349">
            <v>18381431599</v>
          </cell>
        </row>
        <row r="1350">
          <cell r="C1350" t="str">
            <v>511121197401086942</v>
          </cell>
          <cell r="D1350" t="str">
            <v>女</v>
          </cell>
          <cell r="E1350" t="str">
            <v>汉族</v>
          </cell>
          <cell r="F1350" t="str">
            <v>19740108</v>
          </cell>
          <cell r="G1350">
            <v>47</v>
          </cell>
          <cell r="H1350" t="str">
            <v>四川省仁寿县贵平镇中岗村10组</v>
          </cell>
        </row>
        <row r="1351">
          <cell r="C1351" t="str">
            <v>513822200208126798</v>
          </cell>
          <cell r="D1351" t="str">
            <v>男</v>
          </cell>
          <cell r="E1351" t="str">
            <v>汉族</v>
          </cell>
          <cell r="F1351" t="str">
            <v>20020812</v>
          </cell>
          <cell r="G1351">
            <v>19</v>
          </cell>
          <cell r="H1351" t="str">
            <v>四川省仁寿县贵平镇中岗村10组</v>
          </cell>
        </row>
        <row r="1352">
          <cell r="C1352" t="str">
            <v>511121194704066945</v>
          </cell>
          <cell r="D1352" t="str">
            <v>女</v>
          </cell>
          <cell r="E1352" t="str">
            <v>汉族</v>
          </cell>
          <cell r="F1352" t="str">
            <v>19470406</v>
          </cell>
          <cell r="G1352">
            <v>74</v>
          </cell>
          <cell r="H1352" t="str">
            <v>四川省仁寿县贵平镇中岗村10组</v>
          </cell>
          <cell r="I1352">
            <v>18089505814</v>
          </cell>
        </row>
        <row r="1353">
          <cell r="C1353" t="str">
            <v>513822199412206933</v>
          </cell>
          <cell r="D1353" t="str">
            <v>男</v>
          </cell>
          <cell r="E1353" t="str">
            <v>汉族</v>
          </cell>
          <cell r="F1353" t="str">
            <v>19941220</v>
          </cell>
          <cell r="G1353">
            <v>27</v>
          </cell>
          <cell r="H1353" t="str">
            <v>四川省仁寿县贵平镇中岗村10组</v>
          </cell>
          <cell r="I1353">
            <v>18328138046</v>
          </cell>
        </row>
        <row r="1354">
          <cell r="C1354" t="str">
            <v>511121196807206938</v>
          </cell>
          <cell r="D1354" t="str">
            <v>男</v>
          </cell>
          <cell r="E1354" t="str">
            <v>汉族</v>
          </cell>
          <cell r="F1354" t="str">
            <v>19680720</v>
          </cell>
          <cell r="G1354">
            <v>53</v>
          </cell>
          <cell r="H1354" t="str">
            <v>四川省仁寿县贵平镇中岗村10组</v>
          </cell>
          <cell r="I1354">
            <v>13540281371</v>
          </cell>
        </row>
        <row r="1355">
          <cell r="C1355" t="str">
            <v>51112119661104894X</v>
          </cell>
          <cell r="D1355" t="str">
            <v>女</v>
          </cell>
          <cell r="E1355" t="str">
            <v>汉族</v>
          </cell>
          <cell r="F1355" t="str">
            <v>19661104</v>
          </cell>
          <cell r="G1355">
            <v>55</v>
          </cell>
          <cell r="H1355" t="str">
            <v>四川省仁寿县贵平镇中岗村10组</v>
          </cell>
        </row>
        <row r="1356">
          <cell r="C1356" t="str">
            <v>513822200103206695</v>
          </cell>
          <cell r="D1356" t="str">
            <v>男</v>
          </cell>
          <cell r="E1356" t="str">
            <v>汉族</v>
          </cell>
          <cell r="F1356" t="str">
            <v>20010320</v>
          </cell>
          <cell r="G1356">
            <v>20</v>
          </cell>
          <cell r="H1356" t="str">
            <v>四川省仁寿县贵平镇中岗村10组</v>
          </cell>
          <cell r="I1356">
            <v>17628023304</v>
          </cell>
        </row>
        <row r="1357">
          <cell r="C1357" t="str">
            <v>513822199008186942</v>
          </cell>
          <cell r="D1357" t="str">
            <v>女</v>
          </cell>
          <cell r="E1357" t="str">
            <v>汉族</v>
          </cell>
          <cell r="F1357" t="str">
            <v>19900818</v>
          </cell>
          <cell r="G1357">
            <v>31</v>
          </cell>
          <cell r="H1357" t="str">
            <v>四川省仁寿县贵平镇中岗村10组</v>
          </cell>
          <cell r="I1357">
            <v>18308056915</v>
          </cell>
        </row>
        <row r="1358">
          <cell r="C1358" t="str">
            <v>513822198301126936</v>
          </cell>
          <cell r="D1358" t="str">
            <v>男</v>
          </cell>
          <cell r="E1358" t="str">
            <v>汉族</v>
          </cell>
          <cell r="F1358" t="str">
            <v>19830112</v>
          </cell>
          <cell r="G1358">
            <v>38</v>
          </cell>
          <cell r="H1358" t="str">
            <v>四川省仁寿县贵平镇中岗村10组</v>
          </cell>
          <cell r="I1358">
            <v>13548245090</v>
          </cell>
        </row>
        <row r="1359">
          <cell r="C1359" t="str">
            <v>511121195910016943</v>
          </cell>
          <cell r="D1359" t="str">
            <v>女</v>
          </cell>
          <cell r="E1359" t="str">
            <v>汉族</v>
          </cell>
          <cell r="F1359" t="str">
            <v>19591001</v>
          </cell>
          <cell r="G1359">
            <v>62</v>
          </cell>
          <cell r="H1359" t="str">
            <v>四川省仁寿县贵平镇中岗村10组</v>
          </cell>
          <cell r="I1359">
            <v>15892704401</v>
          </cell>
        </row>
        <row r="1360">
          <cell r="C1360" t="str">
            <v>511121194812296932</v>
          </cell>
          <cell r="D1360" t="str">
            <v>男</v>
          </cell>
          <cell r="E1360" t="str">
            <v>汉族</v>
          </cell>
          <cell r="F1360" t="str">
            <v>19481229</v>
          </cell>
          <cell r="G1360">
            <v>73</v>
          </cell>
          <cell r="H1360" t="str">
            <v>四川省仁寿县贵平镇中岗村10组</v>
          </cell>
          <cell r="I1360">
            <v>17380943642</v>
          </cell>
        </row>
        <row r="1361">
          <cell r="C1361" t="str">
            <v>511121194811116944</v>
          </cell>
          <cell r="D1361" t="str">
            <v>女</v>
          </cell>
          <cell r="E1361" t="str">
            <v>汉族</v>
          </cell>
          <cell r="F1361" t="str">
            <v>19481111</v>
          </cell>
          <cell r="G1361">
            <v>73</v>
          </cell>
          <cell r="H1361" t="str">
            <v>四川省仁寿县贵平镇中岗村10组</v>
          </cell>
        </row>
        <row r="1362">
          <cell r="C1362" t="str">
            <v>511121197109266938</v>
          </cell>
          <cell r="D1362" t="str">
            <v>男</v>
          </cell>
          <cell r="E1362" t="str">
            <v>汉族</v>
          </cell>
          <cell r="F1362" t="str">
            <v>19710926</v>
          </cell>
          <cell r="G1362">
            <v>50</v>
          </cell>
          <cell r="H1362" t="str">
            <v>四川省仁寿县贵平镇中岗村10组</v>
          </cell>
          <cell r="I1362">
            <v>13575460291</v>
          </cell>
        </row>
        <row r="1363">
          <cell r="C1363" t="str">
            <v>511121197101116943</v>
          </cell>
          <cell r="D1363" t="str">
            <v>女</v>
          </cell>
          <cell r="E1363" t="str">
            <v>汉族</v>
          </cell>
          <cell r="F1363" t="str">
            <v>19710111</v>
          </cell>
          <cell r="G1363">
            <v>50</v>
          </cell>
          <cell r="H1363" t="str">
            <v>四川省仁寿县贵平镇中岗村10组</v>
          </cell>
          <cell r="I1363">
            <v>15868447603</v>
          </cell>
        </row>
        <row r="1364">
          <cell r="C1364" t="str">
            <v>511121195507026930</v>
          </cell>
          <cell r="D1364" t="str">
            <v>男</v>
          </cell>
          <cell r="E1364" t="str">
            <v>汉族</v>
          </cell>
          <cell r="F1364" t="str">
            <v>19550702</v>
          </cell>
          <cell r="G1364">
            <v>66</v>
          </cell>
          <cell r="H1364" t="str">
            <v>四川省仁寿县贵平镇中岗村10组</v>
          </cell>
          <cell r="I1364">
            <v>18010501516</v>
          </cell>
        </row>
        <row r="1365">
          <cell r="C1365" t="str">
            <v>511121198103126963</v>
          </cell>
          <cell r="D1365" t="str">
            <v>女</v>
          </cell>
          <cell r="E1365" t="str">
            <v>汉族</v>
          </cell>
          <cell r="F1365" t="str">
            <v>19810312</v>
          </cell>
          <cell r="G1365">
            <v>40</v>
          </cell>
          <cell r="H1365" t="str">
            <v>四川省仁寿县贵平镇中岗村10组</v>
          </cell>
          <cell r="I1365">
            <v>18080926671</v>
          </cell>
        </row>
        <row r="1366">
          <cell r="C1366" t="str">
            <v>511121194609126938</v>
          </cell>
          <cell r="D1366" t="str">
            <v>男</v>
          </cell>
          <cell r="E1366" t="str">
            <v>汉族</v>
          </cell>
          <cell r="F1366" t="str">
            <v>19460912</v>
          </cell>
          <cell r="G1366">
            <v>75</v>
          </cell>
          <cell r="H1366" t="str">
            <v>四川省仁寿县贵平镇中岗村10组</v>
          </cell>
          <cell r="I1366">
            <v>13550505638</v>
          </cell>
        </row>
        <row r="1367">
          <cell r="C1367" t="str">
            <v>511121195001056948</v>
          </cell>
          <cell r="D1367" t="str">
            <v>女</v>
          </cell>
          <cell r="E1367" t="str">
            <v>汉族</v>
          </cell>
          <cell r="F1367" t="str">
            <v>19500105</v>
          </cell>
          <cell r="G1367">
            <v>71</v>
          </cell>
          <cell r="H1367" t="str">
            <v>四川省仁寿县贵平镇中岗村10组</v>
          </cell>
          <cell r="I1367">
            <v>17381762871</v>
          </cell>
        </row>
        <row r="1368">
          <cell r="C1368" t="str">
            <v>511121193602046930</v>
          </cell>
          <cell r="D1368" t="str">
            <v>男</v>
          </cell>
          <cell r="E1368" t="str">
            <v>汉族</v>
          </cell>
          <cell r="F1368" t="str">
            <v>19360204</v>
          </cell>
          <cell r="G1368">
            <v>85</v>
          </cell>
          <cell r="H1368" t="str">
            <v>四川省仁寿县贵平镇中岗村10组</v>
          </cell>
        </row>
        <row r="1369">
          <cell r="C1369" t="str">
            <v>511121197510286978</v>
          </cell>
          <cell r="D1369" t="str">
            <v>男</v>
          </cell>
          <cell r="E1369" t="str">
            <v>汉族</v>
          </cell>
          <cell r="F1369" t="str">
            <v>19751028</v>
          </cell>
          <cell r="G1369">
            <v>46</v>
          </cell>
          <cell r="H1369" t="str">
            <v>四川省仁寿县贵平镇中岗村10组</v>
          </cell>
          <cell r="I1369">
            <v>18922512825</v>
          </cell>
        </row>
        <row r="1370">
          <cell r="C1370" t="str">
            <v>511121195309286934</v>
          </cell>
          <cell r="D1370" t="str">
            <v>男</v>
          </cell>
          <cell r="E1370" t="str">
            <v>汉族</v>
          </cell>
          <cell r="F1370" t="str">
            <v>19530928</v>
          </cell>
          <cell r="G1370">
            <v>68</v>
          </cell>
          <cell r="H1370" t="str">
            <v>四川省仁寿县贵平镇中岗村10组</v>
          </cell>
          <cell r="I1370">
            <v>18583879513</v>
          </cell>
        </row>
        <row r="1371">
          <cell r="C1371" t="str">
            <v>511121195311016941</v>
          </cell>
          <cell r="D1371" t="str">
            <v>女</v>
          </cell>
          <cell r="E1371" t="str">
            <v>汉族</v>
          </cell>
          <cell r="F1371" t="str">
            <v>19531101</v>
          </cell>
          <cell r="G1371">
            <v>68</v>
          </cell>
          <cell r="H1371" t="str">
            <v>四川省仁寿县贵平镇中岗村10组</v>
          </cell>
        </row>
        <row r="1372">
          <cell r="C1372" t="str">
            <v>511121194211046946</v>
          </cell>
          <cell r="D1372" t="str">
            <v>女</v>
          </cell>
          <cell r="E1372" t="str">
            <v>汉族</v>
          </cell>
          <cell r="F1372" t="str">
            <v>19421104</v>
          </cell>
          <cell r="G1372">
            <v>79</v>
          </cell>
          <cell r="H1372" t="str">
            <v>四川省仁寿县贵平镇中岗村10组</v>
          </cell>
        </row>
        <row r="1373">
          <cell r="C1373" t="str">
            <v>511121197404206970</v>
          </cell>
          <cell r="D1373" t="str">
            <v>男</v>
          </cell>
          <cell r="E1373" t="str">
            <v>汉族</v>
          </cell>
          <cell r="F1373" t="str">
            <v>19740420</v>
          </cell>
          <cell r="G1373">
            <v>47</v>
          </cell>
          <cell r="H1373" t="str">
            <v>四川省仁寿县贵平镇中岗村10组</v>
          </cell>
          <cell r="I1373">
            <v>18688391098</v>
          </cell>
        </row>
        <row r="1374">
          <cell r="C1374" t="str">
            <v>511121194201166952</v>
          </cell>
          <cell r="D1374" t="str">
            <v>男</v>
          </cell>
          <cell r="E1374" t="str">
            <v>汉族</v>
          </cell>
          <cell r="F1374" t="str">
            <v>19420116</v>
          </cell>
          <cell r="G1374">
            <v>79</v>
          </cell>
          <cell r="H1374" t="str">
            <v>四川省仁寿县贵平镇中岗村10组</v>
          </cell>
        </row>
        <row r="1375">
          <cell r="C1375" t="str">
            <v>511121196604046954</v>
          </cell>
          <cell r="D1375" t="str">
            <v>男</v>
          </cell>
          <cell r="E1375" t="str">
            <v>汉族</v>
          </cell>
          <cell r="F1375" t="str">
            <v>19660404</v>
          </cell>
          <cell r="G1375">
            <v>55</v>
          </cell>
          <cell r="H1375" t="str">
            <v>四川省仁寿县贵平镇中岗村10组</v>
          </cell>
          <cell r="I1375">
            <v>13548241556</v>
          </cell>
        </row>
        <row r="1376">
          <cell r="C1376" t="str">
            <v>511121196911206946</v>
          </cell>
          <cell r="D1376" t="str">
            <v>女</v>
          </cell>
          <cell r="E1376" t="str">
            <v>汉族</v>
          </cell>
          <cell r="F1376" t="str">
            <v>19691120</v>
          </cell>
          <cell r="G1376">
            <v>52</v>
          </cell>
          <cell r="H1376" t="str">
            <v>四川省仁寿县贵平镇中岗村10组</v>
          </cell>
          <cell r="I1376">
            <v>13548241556</v>
          </cell>
        </row>
        <row r="1377">
          <cell r="C1377" t="str">
            <v>513822199201056701</v>
          </cell>
          <cell r="D1377" t="str">
            <v>女</v>
          </cell>
          <cell r="E1377" t="str">
            <v>汉族</v>
          </cell>
          <cell r="F1377" t="str">
            <v>19920105</v>
          </cell>
          <cell r="G1377">
            <v>29</v>
          </cell>
          <cell r="H1377" t="str">
            <v>四川省仁寿县贵平镇中岗村10组</v>
          </cell>
          <cell r="I1377">
            <v>13689009426</v>
          </cell>
        </row>
        <row r="1378">
          <cell r="C1378" t="str">
            <v>513822199311156711</v>
          </cell>
          <cell r="D1378" t="str">
            <v>男</v>
          </cell>
          <cell r="E1378" t="str">
            <v>汉族</v>
          </cell>
          <cell r="F1378" t="str">
            <v>19931115</v>
          </cell>
          <cell r="G1378">
            <v>28</v>
          </cell>
          <cell r="H1378" t="str">
            <v>四川省仁寿县贵平镇中岗村10组</v>
          </cell>
          <cell r="I1378">
            <v>15882284408</v>
          </cell>
        </row>
        <row r="1379">
          <cell r="C1379" t="str">
            <v>511421202002040058</v>
          </cell>
          <cell r="D1379" t="str">
            <v>男</v>
          </cell>
          <cell r="E1379" t="str">
            <v>汉族</v>
          </cell>
          <cell r="F1379" t="str">
            <v>20200204</v>
          </cell>
          <cell r="G1379">
            <v>1</v>
          </cell>
          <cell r="H1379" t="str">
            <v>四川省仁寿县贵平镇中岗村10组</v>
          </cell>
        </row>
        <row r="1380">
          <cell r="C1380" t="str">
            <v>511421202010040015</v>
          </cell>
          <cell r="D1380" t="str">
            <v>男</v>
          </cell>
          <cell r="E1380" t="str">
            <v>汉族</v>
          </cell>
          <cell r="F1380" t="str">
            <v>20201004</v>
          </cell>
          <cell r="G1380">
            <v>1</v>
          </cell>
          <cell r="H1380" t="str">
            <v>四川省仁寿县贵平镇中岗村10组</v>
          </cell>
        </row>
        <row r="1381">
          <cell r="C1381" t="str">
            <v>511121198212306947</v>
          </cell>
          <cell r="D1381" t="str">
            <v>女</v>
          </cell>
          <cell r="E1381" t="str">
            <v>汉族</v>
          </cell>
          <cell r="F1381" t="str">
            <v>19821230</v>
          </cell>
          <cell r="G1381">
            <v>39</v>
          </cell>
          <cell r="H1381" t="str">
            <v>四川省仁寿县贵平镇中岗村10组</v>
          </cell>
          <cell r="I1381">
            <v>13540625655</v>
          </cell>
        </row>
        <row r="1382">
          <cell r="C1382" t="str">
            <v>513822198812116940</v>
          </cell>
          <cell r="D1382" t="str">
            <v>女</v>
          </cell>
          <cell r="E1382" t="str">
            <v>汉族</v>
          </cell>
          <cell r="F1382" t="str">
            <v>19881211</v>
          </cell>
          <cell r="G1382">
            <v>33</v>
          </cell>
          <cell r="H1382" t="str">
            <v>四川省仁寿县贵平镇中岗村10组</v>
          </cell>
          <cell r="I1382">
            <v>15005972273</v>
          </cell>
        </row>
        <row r="1383">
          <cell r="C1383" t="str">
            <v>511421201706160264</v>
          </cell>
          <cell r="D1383" t="str">
            <v>女</v>
          </cell>
          <cell r="E1383" t="str">
            <v>汉族</v>
          </cell>
          <cell r="F1383" t="str">
            <v>20170616</v>
          </cell>
          <cell r="G1383">
            <v>4</v>
          </cell>
          <cell r="H1383" t="str">
            <v>四川省仁寿县贵平镇中岗村10组</v>
          </cell>
        </row>
        <row r="1384">
          <cell r="C1384" t="str">
            <v>511421201611180377</v>
          </cell>
          <cell r="D1384" t="str">
            <v>男</v>
          </cell>
          <cell r="E1384" t="str">
            <v>汉族</v>
          </cell>
          <cell r="F1384" t="str">
            <v>20161118</v>
          </cell>
          <cell r="G1384">
            <v>5</v>
          </cell>
          <cell r="H1384" t="str">
            <v>四川省仁寿县贵平镇中岗村10组</v>
          </cell>
        </row>
        <row r="1385">
          <cell r="C1385" t="str">
            <v>511121195110046933</v>
          </cell>
          <cell r="D1385" t="str">
            <v>男</v>
          </cell>
          <cell r="E1385" t="str">
            <v>汉族</v>
          </cell>
          <cell r="F1385" t="str">
            <v>19511004</v>
          </cell>
          <cell r="G1385">
            <v>70</v>
          </cell>
          <cell r="H1385" t="str">
            <v>四川省仁寿县贵平镇中岗村10组</v>
          </cell>
          <cell r="I1385">
            <v>13689088021</v>
          </cell>
        </row>
        <row r="1386">
          <cell r="C1386" t="str">
            <v>511121195105216942</v>
          </cell>
          <cell r="D1386" t="str">
            <v>女</v>
          </cell>
          <cell r="E1386" t="str">
            <v>汉族</v>
          </cell>
          <cell r="F1386" t="str">
            <v>19510521</v>
          </cell>
          <cell r="G1386">
            <v>70</v>
          </cell>
          <cell r="H1386" t="str">
            <v>四川省仁寿县贵平镇中岗村10组</v>
          </cell>
        </row>
        <row r="1387">
          <cell r="C1387" t="str">
            <v>51112119530208693X</v>
          </cell>
          <cell r="D1387" t="str">
            <v>男</v>
          </cell>
          <cell r="E1387" t="str">
            <v>汉族</v>
          </cell>
          <cell r="F1387" t="str">
            <v>19530208</v>
          </cell>
          <cell r="G1387">
            <v>68</v>
          </cell>
          <cell r="H1387" t="str">
            <v>四川省仁寿县贵平镇中岗村10组</v>
          </cell>
          <cell r="I1387">
            <v>13105209068</v>
          </cell>
        </row>
        <row r="1388">
          <cell r="C1388" t="str">
            <v>511121195409046946</v>
          </cell>
          <cell r="D1388" t="str">
            <v>女</v>
          </cell>
          <cell r="E1388" t="str">
            <v>汉族</v>
          </cell>
          <cell r="F1388" t="str">
            <v>19540904</v>
          </cell>
          <cell r="G1388">
            <v>67</v>
          </cell>
          <cell r="H1388" t="str">
            <v>四川省仁寿县贵平镇中岗村10组</v>
          </cell>
          <cell r="I1388">
            <v>15378621060</v>
          </cell>
        </row>
        <row r="1389">
          <cell r="C1389" t="str">
            <v>511121197111126934</v>
          </cell>
          <cell r="D1389" t="str">
            <v>男</v>
          </cell>
          <cell r="E1389" t="str">
            <v>汉族</v>
          </cell>
          <cell r="F1389" t="str">
            <v>19711112</v>
          </cell>
          <cell r="G1389">
            <v>50</v>
          </cell>
          <cell r="H1389" t="str">
            <v>四川省仁寿县贵平镇中岗村10组</v>
          </cell>
        </row>
        <row r="1390">
          <cell r="C1390" t="str">
            <v>511121196204206955</v>
          </cell>
          <cell r="D1390" t="str">
            <v>男</v>
          </cell>
          <cell r="E1390" t="str">
            <v>汉族</v>
          </cell>
          <cell r="F1390" t="str">
            <v>19620420</v>
          </cell>
          <cell r="G1390">
            <v>59</v>
          </cell>
          <cell r="H1390" t="str">
            <v>四川省仁寿县贵平镇中岗村10组</v>
          </cell>
          <cell r="I1390">
            <v>17780707147</v>
          </cell>
        </row>
        <row r="1391">
          <cell r="C1391" t="str">
            <v>511121196308126968</v>
          </cell>
          <cell r="D1391" t="str">
            <v>女</v>
          </cell>
          <cell r="E1391" t="str">
            <v>汉族</v>
          </cell>
          <cell r="F1391" t="str">
            <v>19630812</v>
          </cell>
          <cell r="G1391">
            <v>58</v>
          </cell>
          <cell r="H1391" t="str">
            <v>四川省仁寿县贵平镇中岗村10组</v>
          </cell>
          <cell r="I1391">
            <v>17828072834</v>
          </cell>
        </row>
        <row r="1392">
          <cell r="C1392" t="str">
            <v>513822198608106956</v>
          </cell>
          <cell r="D1392" t="str">
            <v>男</v>
          </cell>
          <cell r="E1392" t="str">
            <v>汉族</v>
          </cell>
          <cell r="F1392" t="str">
            <v>19860810</v>
          </cell>
          <cell r="G1392">
            <v>35</v>
          </cell>
          <cell r="H1392" t="str">
            <v>四川省仁寿县贵平镇中岗村10组</v>
          </cell>
          <cell r="I1392">
            <v>17708076059</v>
          </cell>
        </row>
        <row r="1393">
          <cell r="C1393" t="str">
            <v>513822198804196960</v>
          </cell>
          <cell r="D1393" t="str">
            <v>女</v>
          </cell>
          <cell r="E1393" t="str">
            <v>汉族</v>
          </cell>
          <cell r="F1393" t="str">
            <v>19880419</v>
          </cell>
          <cell r="G1393">
            <v>33</v>
          </cell>
          <cell r="H1393" t="str">
            <v>四川省仁寿县贵平镇中岗村10组</v>
          </cell>
          <cell r="I1393">
            <v>15005972273</v>
          </cell>
        </row>
        <row r="1394">
          <cell r="C1394" t="str">
            <v>511421201608036884</v>
          </cell>
          <cell r="D1394" t="str">
            <v>女</v>
          </cell>
          <cell r="E1394" t="str">
            <v>汉族</v>
          </cell>
          <cell r="F1394" t="str">
            <v>20160803</v>
          </cell>
          <cell r="G1394">
            <v>5</v>
          </cell>
          <cell r="H1394" t="str">
            <v>四川省仁寿县贵平镇中岗村10组</v>
          </cell>
        </row>
        <row r="1395">
          <cell r="C1395" t="str">
            <v>51142120150705686X</v>
          </cell>
          <cell r="D1395" t="str">
            <v>女</v>
          </cell>
          <cell r="E1395" t="str">
            <v>汉族</v>
          </cell>
          <cell r="F1395" t="str">
            <v>20150705</v>
          </cell>
          <cell r="G1395">
            <v>6</v>
          </cell>
          <cell r="H1395" t="str">
            <v>四川省仁寿县贵平镇中岗村10组</v>
          </cell>
        </row>
        <row r="1396">
          <cell r="C1396" t="str">
            <v>511121197804216932</v>
          </cell>
          <cell r="D1396" t="str">
            <v>男</v>
          </cell>
          <cell r="E1396" t="str">
            <v>汉族</v>
          </cell>
          <cell r="F1396" t="str">
            <v>19780421</v>
          </cell>
          <cell r="G1396">
            <v>43</v>
          </cell>
          <cell r="H1396" t="str">
            <v>四川省仁寿县贵平镇中岗村10组</v>
          </cell>
          <cell r="I1396">
            <v>18227818266</v>
          </cell>
        </row>
        <row r="1397">
          <cell r="C1397" t="str">
            <v>511121198005166865</v>
          </cell>
          <cell r="D1397" t="str">
            <v>女</v>
          </cell>
          <cell r="E1397" t="str">
            <v>汉族</v>
          </cell>
          <cell r="F1397" t="str">
            <v>19800516</v>
          </cell>
          <cell r="G1397">
            <v>41</v>
          </cell>
          <cell r="H1397" t="str">
            <v>四川省仁寿县贵平镇中岗村10组</v>
          </cell>
        </row>
        <row r="1398">
          <cell r="C1398" t="str">
            <v>513822200104136756</v>
          </cell>
          <cell r="D1398" t="str">
            <v>男</v>
          </cell>
          <cell r="E1398" t="str">
            <v>汉族</v>
          </cell>
          <cell r="F1398" t="str">
            <v>20010413</v>
          </cell>
          <cell r="G1398">
            <v>20</v>
          </cell>
          <cell r="H1398" t="str">
            <v>四川省仁寿县贵平镇中岗村10组</v>
          </cell>
          <cell r="I1398">
            <v>18784428703</v>
          </cell>
        </row>
        <row r="1399">
          <cell r="C1399" t="str">
            <v>51112119430602693X</v>
          </cell>
          <cell r="D1399" t="str">
            <v>男</v>
          </cell>
          <cell r="E1399" t="str">
            <v>汉族</v>
          </cell>
          <cell r="F1399" t="str">
            <v>19430602</v>
          </cell>
          <cell r="G1399">
            <v>78</v>
          </cell>
          <cell r="H1399" t="str">
            <v>四川省仁寿县贵平镇中岗村10组</v>
          </cell>
          <cell r="I1399">
            <v>13438307408</v>
          </cell>
        </row>
        <row r="1400">
          <cell r="C1400" t="str">
            <v>511121195002126944</v>
          </cell>
          <cell r="D1400" t="str">
            <v>女</v>
          </cell>
          <cell r="E1400" t="str">
            <v>汉族</v>
          </cell>
          <cell r="F1400" t="str">
            <v>19500212</v>
          </cell>
          <cell r="G1400">
            <v>71</v>
          </cell>
          <cell r="H1400" t="str">
            <v>四川省仁寿县贵平镇中岗村10组</v>
          </cell>
        </row>
        <row r="1401">
          <cell r="C1401" t="str">
            <v>513822199208156959</v>
          </cell>
          <cell r="D1401" t="str">
            <v>男</v>
          </cell>
          <cell r="E1401" t="str">
            <v>汉族</v>
          </cell>
          <cell r="F1401" t="str">
            <v>19920815</v>
          </cell>
          <cell r="G1401">
            <v>29</v>
          </cell>
          <cell r="H1401" t="str">
            <v>四川省仁寿县贵平镇中岗村10组</v>
          </cell>
        </row>
        <row r="1402">
          <cell r="C1402" t="str">
            <v>511121194701106948</v>
          </cell>
          <cell r="D1402" t="str">
            <v>女</v>
          </cell>
          <cell r="E1402" t="str">
            <v>汉族</v>
          </cell>
          <cell r="F1402" t="str">
            <v>19470110</v>
          </cell>
          <cell r="G1402">
            <v>74</v>
          </cell>
          <cell r="H1402" t="str">
            <v>四川省仁寿县贵平镇中岗村10组</v>
          </cell>
          <cell r="I1402">
            <v>17032093187</v>
          </cell>
        </row>
        <row r="1403">
          <cell r="C1403" t="str">
            <v>511121197409296936</v>
          </cell>
          <cell r="D1403" t="str">
            <v>男</v>
          </cell>
          <cell r="E1403" t="str">
            <v>汉族</v>
          </cell>
          <cell r="F1403" t="str">
            <v>19740929</v>
          </cell>
          <cell r="G1403">
            <v>47</v>
          </cell>
          <cell r="H1403" t="str">
            <v>四川省仁寿县贵平镇中岗村10组</v>
          </cell>
          <cell r="I1403">
            <v>13408766384</v>
          </cell>
        </row>
        <row r="1404">
          <cell r="C1404" t="str">
            <v>511121197705108944</v>
          </cell>
          <cell r="D1404" t="str">
            <v>女</v>
          </cell>
          <cell r="E1404" t="str">
            <v>汉族</v>
          </cell>
          <cell r="F1404" t="str">
            <v>19770510</v>
          </cell>
          <cell r="G1404">
            <v>44</v>
          </cell>
          <cell r="H1404" t="str">
            <v>四川省仁寿县贵平镇中岗村10组</v>
          </cell>
          <cell r="I1404">
            <v>15288020368</v>
          </cell>
        </row>
        <row r="1405">
          <cell r="C1405" t="str">
            <v>513822199712196933</v>
          </cell>
          <cell r="D1405" t="str">
            <v>男</v>
          </cell>
          <cell r="E1405" t="str">
            <v>汉族</v>
          </cell>
          <cell r="F1405" t="str">
            <v>19971219</v>
          </cell>
          <cell r="G1405">
            <v>24</v>
          </cell>
          <cell r="H1405" t="str">
            <v>四川省仁寿县贵平镇中岗村10组</v>
          </cell>
          <cell r="I1405">
            <v>13150547587</v>
          </cell>
        </row>
        <row r="1406">
          <cell r="C1406" t="str">
            <v>511421200805266692</v>
          </cell>
          <cell r="D1406" t="str">
            <v>男</v>
          </cell>
          <cell r="E1406" t="str">
            <v>汉族</v>
          </cell>
          <cell r="F1406" t="str">
            <v>20080526</v>
          </cell>
          <cell r="G1406">
            <v>13</v>
          </cell>
          <cell r="H1406" t="str">
            <v>四川省仁寿县贵平镇中岗村10组</v>
          </cell>
        </row>
        <row r="1407">
          <cell r="C1407" t="str">
            <v>511027197110299166</v>
          </cell>
          <cell r="D1407" t="str">
            <v>女</v>
          </cell>
          <cell r="E1407" t="str">
            <v>汉族</v>
          </cell>
          <cell r="F1407" t="str">
            <v>19711029</v>
          </cell>
          <cell r="G1407">
            <v>50</v>
          </cell>
          <cell r="H1407" t="str">
            <v>四川省仁寿县贵平镇中岗村10组</v>
          </cell>
        </row>
        <row r="1408">
          <cell r="C1408" t="str">
            <v>511121197305236939</v>
          </cell>
          <cell r="D1408" t="str">
            <v>男</v>
          </cell>
          <cell r="E1408" t="str">
            <v>汉族</v>
          </cell>
          <cell r="F1408" t="str">
            <v>19730523</v>
          </cell>
          <cell r="G1408">
            <v>48</v>
          </cell>
          <cell r="H1408" t="str">
            <v>四川省仁寿县贵平镇中岗村10组</v>
          </cell>
          <cell r="I1408">
            <v>18064965189</v>
          </cell>
        </row>
        <row r="1409">
          <cell r="C1409" t="str">
            <v>511121193212243947</v>
          </cell>
          <cell r="D1409" t="str">
            <v>女</v>
          </cell>
          <cell r="E1409" t="str">
            <v>汉族</v>
          </cell>
          <cell r="F1409" t="str">
            <v>19321224</v>
          </cell>
          <cell r="G1409">
            <v>89</v>
          </cell>
          <cell r="H1409" t="str">
            <v>四川省仁寿县贵平镇中岗村10组</v>
          </cell>
        </row>
        <row r="1410">
          <cell r="C1410" t="str">
            <v>51382219970315693X</v>
          </cell>
          <cell r="D1410" t="str">
            <v>男</v>
          </cell>
          <cell r="E1410" t="str">
            <v>汉族</v>
          </cell>
          <cell r="F1410" t="str">
            <v>19970315</v>
          </cell>
          <cell r="G1410">
            <v>24</v>
          </cell>
          <cell r="H1410" t="str">
            <v>四川省仁寿县贵平镇中岗村10组</v>
          </cell>
          <cell r="I1410">
            <v>18064965189</v>
          </cell>
        </row>
        <row r="1411">
          <cell r="C1411" t="str">
            <v>513822200403276716</v>
          </cell>
          <cell r="D1411" t="str">
            <v>男</v>
          </cell>
          <cell r="E1411" t="str">
            <v>汉族</v>
          </cell>
          <cell r="F1411" t="str">
            <v>20040327</v>
          </cell>
          <cell r="G1411">
            <v>17</v>
          </cell>
          <cell r="H1411" t="str">
            <v>四川省仁寿县贵平镇中岗村10组</v>
          </cell>
        </row>
        <row r="1412">
          <cell r="C1412" t="str">
            <v>511121195405196955</v>
          </cell>
          <cell r="D1412" t="str">
            <v>男</v>
          </cell>
          <cell r="E1412" t="str">
            <v>汉族</v>
          </cell>
          <cell r="F1412" t="str">
            <v>19540519</v>
          </cell>
          <cell r="G1412">
            <v>67</v>
          </cell>
          <cell r="H1412" t="str">
            <v>四川省仁寿县贵平镇中岗村10组</v>
          </cell>
          <cell r="I1412">
            <v>15196465308</v>
          </cell>
        </row>
        <row r="1413">
          <cell r="C1413" t="str">
            <v>511121195406046940</v>
          </cell>
          <cell r="D1413" t="str">
            <v>女</v>
          </cell>
          <cell r="E1413" t="str">
            <v>汉族</v>
          </cell>
          <cell r="F1413" t="str">
            <v>19540604</v>
          </cell>
          <cell r="G1413">
            <v>67</v>
          </cell>
          <cell r="H1413" t="str">
            <v>四川省仁寿县贵平镇中岗村10组</v>
          </cell>
          <cell r="I1413">
            <v>18328139018</v>
          </cell>
        </row>
        <row r="1414">
          <cell r="C1414" t="str">
            <v>511121193506226931</v>
          </cell>
          <cell r="D1414" t="str">
            <v>男</v>
          </cell>
          <cell r="E1414" t="str">
            <v>汉族</v>
          </cell>
          <cell r="F1414" t="str">
            <v>19350622</v>
          </cell>
          <cell r="G1414">
            <v>86</v>
          </cell>
          <cell r="H1414" t="str">
            <v>四川省仁寿县贵平镇中岗村10组</v>
          </cell>
          <cell r="I1414">
            <v>13568303546</v>
          </cell>
        </row>
        <row r="1415">
          <cell r="C1415" t="str">
            <v>511121194212256945</v>
          </cell>
          <cell r="D1415" t="str">
            <v>女</v>
          </cell>
          <cell r="E1415" t="str">
            <v>汉族</v>
          </cell>
          <cell r="F1415" t="str">
            <v>19421225</v>
          </cell>
          <cell r="G1415">
            <v>79</v>
          </cell>
          <cell r="H1415" t="str">
            <v>四川省仁寿县贵平镇中岗村10组</v>
          </cell>
          <cell r="I1415">
            <v>15378458395</v>
          </cell>
        </row>
        <row r="1416">
          <cell r="C1416" t="str">
            <v>51112119370408695X</v>
          </cell>
          <cell r="D1416" t="str">
            <v>男</v>
          </cell>
          <cell r="E1416" t="str">
            <v>汉族</v>
          </cell>
          <cell r="F1416" t="str">
            <v>19370408</v>
          </cell>
          <cell r="G1416">
            <v>84</v>
          </cell>
          <cell r="H1416" t="str">
            <v>四川省仁寿县贵平镇中岗村10组</v>
          </cell>
          <cell r="I1416">
            <v>17381762801</v>
          </cell>
        </row>
        <row r="1417">
          <cell r="C1417" t="str">
            <v>511121195108086960</v>
          </cell>
          <cell r="D1417" t="str">
            <v>女</v>
          </cell>
          <cell r="E1417" t="str">
            <v>汉族</v>
          </cell>
          <cell r="F1417" t="str">
            <v>19510808</v>
          </cell>
          <cell r="G1417">
            <v>70</v>
          </cell>
          <cell r="H1417" t="str">
            <v>四川省仁寿县贵平镇中岗村10组</v>
          </cell>
        </row>
        <row r="1418">
          <cell r="C1418" t="str">
            <v>511121197711106937</v>
          </cell>
          <cell r="D1418" t="str">
            <v>男</v>
          </cell>
          <cell r="E1418" t="str">
            <v>汉族</v>
          </cell>
          <cell r="F1418" t="str">
            <v>19771110</v>
          </cell>
          <cell r="G1418">
            <v>44</v>
          </cell>
          <cell r="H1418" t="str">
            <v>四川省仁寿县贵平镇中岗村10组</v>
          </cell>
          <cell r="I1418">
            <v>15828638682</v>
          </cell>
        </row>
        <row r="1419">
          <cell r="C1419" t="str">
            <v>511121197511026959</v>
          </cell>
          <cell r="D1419" t="str">
            <v>男</v>
          </cell>
          <cell r="E1419" t="str">
            <v>汉族</v>
          </cell>
          <cell r="F1419" t="str">
            <v>19751102</v>
          </cell>
          <cell r="G1419">
            <v>46</v>
          </cell>
          <cell r="H1419" t="str">
            <v>四川省仁寿县贵平镇中岗村10组</v>
          </cell>
          <cell r="I1419">
            <v>18583366039</v>
          </cell>
        </row>
        <row r="1420">
          <cell r="C1420" t="str">
            <v>51382219990926694X</v>
          </cell>
          <cell r="D1420" t="str">
            <v>女</v>
          </cell>
          <cell r="E1420" t="str">
            <v>汉族</v>
          </cell>
          <cell r="F1420" t="str">
            <v>19990926</v>
          </cell>
          <cell r="G1420">
            <v>22</v>
          </cell>
          <cell r="H1420" t="str">
            <v>四川省仁寿县贵平镇中岗村10组</v>
          </cell>
        </row>
        <row r="1421">
          <cell r="C1421" t="str">
            <v>511121196211046945</v>
          </cell>
          <cell r="D1421" t="str">
            <v>女</v>
          </cell>
          <cell r="E1421" t="str">
            <v>汉族</v>
          </cell>
          <cell r="F1421" t="str">
            <v>19621104</v>
          </cell>
          <cell r="G1421">
            <v>59</v>
          </cell>
          <cell r="H1421" t="str">
            <v>四川省仁寿县贵平镇中岗村10组</v>
          </cell>
          <cell r="I1421">
            <v>17381101962</v>
          </cell>
        </row>
        <row r="1422">
          <cell r="C1422" t="str">
            <v>513822198312066932</v>
          </cell>
          <cell r="D1422" t="str">
            <v>男</v>
          </cell>
          <cell r="E1422" t="str">
            <v>汉族</v>
          </cell>
          <cell r="F1422" t="str">
            <v>19831206</v>
          </cell>
          <cell r="G1422">
            <v>38</v>
          </cell>
          <cell r="H1422" t="str">
            <v>四川省仁寿县贵平镇中岗村10组</v>
          </cell>
          <cell r="I1422">
            <v>15328764151</v>
          </cell>
        </row>
        <row r="1423">
          <cell r="C1423" t="str">
            <v>511421200505066808</v>
          </cell>
          <cell r="D1423" t="str">
            <v>女</v>
          </cell>
          <cell r="E1423" t="str">
            <v>汉族</v>
          </cell>
          <cell r="F1423" t="str">
            <v>20050506</v>
          </cell>
          <cell r="G1423">
            <v>16</v>
          </cell>
          <cell r="H1423" t="str">
            <v>四川省仁寿县贵平镇中岗村10组</v>
          </cell>
        </row>
        <row r="1424">
          <cell r="C1424" t="str">
            <v>511121196306066957</v>
          </cell>
          <cell r="D1424" t="str">
            <v>男</v>
          </cell>
          <cell r="E1424" t="str">
            <v>汉族</v>
          </cell>
          <cell r="F1424" t="str">
            <v>19630606</v>
          </cell>
          <cell r="G1424">
            <v>58</v>
          </cell>
          <cell r="H1424" t="str">
            <v>四川省仁寿县贵平镇中岗村10组</v>
          </cell>
          <cell r="I1424">
            <v>15198059014</v>
          </cell>
        </row>
        <row r="1425">
          <cell r="C1425" t="str">
            <v>511121196609146962</v>
          </cell>
          <cell r="D1425" t="str">
            <v>女</v>
          </cell>
          <cell r="E1425" t="str">
            <v>汉族</v>
          </cell>
          <cell r="F1425" t="str">
            <v>19660914</v>
          </cell>
          <cell r="G1425">
            <v>55</v>
          </cell>
          <cell r="H1425" t="str">
            <v>四川省仁寿县贵平镇中岗村10组</v>
          </cell>
          <cell r="I1425">
            <v>18280040756</v>
          </cell>
        </row>
        <row r="1426">
          <cell r="C1426" t="str">
            <v>513822198707276934</v>
          </cell>
          <cell r="D1426" t="str">
            <v>男</v>
          </cell>
          <cell r="E1426" t="str">
            <v>汉族</v>
          </cell>
          <cell r="F1426" t="str">
            <v>19870727</v>
          </cell>
          <cell r="G1426">
            <v>34</v>
          </cell>
          <cell r="H1426" t="str">
            <v>四川省仁寿县贵平镇中岗村10组</v>
          </cell>
          <cell r="I1426">
            <v>15928960398</v>
          </cell>
        </row>
        <row r="1427">
          <cell r="C1427" t="str">
            <v>51142120150226685X</v>
          </cell>
          <cell r="D1427" t="str">
            <v>男</v>
          </cell>
          <cell r="E1427" t="str">
            <v>汉族</v>
          </cell>
          <cell r="F1427" t="str">
            <v>20150226</v>
          </cell>
          <cell r="G1427">
            <v>6</v>
          </cell>
          <cell r="H1427" t="str">
            <v>四川省仁寿县贵平镇中岗村10组</v>
          </cell>
        </row>
        <row r="1428">
          <cell r="C1428" t="str">
            <v>511121196509146957</v>
          </cell>
          <cell r="D1428" t="str">
            <v>男</v>
          </cell>
          <cell r="E1428" t="str">
            <v>汉族</v>
          </cell>
          <cell r="F1428" t="str">
            <v>19650914</v>
          </cell>
          <cell r="G1428">
            <v>56</v>
          </cell>
          <cell r="H1428" t="str">
            <v>四川省仁寿县贵平镇中岗村10组</v>
          </cell>
          <cell r="I1428">
            <v>18384788789</v>
          </cell>
        </row>
        <row r="1429">
          <cell r="C1429" t="str">
            <v>511121196607186960</v>
          </cell>
          <cell r="D1429" t="str">
            <v>女</v>
          </cell>
          <cell r="E1429" t="str">
            <v>汉族</v>
          </cell>
          <cell r="F1429" t="str">
            <v>19660718</v>
          </cell>
          <cell r="G1429">
            <v>55</v>
          </cell>
          <cell r="H1429" t="str">
            <v>四川省仁寿县贵平镇中岗村10组</v>
          </cell>
          <cell r="I1429">
            <v>13648013954</v>
          </cell>
        </row>
        <row r="1430">
          <cell r="C1430" t="str">
            <v>513822199004296941</v>
          </cell>
          <cell r="D1430" t="str">
            <v>女</v>
          </cell>
          <cell r="E1430" t="str">
            <v>汉族</v>
          </cell>
          <cell r="F1430" t="str">
            <v>19900429</v>
          </cell>
          <cell r="G1430">
            <v>31</v>
          </cell>
          <cell r="H1430" t="str">
            <v>四川省仁寿县贵平镇中岗村10组</v>
          </cell>
          <cell r="I1430">
            <v>18328185193</v>
          </cell>
        </row>
        <row r="1431">
          <cell r="C1431" t="str">
            <v>511421200907136741</v>
          </cell>
          <cell r="D1431" t="str">
            <v>女</v>
          </cell>
          <cell r="E1431" t="str">
            <v>汉族</v>
          </cell>
          <cell r="F1431" t="str">
            <v>20090713</v>
          </cell>
          <cell r="G1431">
            <v>12</v>
          </cell>
          <cell r="H1431" t="str">
            <v>四川省仁寿县贵平镇中岗村10组</v>
          </cell>
        </row>
        <row r="1432">
          <cell r="C1432" t="str">
            <v>511121194512026930</v>
          </cell>
          <cell r="D1432" t="str">
            <v>男</v>
          </cell>
          <cell r="E1432" t="str">
            <v>汉族</v>
          </cell>
          <cell r="F1432" t="str">
            <v>19451202</v>
          </cell>
          <cell r="G1432">
            <v>76</v>
          </cell>
          <cell r="H1432" t="str">
            <v>四川省仁寿县贵平镇中岗村10组</v>
          </cell>
          <cell r="I1432">
            <v>18144210428</v>
          </cell>
        </row>
        <row r="1433">
          <cell r="C1433" t="str">
            <v>511121195811036949</v>
          </cell>
          <cell r="D1433" t="str">
            <v>女</v>
          </cell>
          <cell r="E1433" t="str">
            <v>汉族</v>
          </cell>
          <cell r="F1433" t="str">
            <v>19581103</v>
          </cell>
          <cell r="G1433">
            <v>63</v>
          </cell>
          <cell r="H1433" t="str">
            <v>四川省仁寿县贵平镇中岗村10组</v>
          </cell>
          <cell r="I1433">
            <v>18144217063</v>
          </cell>
        </row>
        <row r="1434">
          <cell r="C1434" t="str">
            <v>511121198202046950</v>
          </cell>
          <cell r="D1434" t="str">
            <v>男</v>
          </cell>
          <cell r="E1434" t="str">
            <v>汉族</v>
          </cell>
          <cell r="F1434" t="str">
            <v>19820204</v>
          </cell>
          <cell r="G1434">
            <v>39</v>
          </cell>
          <cell r="H1434" t="str">
            <v>四川省仁寿县贵平镇中岗村10组</v>
          </cell>
          <cell r="I1434">
            <v>18144210428</v>
          </cell>
        </row>
        <row r="1435">
          <cell r="C1435" t="str">
            <v>51112119360118694X</v>
          </cell>
          <cell r="D1435" t="str">
            <v>女</v>
          </cell>
          <cell r="E1435" t="str">
            <v>汉族</v>
          </cell>
          <cell r="F1435" t="str">
            <v>19360118</v>
          </cell>
          <cell r="G1435">
            <v>85</v>
          </cell>
          <cell r="H1435" t="str">
            <v>四川省仁寿县贵平镇中岗村10组</v>
          </cell>
          <cell r="I1435">
            <v>13550510652</v>
          </cell>
        </row>
        <row r="1436">
          <cell r="C1436" t="str">
            <v>511121196502286930</v>
          </cell>
          <cell r="D1436" t="str">
            <v>男</v>
          </cell>
          <cell r="E1436" t="str">
            <v>汉族</v>
          </cell>
          <cell r="F1436" t="str">
            <v>19650228</v>
          </cell>
          <cell r="G1436">
            <v>56</v>
          </cell>
          <cell r="H1436" t="str">
            <v>四川省仁寿县贵平镇中岗村10组</v>
          </cell>
        </row>
        <row r="1437">
          <cell r="C1437" t="str">
            <v>513822198305136939</v>
          </cell>
          <cell r="D1437" t="str">
            <v>男</v>
          </cell>
          <cell r="E1437" t="str">
            <v>汉族</v>
          </cell>
          <cell r="F1437" t="str">
            <v>19830513</v>
          </cell>
          <cell r="G1437">
            <v>38</v>
          </cell>
          <cell r="H1437" t="str">
            <v>四川省仁寿县贵平镇中岗村10组</v>
          </cell>
          <cell r="I1437">
            <v>15888418992</v>
          </cell>
        </row>
        <row r="1438">
          <cell r="C1438" t="str">
            <v>511081198301121822</v>
          </cell>
          <cell r="D1438" t="str">
            <v>女</v>
          </cell>
          <cell r="E1438" t="str">
            <v>汉族</v>
          </cell>
          <cell r="F1438" t="str">
            <v>19830112</v>
          </cell>
          <cell r="G1438">
            <v>38</v>
          </cell>
          <cell r="H1438" t="str">
            <v>四川省仁寿县贵平镇中岗村10组</v>
          </cell>
          <cell r="I1438">
            <v>18124002757</v>
          </cell>
        </row>
        <row r="1439">
          <cell r="C1439" t="str">
            <v>511421200710256782</v>
          </cell>
          <cell r="D1439" t="str">
            <v>女</v>
          </cell>
          <cell r="E1439" t="str">
            <v>汉族</v>
          </cell>
          <cell r="F1439" t="str">
            <v>20071025</v>
          </cell>
          <cell r="G1439">
            <v>14</v>
          </cell>
          <cell r="H1439" t="str">
            <v>四川省仁寿县贵平镇中岗村10组</v>
          </cell>
        </row>
        <row r="1440">
          <cell r="C1440" t="str">
            <v>511421200505276741</v>
          </cell>
          <cell r="D1440" t="str">
            <v>女</v>
          </cell>
          <cell r="E1440" t="str">
            <v>汉族</v>
          </cell>
          <cell r="F1440" t="str">
            <v>20050527</v>
          </cell>
          <cell r="G1440">
            <v>16</v>
          </cell>
          <cell r="H1440" t="str">
            <v>四川省仁寿县贵平镇中岗村10组</v>
          </cell>
        </row>
        <row r="1441">
          <cell r="C1441" t="str">
            <v>513822198702136932</v>
          </cell>
          <cell r="D1441" t="str">
            <v>男</v>
          </cell>
          <cell r="E1441" t="str">
            <v>汉族</v>
          </cell>
          <cell r="F1441" t="str">
            <v>19870213</v>
          </cell>
          <cell r="G1441">
            <v>34</v>
          </cell>
          <cell r="H1441" t="str">
            <v>四川省仁寿县贵平镇中岗村10组</v>
          </cell>
          <cell r="I1441">
            <v>18728359121</v>
          </cell>
        </row>
        <row r="1442">
          <cell r="C1442" t="str">
            <v>511421201204266851</v>
          </cell>
          <cell r="D1442" t="str">
            <v>男</v>
          </cell>
          <cell r="E1442" t="str">
            <v>汉族</v>
          </cell>
          <cell r="F1442" t="str">
            <v>20120426</v>
          </cell>
          <cell r="G1442">
            <v>9</v>
          </cell>
          <cell r="H1442" t="str">
            <v>四川省仁寿县贵平镇中岗村10组</v>
          </cell>
        </row>
        <row r="1443">
          <cell r="C1443" t="str">
            <v>511421200903026801</v>
          </cell>
          <cell r="D1443" t="str">
            <v>女</v>
          </cell>
          <cell r="E1443" t="str">
            <v>汉族</v>
          </cell>
          <cell r="F1443" t="str">
            <v>20090302</v>
          </cell>
          <cell r="G1443">
            <v>12</v>
          </cell>
          <cell r="H1443" t="str">
            <v>四川省仁寿县贵平镇中岗村10组</v>
          </cell>
        </row>
        <row r="1444">
          <cell r="C1444" t="str">
            <v>511121197301096932</v>
          </cell>
          <cell r="D1444" t="str">
            <v>男</v>
          </cell>
          <cell r="E1444" t="str">
            <v>汉族</v>
          </cell>
          <cell r="F1444" t="str">
            <v>19730109</v>
          </cell>
          <cell r="G1444">
            <v>48</v>
          </cell>
          <cell r="H1444" t="str">
            <v>四川省仁寿县贵平镇中岗村10组</v>
          </cell>
          <cell r="I1444">
            <v>15378458395</v>
          </cell>
        </row>
        <row r="1445">
          <cell r="C1445" t="str">
            <v>511121197210196866</v>
          </cell>
          <cell r="D1445" t="str">
            <v>女</v>
          </cell>
          <cell r="E1445" t="str">
            <v>汉族</v>
          </cell>
          <cell r="F1445" t="str">
            <v>19721019</v>
          </cell>
          <cell r="G1445">
            <v>49</v>
          </cell>
          <cell r="H1445" t="str">
            <v>四川省仁寿县贵平镇中岗村10组</v>
          </cell>
          <cell r="I1445">
            <v>15882145612</v>
          </cell>
        </row>
        <row r="1446">
          <cell r="C1446" t="str">
            <v>51382219961113694X</v>
          </cell>
          <cell r="D1446" t="str">
            <v>女</v>
          </cell>
          <cell r="E1446" t="str">
            <v>汉族</v>
          </cell>
          <cell r="F1446" t="str">
            <v>19961113</v>
          </cell>
          <cell r="G1446">
            <v>25</v>
          </cell>
          <cell r="H1446" t="str">
            <v>四川省仁寿县贵平镇中岗村10组</v>
          </cell>
          <cell r="I1446">
            <v>15378458395</v>
          </cell>
        </row>
        <row r="1447">
          <cell r="C1447" t="str">
            <v>513822199708156947</v>
          </cell>
          <cell r="D1447" t="str">
            <v>女</v>
          </cell>
          <cell r="E1447" t="str">
            <v>汉族</v>
          </cell>
          <cell r="F1447" t="str">
            <v>19970815</v>
          </cell>
          <cell r="G1447">
            <v>24</v>
          </cell>
          <cell r="H1447" t="str">
            <v>四川省仁寿县贵平镇中岗村10组</v>
          </cell>
          <cell r="I1447">
            <v>13551383046</v>
          </cell>
        </row>
        <row r="1448">
          <cell r="C1448" t="str">
            <v>511121197110036937</v>
          </cell>
          <cell r="D1448" t="str">
            <v>男</v>
          </cell>
          <cell r="E1448" t="str">
            <v>汉族</v>
          </cell>
          <cell r="F1448" t="str">
            <v>19711003</v>
          </cell>
          <cell r="G1448">
            <v>50</v>
          </cell>
          <cell r="H1448" t="str">
            <v>四川省仁寿县贵平镇中岗村10组</v>
          </cell>
          <cell r="I1448">
            <v>18228026278</v>
          </cell>
        </row>
        <row r="1449">
          <cell r="C1449" t="str">
            <v>513822199609056801</v>
          </cell>
          <cell r="D1449" t="str">
            <v>女</v>
          </cell>
          <cell r="E1449" t="str">
            <v>汉族</v>
          </cell>
          <cell r="F1449" t="str">
            <v>19960905</v>
          </cell>
          <cell r="G1449">
            <v>25</v>
          </cell>
          <cell r="H1449" t="str">
            <v>四川省仁寿县贵平镇中岗村10组</v>
          </cell>
          <cell r="I1449">
            <v>13618025199</v>
          </cell>
        </row>
        <row r="1450">
          <cell r="C1450" t="str">
            <v>511121198001106937</v>
          </cell>
          <cell r="D1450" t="str">
            <v>男</v>
          </cell>
          <cell r="E1450" t="str">
            <v>汉族</v>
          </cell>
          <cell r="F1450" t="str">
            <v>19800110</v>
          </cell>
          <cell r="G1450">
            <v>41</v>
          </cell>
          <cell r="H1450" t="str">
            <v>四川省仁寿县贵平镇中岗村10组</v>
          </cell>
          <cell r="I1450">
            <v>18180794839</v>
          </cell>
        </row>
        <row r="1451">
          <cell r="C1451" t="str">
            <v>513822198409306701</v>
          </cell>
          <cell r="D1451" t="str">
            <v>女</v>
          </cell>
          <cell r="E1451" t="str">
            <v>汉族</v>
          </cell>
          <cell r="F1451" t="str">
            <v>19840930</v>
          </cell>
          <cell r="G1451">
            <v>37</v>
          </cell>
          <cell r="H1451" t="str">
            <v>四川省仁寿县贵平镇中岗村10组</v>
          </cell>
          <cell r="I1451">
            <v>18782472600</v>
          </cell>
        </row>
        <row r="1452">
          <cell r="C1452" t="str">
            <v>511421201412256850</v>
          </cell>
          <cell r="D1452" t="str">
            <v>男</v>
          </cell>
          <cell r="E1452" t="str">
            <v>汉族</v>
          </cell>
          <cell r="F1452" t="str">
            <v>20141225</v>
          </cell>
          <cell r="G1452">
            <v>7</v>
          </cell>
          <cell r="H1452" t="str">
            <v>四川省仁寿县贵平镇中岗村10组</v>
          </cell>
        </row>
        <row r="1453">
          <cell r="C1453" t="str">
            <v>511421200607256717</v>
          </cell>
          <cell r="D1453" t="str">
            <v>男</v>
          </cell>
          <cell r="E1453" t="str">
            <v>汉族</v>
          </cell>
          <cell r="F1453" t="str">
            <v>20060725</v>
          </cell>
          <cell r="G1453">
            <v>15</v>
          </cell>
          <cell r="H1453" t="str">
            <v>四川省仁寿县贵平镇中岗村10组</v>
          </cell>
        </row>
        <row r="1454">
          <cell r="C1454" t="str">
            <v>511121197503016953</v>
          </cell>
          <cell r="D1454" t="str">
            <v>男</v>
          </cell>
          <cell r="E1454" t="str">
            <v>汉族</v>
          </cell>
          <cell r="F1454" t="str">
            <v>19750301</v>
          </cell>
          <cell r="G1454">
            <v>46</v>
          </cell>
          <cell r="H1454" t="str">
            <v>四川省仁寿县贵平镇中岗村10组</v>
          </cell>
          <cell r="I1454">
            <v>13350717110</v>
          </cell>
        </row>
        <row r="1455">
          <cell r="C1455" t="str">
            <v>511121197406216945</v>
          </cell>
          <cell r="D1455" t="str">
            <v>女</v>
          </cell>
          <cell r="E1455" t="str">
            <v>汉族</v>
          </cell>
          <cell r="F1455" t="str">
            <v>19740621</v>
          </cell>
          <cell r="G1455">
            <v>47</v>
          </cell>
          <cell r="H1455" t="str">
            <v>四川省仁寿县贵平镇中岗村10组</v>
          </cell>
          <cell r="I1455">
            <v>18090085809</v>
          </cell>
        </row>
        <row r="1456">
          <cell r="C1456" t="str">
            <v>513822199710236954</v>
          </cell>
          <cell r="D1456" t="str">
            <v>男</v>
          </cell>
          <cell r="E1456" t="str">
            <v>汉族</v>
          </cell>
          <cell r="F1456" t="str">
            <v>19971023</v>
          </cell>
          <cell r="G1456">
            <v>24</v>
          </cell>
          <cell r="H1456" t="str">
            <v>四川省仁寿县贵平镇中岗村10组</v>
          </cell>
          <cell r="I1456">
            <v>18090085666</v>
          </cell>
        </row>
        <row r="1457">
          <cell r="C1457" t="str">
            <v>513822200411296696</v>
          </cell>
          <cell r="D1457" t="str">
            <v>男</v>
          </cell>
          <cell r="E1457" t="str">
            <v>汉族</v>
          </cell>
          <cell r="F1457" t="str">
            <v>20041129</v>
          </cell>
          <cell r="G1457">
            <v>17</v>
          </cell>
          <cell r="H1457" t="str">
            <v>四川省仁寿县贵平镇中岗村10组</v>
          </cell>
        </row>
        <row r="1458">
          <cell r="C1458" t="str">
            <v>511121197711266930</v>
          </cell>
          <cell r="D1458" t="str">
            <v>男</v>
          </cell>
          <cell r="E1458" t="str">
            <v>汉族</v>
          </cell>
          <cell r="F1458" t="str">
            <v>19771126</v>
          </cell>
          <cell r="G1458">
            <v>44</v>
          </cell>
          <cell r="H1458" t="str">
            <v>四川省仁寿县贵平镇中岗村10组</v>
          </cell>
          <cell r="I1458">
            <v>15378347888</v>
          </cell>
        </row>
        <row r="1459">
          <cell r="C1459" t="str">
            <v>51142120060823670X</v>
          </cell>
          <cell r="D1459" t="str">
            <v>女</v>
          </cell>
          <cell r="E1459" t="str">
            <v>汉族</v>
          </cell>
          <cell r="F1459" t="str">
            <v>20060823</v>
          </cell>
          <cell r="G1459">
            <v>15</v>
          </cell>
          <cell r="H1459" t="str">
            <v>四川省仁寿县贵平镇中岗村10组</v>
          </cell>
        </row>
        <row r="1460">
          <cell r="C1460" t="str">
            <v>511121193809216941</v>
          </cell>
          <cell r="D1460" t="str">
            <v>女</v>
          </cell>
          <cell r="E1460" t="str">
            <v>汉族</v>
          </cell>
          <cell r="F1460" t="str">
            <v>19380921</v>
          </cell>
          <cell r="G1460">
            <v>83</v>
          </cell>
          <cell r="H1460" t="str">
            <v>四川省仁寿县贵平镇中岗村10组</v>
          </cell>
          <cell r="I1460">
            <v>13548190480</v>
          </cell>
        </row>
        <row r="1461">
          <cell r="C1461" t="str">
            <v>513822198302136968</v>
          </cell>
          <cell r="D1461" t="str">
            <v>女</v>
          </cell>
          <cell r="E1461" t="str">
            <v>汉族</v>
          </cell>
          <cell r="F1461" t="str">
            <v>19830213</v>
          </cell>
          <cell r="G1461">
            <v>38</v>
          </cell>
          <cell r="H1461" t="str">
            <v>四川省仁寿县贵平镇中岗村10组</v>
          </cell>
          <cell r="I1461">
            <v>13880398228</v>
          </cell>
        </row>
        <row r="1462">
          <cell r="C1462" t="str">
            <v>511121198103056934</v>
          </cell>
          <cell r="D1462" t="str">
            <v>男</v>
          </cell>
          <cell r="E1462" t="str">
            <v>汉族</v>
          </cell>
          <cell r="F1462" t="str">
            <v>19810305</v>
          </cell>
          <cell r="G1462">
            <v>40</v>
          </cell>
          <cell r="H1462" t="str">
            <v>四川省仁寿县贵平镇中岗村10组</v>
          </cell>
          <cell r="I1462">
            <v>17098336129</v>
          </cell>
        </row>
        <row r="1463">
          <cell r="C1463" t="str">
            <v>511421200505046698</v>
          </cell>
          <cell r="D1463" t="str">
            <v>男</v>
          </cell>
          <cell r="E1463" t="str">
            <v>汉族</v>
          </cell>
          <cell r="F1463" t="str">
            <v>20050504</v>
          </cell>
          <cell r="G1463">
            <v>16</v>
          </cell>
          <cell r="H1463" t="str">
            <v>四川省仁寿县贵平镇中岗村10组</v>
          </cell>
        </row>
        <row r="1464">
          <cell r="C1464" t="str">
            <v>511421201703120195</v>
          </cell>
          <cell r="D1464" t="str">
            <v>男</v>
          </cell>
          <cell r="E1464" t="str">
            <v>汉族</v>
          </cell>
          <cell r="F1464" t="str">
            <v>20170312</v>
          </cell>
          <cell r="G1464">
            <v>4</v>
          </cell>
          <cell r="H1464" t="str">
            <v>四川省仁寿县贵平镇中岗村10组</v>
          </cell>
        </row>
        <row r="1465">
          <cell r="C1465" t="str">
            <v>511121198204016691</v>
          </cell>
          <cell r="D1465" t="str">
            <v>男</v>
          </cell>
          <cell r="E1465" t="str">
            <v>汉族</v>
          </cell>
          <cell r="F1465" t="str">
            <v>19820401</v>
          </cell>
          <cell r="G1465">
            <v>39</v>
          </cell>
          <cell r="H1465" t="str">
            <v>四川省仁寿县贵平镇中岗村10组</v>
          </cell>
          <cell r="I1465">
            <v>18208159744</v>
          </cell>
        </row>
        <row r="1466">
          <cell r="C1466" t="str">
            <v>45252319831016200X</v>
          </cell>
          <cell r="D1466" t="str">
            <v>女</v>
          </cell>
          <cell r="E1466" t="str">
            <v>汉族</v>
          </cell>
          <cell r="F1466" t="str">
            <v>19831016</v>
          </cell>
          <cell r="G1466">
            <v>38</v>
          </cell>
          <cell r="H1466" t="str">
            <v>四川省仁寿县贵平镇中岗村10组</v>
          </cell>
          <cell r="I1466">
            <v>17098335846</v>
          </cell>
        </row>
        <row r="1467">
          <cell r="C1467" t="str">
            <v>511421200611106690</v>
          </cell>
          <cell r="D1467" t="str">
            <v>男</v>
          </cell>
          <cell r="E1467" t="str">
            <v>汉族</v>
          </cell>
          <cell r="F1467" t="str">
            <v>20061110</v>
          </cell>
          <cell r="G1467">
            <v>15</v>
          </cell>
          <cell r="H1467" t="str">
            <v>四川省仁寿县贵平镇中岗村10组</v>
          </cell>
        </row>
        <row r="1468">
          <cell r="C1468" t="str">
            <v>513822199010036935</v>
          </cell>
          <cell r="D1468" t="str">
            <v>男</v>
          </cell>
          <cell r="E1468" t="str">
            <v>汉族</v>
          </cell>
          <cell r="F1468" t="str">
            <v>19901003</v>
          </cell>
          <cell r="G1468">
            <v>31</v>
          </cell>
          <cell r="H1468" t="str">
            <v>四川省仁寿县贵平镇中岗村10组</v>
          </cell>
          <cell r="I1468">
            <v>18728342177</v>
          </cell>
        </row>
        <row r="1469">
          <cell r="C1469" t="str">
            <v>513822199106056930</v>
          </cell>
          <cell r="D1469" t="str">
            <v>男</v>
          </cell>
          <cell r="E1469" t="str">
            <v>汉族</v>
          </cell>
          <cell r="F1469" t="str">
            <v>19910605</v>
          </cell>
          <cell r="G1469">
            <v>30</v>
          </cell>
          <cell r="H1469" t="str">
            <v>四川省仁寿县贵平镇中岗村10组</v>
          </cell>
        </row>
        <row r="1470">
          <cell r="C1470" t="str">
            <v>511121196506156930</v>
          </cell>
          <cell r="D1470" t="str">
            <v>男</v>
          </cell>
          <cell r="E1470" t="str">
            <v>汉族</v>
          </cell>
          <cell r="F1470" t="str">
            <v>19650615</v>
          </cell>
          <cell r="G1470">
            <v>56</v>
          </cell>
          <cell r="H1470" t="str">
            <v>四川省仁寿县贵平镇中岗村10组</v>
          </cell>
        </row>
        <row r="1471">
          <cell r="C1471" t="str">
            <v>511121194007116943</v>
          </cell>
          <cell r="D1471" t="str">
            <v>女</v>
          </cell>
          <cell r="E1471" t="str">
            <v>汉族</v>
          </cell>
          <cell r="F1471" t="str">
            <v>19400711</v>
          </cell>
          <cell r="G1471">
            <v>81</v>
          </cell>
          <cell r="H1471" t="str">
            <v>四川省仁寿县贵平镇中岗村10组</v>
          </cell>
        </row>
        <row r="1472">
          <cell r="C1472" t="str">
            <v>511121197207236951</v>
          </cell>
          <cell r="D1472" t="str">
            <v>男</v>
          </cell>
          <cell r="E1472" t="str">
            <v>汉族</v>
          </cell>
          <cell r="F1472" t="str">
            <v>19720723</v>
          </cell>
          <cell r="G1472">
            <v>49</v>
          </cell>
          <cell r="H1472" t="str">
            <v>四川省仁寿县贵平镇中岗村10组</v>
          </cell>
        </row>
        <row r="1473">
          <cell r="C1473" t="str">
            <v>511121197309176785</v>
          </cell>
          <cell r="D1473" t="str">
            <v>女</v>
          </cell>
          <cell r="E1473" t="str">
            <v>汉族</v>
          </cell>
          <cell r="F1473" t="str">
            <v>19730917</v>
          </cell>
          <cell r="G1473">
            <v>48</v>
          </cell>
          <cell r="H1473" t="str">
            <v>四川省仁寿县贵平镇中岗村10组</v>
          </cell>
        </row>
        <row r="1474">
          <cell r="C1474" t="str">
            <v>513822200211256729</v>
          </cell>
          <cell r="D1474" t="str">
            <v>女</v>
          </cell>
          <cell r="E1474" t="str">
            <v>汉族</v>
          </cell>
          <cell r="F1474" t="str">
            <v>20021125</v>
          </cell>
          <cell r="G1474">
            <v>19</v>
          </cell>
          <cell r="H1474" t="str">
            <v>四川省仁寿县贵平镇中岗村10组</v>
          </cell>
        </row>
        <row r="1475">
          <cell r="C1475" t="str">
            <v>510311198009282932</v>
          </cell>
          <cell r="D1475" t="str">
            <v>男</v>
          </cell>
          <cell r="E1475" t="str">
            <v>汉族</v>
          </cell>
          <cell r="F1475" t="str">
            <v>19800928</v>
          </cell>
          <cell r="G1475">
            <v>41</v>
          </cell>
          <cell r="H1475" t="str">
            <v>四川省仁寿县贵平镇中岗村10组</v>
          </cell>
          <cell r="I1475">
            <v>15808212955</v>
          </cell>
        </row>
        <row r="1476">
          <cell r="C1476" t="str">
            <v>513822198702276943</v>
          </cell>
          <cell r="D1476" t="str">
            <v>女</v>
          </cell>
          <cell r="E1476" t="str">
            <v>汉族</v>
          </cell>
          <cell r="F1476" t="str">
            <v>19870227</v>
          </cell>
          <cell r="G1476">
            <v>34</v>
          </cell>
          <cell r="H1476" t="str">
            <v>四川省仁寿县贵平镇中岗村10组</v>
          </cell>
          <cell r="I1476">
            <v>13320936051</v>
          </cell>
        </row>
        <row r="1477">
          <cell r="C1477" t="str">
            <v>511421200702266737</v>
          </cell>
          <cell r="D1477" t="str">
            <v>男</v>
          </cell>
          <cell r="E1477" t="str">
            <v>汉族</v>
          </cell>
          <cell r="F1477" t="str">
            <v>20070226</v>
          </cell>
          <cell r="G1477">
            <v>14</v>
          </cell>
          <cell r="H1477" t="str">
            <v>四川省仁寿县贵平镇中岗村10组</v>
          </cell>
        </row>
        <row r="1478">
          <cell r="C1478" t="str">
            <v>511421201311306855</v>
          </cell>
          <cell r="D1478" t="str">
            <v>男</v>
          </cell>
          <cell r="E1478" t="str">
            <v>汉族</v>
          </cell>
          <cell r="F1478" t="str">
            <v>20131130</v>
          </cell>
          <cell r="G1478">
            <v>8</v>
          </cell>
          <cell r="H1478" t="str">
            <v>四川省仁寿县贵平镇中岗村10组</v>
          </cell>
        </row>
        <row r="1479">
          <cell r="C1479" t="str">
            <v>511421201808100211</v>
          </cell>
          <cell r="D1479" t="str">
            <v>男</v>
          </cell>
          <cell r="E1479" t="str">
            <v>汉族</v>
          </cell>
          <cell r="F1479" t="str">
            <v>20180810</v>
          </cell>
          <cell r="G1479">
            <v>3</v>
          </cell>
          <cell r="H1479" t="str">
            <v>四川省仁寿县贵平镇中岗村10组</v>
          </cell>
        </row>
        <row r="1480">
          <cell r="C1480" t="str">
            <v>511121197301226936</v>
          </cell>
          <cell r="D1480" t="str">
            <v>男</v>
          </cell>
          <cell r="E1480" t="str">
            <v>汉族</v>
          </cell>
          <cell r="F1480" t="str">
            <v>19730122</v>
          </cell>
          <cell r="G1480">
            <v>48</v>
          </cell>
          <cell r="H1480" t="str">
            <v>四川省仁寿县贵平镇中岗村10组</v>
          </cell>
          <cell r="I1480">
            <v>13060031606</v>
          </cell>
        </row>
        <row r="1481">
          <cell r="C1481" t="str">
            <v>511121197308096943</v>
          </cell>
          <cell r="D1481" t="str">
            <v>女</v>
          </cell>
          <cell r="E1481" t="str">
            <v>汉族</v>
          </cell>
          <cell r="F1481" t="str">
            <v>19730809</v>
          </cell>
          <cell r="G1481">
            <v>48</v>
          </cell>
          <cell r="H1481" t="str">
            <v>四川省仁寿县贵平镇中岗村10组</v>
          </cell>
        </row>
        <row r="1482">
          <cell r="C1482" t="str">
            <v>513822199501286947</v>
          </cell>
          <cell r="D1482" t="str">
            <v>女</v>
          </cell>
          <cell r="E1482" t="str">
            <v>汉族</v>
          </cell>
          <cell r="F1482" t="str">
            <v>19950128</v>
          </cell>
          <cell r="G1482">
            <v>26</v>
          </cell>
          <cell r="H1482" t="str">
            <v>四川省仁寿县贵平镇中岗村10组</v>
          </cell>
        </row>
        <row r="1483">
          <cell r="C1483" t="str">
            <v>511121197404266930</v>
          </cell>
          <cell r="D1483" t="str">
            <v>男</v>
          </cell>
          <cell r="E1483" t="str">
            <v>汉族</v>
          </cell>
          <cell r="F1483" t="str">
            <v>19740426</v>
          </cell>
          <cell r="G1483">
            <v>47</v>
          </cell>
          <cell r="H1483" t="str">
            <v>四川省仁寿县贵平镇中岗村10组</v>
          </cell>
          <cell r="I1483">
            <v>15892730826</v>
          </cell>
        </row>
        <row r="1484">
          <cell r="C1484" t="str">
            <v>511121197109279026</v>
          </cell>
          <cell r="D1484" t="str">
            <v>女</v>
          </cell>
          <cell r="E1484" t="str">
            <v>汉族</v>
          </cell>
          <cell r="F1484" t="str">
            <v>19710927</v>
          </cell>
          <cell r="G1484">
            <v>50</v>
          </cell>
          <cell r="H1484" t="str">
            <v>四川省仁寿县贵平镇中岗村10组</v>
          </cell>
          <cell r="I1484">
            <v>13880719432</v>
          </cell>
        </row>
        <row r="1485">
          <cell r="C1485" t="str">
            <v>511421200401196747</v>
          </cell>
          <cell r="D1485" t="str">
            <v>女</v>
          </cell>
          <cell r="E1485" t="str">
            <v>汉族</v>
          </cell>
          <cell r="F1485" t="str">
            <v>20040119</v>
          </cell>
          <cell r="G1485">
            <v>17</v>
          </cell>
          <cell r="H1485" t="str">
            <v>四川省仁寿县贵平镇中岗村10组</v>
          </cell>
          <cell r="I1485">
            <v>15883346393</v>
          </cell>
        </row>
        <row r="1486">
          <cell r="C1486" t="str">
            <v>51112119710313693X</v>
          </cell>
          <cell r="D1486" t="str">
            <v>男</v>
          </cell>
          <cell r="E1486" t="str">
            <v>汉族</v>
          </cell>
          <cell r="F1486" t="str">
            <v>19710313</v>
          </cell>
          <cell r="G1486">
            <v>50</v>
          </cell>
          <cell r="H1486" t="str">
            <v>四川省仁寿县贵平镇中岗村10组</v>
          </cell>
          <cell r="I1486">
            <v>13880201429</v>
          </cell>
        </row>
        <row r="1487">
          <cell r="C1487" t="str">
            <v>511121197612316947</v>
          </cell>
          <cell r="D1487" t="str">
            <v>女</v>
          </cell>
          <cell r="E1487" t="str">
            <v>汉族</v>
          </cell>
          <cell r="F1487" t="str">
            <v>19761231</v>
          </cell>
          <cell r="G1487">
            <v>45</v>
          </cell>
          <cell r="H1487" t="str">
            <v>四川省仁寿县贵平镇中岗村10组</v>
          </cell>
          <cell r="I1487">
            <v>13880357026</v>
          </cell>
        </row>
        <row r="1488">
          <cell r="C1488" t="str">
            <v>513822199802096936</v>
          </cell>
          <cell r="D1488" t="str">
            <v>男</v>
          </cell>
          <cell r="E1488" t="str">
            <v>汉族</v>
          </cell>
          <cell r="F1488" t="str">
            <v>19980209</v>
          </cell>
          <cell r="G1488">
            <v>23</v>
          </cell>
          <cell r="H1488" t="str">
            <v>四川省仁寿县贵平镇中岗村10组</v>
          </cell>
          <cell r="I1488">
            <v>18880409838</v>
          </cell>
        </row>
        <row r="1489">
          <cell r="C1489" t="str">
            <v>513822199811106964</v>
          </cell>
          <cell r="D1489" t="str">
            <v>女</v>
          </cell>
          <cell r="E1489" t="str">
            <v>汉族</v>
          </cell>
          <cell r="F1489" t="str">
            <v>19981110</v>
          </cell>
          <cell r="G1489">
            <v>23</v>
          </cell>
          <cell r="H1489" t="str">
            <v>四川省仁寿县贵平镇中岗村10组</v>
          </cell>
          <cell r="I1489">
            <v>13734914908</v>
          </cell>
        </row>
        <row r="1490">
          <cell r="C1490" t="str">
            <v>511121197207196937</v>
          </cell>
          <cell r="D1490" t="str">
            <v>男</v>
          </cell>
          <cell r="E1490" t="str">
            <v>汉族</v>
          </cell>
          <cell r="F1490" t="str">
            <v>19720719</v>
          </cell>
          <cell r="G1490">
            <v>49</v>
          </cell>
          <cell r="H1490" t="str">
            <v>四川省仁寿县贵平镇中岗村10组</v>
          </cell>
          <cell r="I1490">
            <v>13980088071</v>
          </cell>
        </row>
        <row r="1491">
          <cell r="C1491" t="str">
            <v>511121197310266964</v>
          </cell>
          <cell r="D1491" t="str">
            <v>女</v>
          </cell>
          <cell r="E1491" t="str">
            <v>汉族</v>
          </cell>
          <cell r="F1491" t="str">
            <v>19731026</v>
          </cell>
          <cell r="G1491">
            <v>48</v>
          </cell>
          <cell r="H1491" t="str">
            <v>四川省仁寿县贵平镇中岗村10组</v>
          </cell>
          <cell r="I1491">
            <v>13540024848</v>
          </cell>
        </row>
        <row r="1492">
          <cell r="C1492" t="str">
            <v>51382219970423694X</v>
          </cell>
          <cell r="D1492" t="str">
            <v>女</v>
          </cell>
          <cell r="E1492" t="str">
            <v>汉族</v>
          </cell>
          <cell r="F1492" t="str">
            <v>19970423</v>
          </cell>
          <cell r="G1492">
            <v>24</v>
          </cell>
          <cell r="H1492" t="str">
            <v>四川省仁寿县贵平镇中岗村10组</v>
          </cell>
          <cell r="I1492">
            <v>18227684041</v>
          </cell>
        </row>
        <row r="1493">
          <cell r="C1493" t="str">
            <v>511121197401206932</v>
          </cell>
          <cell r="D1493" t="str">
            <v>男</v>
          </cell>
          <cell r="E1493" t="str">
            <v>汉族</v>
          </cell>
          <cell r="F1493" t="str">
            <v>19740120</v>
          </cell>
          <cell r="G1493">
            <v>47</v>
          </cell>
          <cell r="H1493" t="str">
            <v>四川省仁寿县贵平镇中岗村10组</v>
          </cell>
          <cell r="I1493">
            <v>13084404272</v>
          </cell>
        </row>
        <row r="1494">
          <cell r="C1494" t="str">
            <v>511121197610026946</v>
          </cell>
          <cell r="D1494" t="str">
            <v>女</v>
          </cell>
          <cell r="E1494" t="str">
            <v>汉族</v>
          </cell>
          <cell r="F1494" t="str">
            <v>19761002</v>
          </cell>
          <cell r="G1494">
            <v>45</v>
          </cell>
          <cell r="H1494" t="str">
            <v>四川省仁寿县贵平镇中岗村10组</v>
          </cell>
          <cell r="I1494">
            <v>13408465852</v>
          </cell>
        </row>
        <row r="1495">
          <cell r="C1495" t="str">
            <v>513822199904146930</v>
          </cell>
          <cell r="D1495" t="str">
            <v>男</v>
          </cell>
          <cell r="E1495" t="str">
            <v>汉族</v>
          </cell>
          <cell r="F1495" t="str">
            <v>19990414</v>
          </cell>
          <cell r="G1495">
            <v>22</v>
          </cell>
          <cell r="H1495" t="str">
            <v>四川省仁寿县贵平镇中岗村10组</v>
          </cell>
          <cell r="I1495">
            <v>15208290620</v>
          </cell>
        </row>
        <row r="1496">
          <cell r="C1496" t="str">
            <v>511121197309226930</v>
          </cell>
          <cell r="D1496" t="str">
            <v>男</v>
          </cell>
          <cell r="E1496" t="str">
            <v>汉族</v>
          </cell>
          <cell r="F1496" t="str">
            <v>19730922</v>
          </cell>
          <cell r="G1496">
            <v>48</v>
          </cell>
          <cell r="H1496" t="str">
            <v>四川省仁寿县贵平镇中岗村10组</v>
          </cell>
          <cell r="I1496">
            <v>15378455047</v>
          </cell>
        </row>
        <row r="1497">
          <cell r="C1497" t="str">
            <v>511121197608156960</v>
          </cell>
          <cell r="D1497" t="str">
            <v>女</v>
          </cell>
          <cell r="E1497" t="str">
            <v>汉族</v>
          </cell>
          <cell r="F1497" t="str">
            <v>19760815</v>
          </cell>
          <cell r="G1497">
            <v>45</v>
          </cell>
          <cell r="H1497" t="str">
            <v>四川省仁寿县贵平镇中岗村10组</v>
          </cell>
          <cell r="I1497">
            <v>15378455047</v>
          </cell>
        </row>
        <row r="1498">
          <cell r="C1498" t="str">
            <v>513822200009056766</v>
          </cell>
          <cell r="D1498" t="str">
            <v>女</v>
          </cell>
          <cell r="E1498" t="str">
            <v>汉族</v>
          </cell>
          <cell r="F1498" t="str">
            <v>20000905</v>
          </cell>
          <cell r="G1498">
            <v>21</v>
          </cell>
          <cell r="H1498" t="str">
            <v>四川省仁寿县贵平镇中岗村10组</v>
          </cell>
          <cell r="I1498">
            <v>13378365542</v>
          </cell>
        </row>
        <row r="1499">
          <cell r="C1499" t="str">
            <v>513822199509136943</v>
          </cell>
          <cell r="D1499" t="str">
            <v>女</v>
          </cell>
          <cell r="E1499" t="str">
            <v>汉族</v>
          </cell>
          <cell r="F1499" t="str">
            <v>19950913</v>
          </cell>
          <cell r="G1499">
            <v>26</v>
          </cell>
          <cell r="H1499" t="str">
            <v>四川省仁寿县贵平镇中岗村10组</v>
          </cell>
          <cell r="I1499">
            <v>17721846136</v>
          </cell>
        </row>
        <row r="1500">
          <cell r="C1500" t="str">
            <v>511121197003196951</v>
          </cell>
          <cell r="D1500" t="str">
            <v>男</v>
          </cell>
          <cell r="E1500" t="str">
            <v>汉族</v>
          </cell>
          <cell r="F1500" t="str">
            <v>19700319</v>
          </cell>
          <cell r="G1500">
            <v>51</v>
          </cell>
          <cell r="H1500" t="str">
            <v>四川省仁寿县贵平镇中岗村10组</v>
          </cell>
          <cell r="I1500">
            <v>15202894518</v>
          </cell>
        </row>
        <row r="1501">
          <cell r="C1501" t="str">
            <v>511121197403156940</v>
          </cell>
          <cell r="D1501" t="str">
            <v>女</v>
          </cell>
          <cell r="E1501" t="str">
            <v>汉族</v>
          </cell>
          <cell r="F1501" t="str">
            <v>19740315</v>
          </cell>
          <cell r="G1501">
            <v>47</v>
          </cell>
          <cell r="H1501" t="str">
            <v>四川省仁寿县贵平镇中岗村10组</v>
          </cell>
          <cell r="I1501">
            <v>15002850189</v>
          </cell>
        </row>
        <row r="1502">
          <cell r="C1502" t="str">
            <v>513822199702106930</v>
          </cell>
          <cell r="D1502" t="str">
            <v>男</v>
          </cell>
          <cell r="E1502" t="str">
            <v>汉族</v>
          </cell>
          <cell r="F1502" t="str">
            <v>19970210</v>
          </cell>
          <cell r="G1502">
            <v>24</v>
          </cell>
          <cell r="H1502" t="str">
            <v>四川省仁寿县贵平镇中岗村10组</v>
          </cell>
          <cell r="I1502">
            <v>18227809452</v>
          </cell>
        </row>
        <row r="1503">
          <cell r="C1503" t="str">
            <v>511121196504206930</v>
          </cell>
          <cell r="D1503" t="str">
            <v>男</v>
          </cell>
          <cell r="E1503" t="str">
            <v>汉族</v>
          </cell>
          <cell r="F1503" t="str">
            <v>19650420</v>
          </cell>
          <cell r="G1503">
            <v>56</v>
          </cell>
          <cell r="H1503" t="str">
            <v>四川省仁寿县贵平镇中岗村10组</v>
          </cell>
          <cell r="I1503">
            <v>15201482558</v>
          </cell>
        </row>
        <row r="1504">
          <cell r="C1504" t="str">
            <v>511121196901086944</v>
          </cell>
          <cell r="D1504" t="str">
            <v>女</v>
          </cell>
          <cell r="E1504" t="str">
            <v>汉族</v>
          </cell>
          <cell r="F1504" t="str">
            <v>19690108</v>
          </cell>
          <cell r="G1504">
            <v>52</v>
          </cell>
          <cell r="H1504" t="str">
            <v>四川省仁寿县贵平镇中岗村10组</v>
          </cell>
          <cell r="I1504">
            <v>13121031615</v>
          </cell>
        </row>
        <row r="1505">
          <cell r="C1505" t="str">
            <v>511421199707076785</v>
          </cell>
          <cell r="D1505" t="str">
            <v>女</v>
          </cell>
          <cell r="E1505" t="str">
            <v>汉族</v>
          </cell>
          <cell r="F1505" t="str">
            <v>19970707</v>
          </cell>
          <cell r="G1505">
            <v>24</v>
          </cell>
          <cell r="H1505" t="str">
            <v>四川省仁寿县贵平镇中岗村10组</v>
          </cell>
          <cell r="I1505">
            <v>15775999539</v>
          </cell>
        </row>
        <row r="1506">
          <cell r="C1506" t="str">
            <v>511421198901276727</v>
          </cell>
          <cell r="D1506" t="str">
            <v>女</v>
          </cell>
          <cell r="E1506" t="str">
            <v>汉族</v>
          </cell>
          <cell r="F1506" t="str">
            <v>19890127</v>
          </cell>
          <cell r="G1506">
            <v>32</v>
          </cell>
          <cell r="H1506" t="str">
            <v>四川省仁寿县贵平镇中岗村10组</v>
          </cell>
          <cell r="I1506">
            <v>17623896628</v>
          </cell>
        </row>
        <row r="1507">
          <cell r="C1507" t="str">
            <v>511121197301206943</v>
          </cell>
          <cell r="D1507" t="str">
            <v>女</v>
          </cell>
          <cell r="E1507" t="str">
            <v>汉族</v>
          </cell>
          <cell r="F1507" t="str">
            <v>19730120</v>
          </cell>
          <cell r="G1507">
            <v>48</v>
          </cell>
          <cell r="H1507" t="str">
            <v>四川省仁寿县贵平镇中岗村10组</v>
          </cell>
        </row>
        <row r="1508">
          <cell r="C1508" t="str">
            <v>511121197208206914</v>
          </cell>
          <cell r="D1508" t="str">
            <v>男</v>
          </cell>
          <cell r="E1508" t="str">
            <v>汉族</v>
          </cell>
          <cell r="F1508" t="str">
            <v>19720820</v>
          </cell>
          <cell r="G1508">
            <v>49</v>
          </cell>
          <cell r="H1508" t="str">
            <v>四川省仁寿县贵平镇中岗村10组</v>
          </cell>
          <cell r="I1508">
            <v>18381162279</v>
          </cell>
        </row>
        <row r="1509">
          <cell r="C1509" t="str">
            <v>513822199604206938</v>
          </cell>
          <cell r="D1509" t="str">
            <v>男</v>
          </cell>
          <cell r="E1509" t="str">
            <v>汉族</v>
          </cell>
          <cell r="F1509" t="str">
            <v>19960420</v>
          </cell>
          <cell r="G1509">
            <v>25</v>
          </cell>
          <cell r="H1509" t="str">
            <v>四川省仁寿县贵平镇中岗村10组</v>
          </cell>
          <cell r="I1509">
            <v>18280334749</v>
          </cell>
        </row>
        <row r="1510">
          <cell r="C1510" t="str">
            <v>511121195306196933</v>
          </cell>
          <cell r="D1510" t="str">
            <v>男</v>
          </cell>
          <cell r="E1510" t="str">
            <v>汉族</v>
          </cell>
          <cell r="F1510" t="str">
            <v>19530619</v>
          </cell>
          <cell r="G1510">
            <v>68</v>
          </cell>
          <cell r="H1510" t="str">
            <v>四川省仁寿县贵平镇中岗村10组</v>
          </cell>
          <cell r="I1510">
            <v>18728378455</v>
          </cell>
        </row>
        <row r="1511">
          <cell r="C1511" t="str">
            <v>511121195204266945</v>
          </cell>
          <cell r="D1511" t="str">
            <v>女</v>
          </cell>
          <cell r="E1511" t="str">
            <v>汉族</v>
          </cell>
          <cell r="F1511" t="str">
            <v>19520426</v>
          </cell>
          <cell r="G1511">
            <v>69</v>
          </cell>
          <cell r="H1511" t="str">
            <v>四川省仁寿县贵平镇中岗村10组</v>
          </cell>
          <cell r="I1511">
            <v>18282463266</v>
          </cell>
        </row>
        <row r="1512">
          <cell r="C1512" t="str">
            <v>511421201608106854</v>
          </cell>
          <cell r="D1512" t="str">
            <v>男</v>
          </cell>
          <cell r="E1512" t="str">
            <v>汉族</v>
          </cell>
          <cell r="F1512" t="str">
            <v>20160810</v>
          </cell>
          <cell r="G1512">
            <v>5</v>
          </cell>
          <cell r="H1512" t="str">
            <v>四川省仁寿县贵平镇中岗村10组</v>
          </cell>
        </row>
        <row r="1513">
          <cell r="C1513" t="str">
            <v>513822198906216934</v>
          </cell>
          <cell r="D1513" t="str">
            <v>男</v>
          </cell>
          <cell r="E1513" t="str">
            <v>汉族</v>
          </cell>
          <cell r="F1513" t="str">
            <v>19890621</v>
          </cell>
          <cell r="G1513">
            <v>32</v>
          </cell>
          <cell r="H1513" t="str">
            <v>四川省仁寿县贵平镇中岗村10组</v>
          </cell>
          <cell r="I1513">
            <v>13881868852</v>
          </cell>
        </row>
        <row r="1514">
          <cell r="C1514" t="str">
            <v>511121195702056932</v>
          </cell>
          <cell r="D1514" t="str">
            <v>男</v>
          </cell>
          <cell r="E1514" t="str">
            <v>汉族</v>
          </cell>
          <cell r="F1514" t="str">
            <v>19570205</v>
          </cell>
          <cell r="G1514">
            <v>64</v>
          </cell>
          <cell r="H1514" t="str">
            <v>四川省仁寿县贵平镇中岗村10组</v>
          </cell>
          <cell r="I1514">
            <v>15983338310</v>
          </cell>
        </row>
        <row r="1515">
          <cell r="C1515" t="str">
            <v>511121195704046949</v>
          </cell>
          <cell r="D1515" t="str">
            <v>女</v>
          </cell>
          <cell r="E1515" t="str">
            <v>汉族</v>
          </cell>
          <cell r="F1515" t="str">
            <v>19570404</v>
          </cell>
          <cell r="G1515">
            <v>64</v>
          </cell>
          <cell r="H1515" t="str">
            <v>四川省仁寿县贵平镇中岗村10组</v>
          </cell>
        </row>
        <row r="1516">
          <cell r="C1516" t="str">
            <v>511421201206136778</v>
          </cell>
          <cell r="D1516" t="str">
            <v>男</v>
          </cell>
          <cell r="E1516" t="str">
            <v>汉族</v>
          </cell>
          <cell r="F1516" t="str">
            <v>20120613</v>
          </cell>
          <cell r="G1516">
            <v>9</v>
          </cell>
          <cell r="H1516" t="str">
            <v>四川省仁寿县贵平镇中岗村10组</v>
          </cell>
        </row>
        <row r="1517">
          <cell r="C1517" t="str">
            <v>51382219850401693X</v>
          </cell>
          <cell r="D1517" t="str">
            <v>男</v>
          </cell>
          <cell r="E1517" t="str">
            <v>汉族</v>
          </cell>
          <cell r="F1517" t="str">
            <v>19850401</v>
          </cell>
          <cell r="G1517">
            <v>36</v>
          </cell>
          <cell r="H1517" t="str">
            <v>四川省仁寿县贵平镇中岗村10组</v>
          </cell>
          <cell r="I1517">
            <v>13518133400</v>
          </cell>
        </row>
        <row r="1518">
          <cell r="C1518" t="str">
            <v>511421201612180096</v>
          </cell>
          <cell r="D1518" t="str">
            <v>男</v>
          </cell>
          <cell r="E1518" t="str">
            <v>汉族</v>
          </cell>
          <cell r="F1518" t="str">
            <v>20161218</v>
          </cell>
          <cell r="G1518">
            <v>5</v>
          </cell>
          <cell r="H1518" t="str">
            <v>四川省仁寿县贵平镇中岗村10组</v>
          </cell>
        </row>
        <row r="1519">
          <cell r="C1519" t="str">
            <v>511121195010096933</v>
          </cell>
          <cell r="D1519" t="str">
            <v>男</v>
          </cell>
          <cell r="E1519" t="str">
            <v>汉族</v>
          </cell>
          <cell r="F1519" t="str">
            <v>19501009</v>
          </cell>
          <cell r="G1519">
            <v>71</v>
          </cell>
          <cell r="H1519" t="str">
            <v>四川省仁寿县贵平镇中岗村10组</v>
          </cell>
          <cell r="I1519">
            <v>15228831630</v>
          </cell>
        </row>
        <row r="1520">
          <cell r="C1520" t="str">
            <v>511121195112016949</v>
          </cell>
          <cell r="D1520" t="str">
            <v>女</v>
          </cell>
          <cell r="E1520" t="str">
            <v>汉族</v>
          </cell>
          <cell r="F1520" t="str">
            <v>19511201</v>
          </cell>
          <cell r="G1520">
            <v>70</v>
          </cell>
          <cell r="H1520" t="str">
            <v>四川省仁寿县贵平镇中岗村10组</v>
          </cell>
          <cell r="I1520">
            <v>1374196475</v>
          </cell>
        </row>
        <row r="1521">
          <cell r="C1521" t="str">
            <v>511121198009026931</v>
          </cell>
          <cell r="D1521" t="str">
            <v>男</v>
          </cell>
          <cell r="E1521" t="str">
            <v>汉族</v>
          </cell>
          <cell r="F1521" t="str">
            <v>19800902</v>
          </cell>
          <cell r="G1521">
            <v>41</v>
          </cell>
          <cell r="H1521" t="str">
            <v>四川省仁寿县贵平镇中岗村10组</v>
          </cell>
          <cell r="I1521">
            <v>18200513571</v>
          </cell>
        </row>
        <row r="1522">
          <cell r="C1522" t="str">
            <v>513126198101152029</v>
          </cell>
          <cell r="D1522" t="str">
            <v>女</v>
          </cell>
          <cell r="E1522" t="str">
            <v>汉族</v>
          </cell>
          <cell r="F1522" t="str">
            <v>19810115</v>
          </cell>
          <cell r="G1522">
            <v>40</v>
          </cell>
          <cell r="H1522" t="str">
            <v>四川省仁寿县贵平镇中岗村10组</v>
          </cell>
        </row>
        <row r="1523">
          <cell r="C1523" t="str">
            <v>51312620030329202X</v>
          </cell>
          <cell r="D1523" t="str">
            <v>女</v>
          </cell>
          <cell r="E1523" t="str">
            <v>汉族</v>
          </cell>
          <cell r="F1523" t="str">
            <v>20030329</v>
          </cell>
          <cell r="G1523">
            <v>18</v>
          </cell>
          <cell r="H1523" t="str">
            <v>四川省仁寿县贵平镇中岗村10组</v>
          </cell>
        </row>
        <row r="1524">
          <cell r="C1524" t="str">
            <v>511121193711226930</v>
          </cell>
          <cell r="D1524" t="str">
            <v>男</v>
          </cell>
          <cell r="E1524" t="str">
            <v>汉族</v>
          </cell>
          <cell r="F1524" t="str">
            <v>19371122</v>
          </cell>
          <cell r="G1524">
            <v>84</v>
          </cell>
          <cell r="H1524" t="str">
            <v>四川省仁寿县贵平镇中岗村10组</v>
          </cell>
          <cell r="I1524">
            <v>13648139194</v>
          </cell>
        </row>
        <row r="1525">
          <cell r="C1525" t="str">
            <v>511121194712276942</v>
          </cell>
          <cell r="D1525" t="str">
            <v>女</v>
          </cell>
          <cell r="E1525" t="str">
            <v>汉族</v>
          </cell>
          <cell r="F1525" t="str">
            <v>19471227</v>
          </cell>
          <cell r="G1525">
            <v>74</v>
          </cell>
          <cell r="H1525" t="str">
            <v>四川省仁寿县贵平镇中岗村10组</v>
          </cell>
        </row>
        <row r="1526">
          <cell r="C1526" t="str">
            <v>511121197311246949</v>
          </cell>
          <cell r="D1526" t="str">
            <v>女</v>
          </cell>
          <cell r="E1526" t="str">
            <v>汉族</v>
          </cell>
          <cell r="F1526" t="str">
            <v>19731124</v>
          </cell>
          <cell r="G1526">
            <v>48</v>
          </cell>
          <cell r="H1526" t="str">
            <v>四川省仁寿县贵平镇中岗村10组</v>
          </cell>
        </row>
        <row r="1527">
          <cell r="C1527" t="str">
            <v>511121194510256943</v>
          </cell>
          <cell r="D1527" t="str">
            <v>女</v>
          </cell>
          <cell r="E1527" t="str">
            <v>汉族</v>
          </cell>
          <cell r="F1527" t="str">
            <v>19451025</v>
          </cell>
          <cell r="G1527">
            <v>76</v>
          </cell>
          <cell r="H1527" t="str">
            <v>四川省仁寿县贵平镇中岗村10组</v>
          </cell>
          <cell r="I1527">
            <v>13898663488</v>
          </cell>
        </row>
        <row r="1528">
          <cell r="C1528" t="str">
            <v>511121196603056931</v>
          </cell>
          <cell r="D1528" t="str">
            <v>男</v>
          </cell>
          <cell r="E1528" t="str">
            <v>汉族</v>
          </cell>
          <cell r="F1528" t="str">
            <v>19660305</v>
          </cell>
          <cell r="G1528">
            <v>55</v>
          </cell>
          <cell r="H1528" t="str">
            <v>四川省仁寿县贵平镇中岗村10组</v>
          </cell>
          <cell r="I1528">
            <v>13568862993</v>
          </cell>
        </row>
        <row r="1529">
          <cell r="C1529" t="str">
            <v>511121196712066960</v>
          </cell>
          <cell r="D1529" t="str">
            <v>女</v>
          </cell>
          <cell r="E1529" t="str">
            <v>汉族</v>
          </cell>
          <cell r="F1529" t="str">
            <v>19671206</v>
          </cell>
          <cell r="G1529">
            <v>54</v>
          </cell>
          <cell r="H1529" t="str">
            <v>四川省仁寿县贵平镇中岗村10组</v>
          </cell>
          <cell r="I1529">
            <v>13739450234</v>
          </cell>
        </row>
        <row r="1530">
          <cell r="C1530" t="str">
            <v>513822199006066947</v>
          </cell>
          <cell r="D1530" t="str">
            <v>女</v>
          </cell>
          <cell r="E1530" t="str">
            <v>汉族</v>
          </cell>
          <cell r="F1530" t="str">
            <v>19900606</v>
          </cell>
          <cell r="G1530">
            <v>31</v>
          </cell>
          <cell r="H1530" t="str">
            <v>四川省仁寿县贵平镇中岗村10组</v>
          </cell>
          <cell r="I1530">
            <v>17713586651</v>
          </cell>
        </row>
        <row r="1531">
          <cell r="C1531" t="str">
            <v>513822198611054990</v>
          </cell>
          <cell r="D1531" t="str">
            <v>男</v>
          </cell>
          <cell r="E1531" t="str">
            <v>汉族</v>
          </cell>
          <cell r="F1531" t="str">
            <v>19861105</v>
          </cell>
          <cell r="G1531">
            <v>35</v>
          </cell>
          <cell r="H1531" t="str">
            <v>四川省仁寿县贵平镇中岗村10组</v>
          </cell>
          <cell r="I1531">
            <v>13541246527</v>
          </cell>
        </row>
        <row r="1532">
          <cell r="C1532" t="str">
            <v>511421201308116858</v>
          </cell>
          <cell r="D1532" t="str">
            <v>男</v>
          </cell>
          <cell r="E1532" t="str">
            <v>汉族</v>
          </cell>
          <cell r="F1532" t="str">
            <v>20130811</v>
          </cell>
          <cell r="G1532">
            <v>8</v>
          </cell>
          <cell r="H1532" t="str">
            <v>四川省仁寿县贵平镇中岗村10组</v>
          </cell>
        </row>
        <row r="1533">
          <cell r="C1533" t="str">
            <v>511121194406106937</v>
          </cell>
          <cell r="D1533" t="str">
            <v>男</v>
          </cell>
          <cell r="E1533" t="str">
            <v>汉族</v>
          </cell>
          <cell r="F1533" t="str">
            <v>19440610</v>
          </cell>
          <cell r="G1533">
            <v>77</v>
          </cell>
          <cell r="H1533" t="str">
            <v>四川省仁寿县贵平镇中岗村10组</v>
          </cell>
          <cell r="I1533">
            <v>18728378783</v>
          </cell>
        </row>
        <row r="1534">
          <cell r="C1534" t="str">
            <v>511121194703106968</v>
          </cell>
          <cell r="D1534" t="str">
            <v>女</v>
          </cell>
          <cell r="E1534" t="str">
            <v>汉族</v>
          </cell>
          <cell r="F1534" t="str">
            <v>19470310</v>
          </cell>
          <cell r="G1534">
            <v>74</v>
          </cell>
          <cell r="H1534" t="str">
            <v>四川省仁寿县贵平镇中岗村10组</v>
          </cell>
          <cell r="I1534">
            <v>13881785887</v>
          </cell>
        </row>
        <row r="1535">
          <cell r="C1535" t="str">
            <v>511121197805126955</v>
          </cell>
          <cell r="D1535" t="str">
            <v>男</v>
          </cell>
          <cell r="E1535" t="str">
            <v>汉族</v>
          </cell>
          <cell r="F1535" t="str">
            <v>19780512</v>
          </cell>
          <cell r="G1535">
            <v>43</v>
          </cell>
          <cell r="H1535" t="str">
            <v>四川省仁寿县贵平镇中岗村10组</v>
          </cell>
          <cell r="I1535">
            <v>15928830492</v>
          </cell>
        </row>
        <row r="1536">
          <cell r="C1536" t="str">
            <v>513822200011056693</v>
          </cell>
          <cell r="D1536" t="str">
            <v>男</v>
          </cell>
          <cell r="E1536" t="str">
            <v>汉族</v>
          </cell>
          <cell r="F1536" t="str">
            <v>20001105</v>
          </cell>
          <cell r="G1536">
            <v>21</v>
          </cell>
          <cell r="H1536" t="str">
            <v>四川省仁寿县贵平镇中岗村10组</v>
          </cell>
          <cell r="I1536">
            <v>13540698024</v>
          </cell>
        </row>
        <row r="1537">
          <cell r="C1537" t="str">
            <v>511121197303206939</v>
          </cell>
          <cell r="D1537" t="str">
            <v>男</v>
          </cell>
          <cell r="E1537" t="str">
            <v>汉族</v>
          </cell>
          <cell r="F1537" t="str">
            <v>19730320</v>
          </cell>
          <cell r="G1537">
            <v>48</v>
          </cell>
          <cell r="H1537" t="str">
            <v>四川省仁寿县贵平镇中岗村10组</v>
          </cell>
          <cell r="I1537">
            <v>13858878178</v>
          </cell>
        </row>
        <row r="1538">
          <cell r="C1538" t="str">
            <v>511121193910266935</v>
          </cell>
          <cell r="D1538" t="str">
            <v>男</v>
          </cell>
          <cell r="E1538" t="str">
            <v>汉族</v>
          </cell>
          <cell r="F1538" t="str">
            <v>19391026</v>
          </cell>
          <cell r="G1538">
            <v>82</v>
          </cell>
          <cell r="H1538" t="str">
            <v>四川省仁寿县贵平镇中岗村10组</v>
          </cell>
          <cell r="I1538">
            <v>18282475843</v>
          </cell>
        </row>
        <row r="1539">
          <cell r="C1539" t="str">
            <v>511121194809166731</v>
          </cell>
          <cell r="D1539" t="str">
            <v>男</v>
          </cell>
          <cell r="E1539" t="str">
            <v>汉族</v>
          </cell>
          <cell r="F1539" t="str">
            <v>19480916</v>
          </cell>
          <cell r="G1539">
            <v>73</v>
          </cell>
          <cell r="H1539" t="str">
            <v>四川省仁寿县贵平镇中岗村10组</v>
          </cell>
          <cell r="I1539">
            <v>17828224018</v>
          </cell>
        </row>
        <row r="1540">
          <cell r="C1540" t="str">
            <v>511121194905096948</v>
          </cell>
          <cell r="D1540" t="str">
            <v>女</v>
          </cell>
          <cell r="E1540" t="str">
            <v>汉族</v>
          </cell>
          <cell r="F1540" t="str">
            <v>19490509</v>
          </cell>
          <cell r="G1540">
            <v>72</v>
          </cell>
          <cell r="H1540" t="str">
            <v>四川省仁寿县贵平镇中岗村10组</v>
          </cell>
        </row>
        <row r="1541">
          <cell r="C1541" t="str">
            <v>51112119771108693X</v>
          </cell>
          <cell r="D1541" t="str">
            <v>男</v>
          </cell>
          <cell r="E1541" t="str">
            <v>汉族</v>
          </cell>
          <cell r="F1541" t="str">
            <v>19771108</v>
          </cell>
          <cell r="G1541">
            <v>44</v>
          </cell>
          <cell r="H1541" t="str">
            <v>四川省仁寿县贵平镇中岗村10组</v>
          </cell>
        </row>
        <row r="1542">
          <cell r="C1542" t="str">
            <v>511121194910206937</v>
          </cell>
          <cell r="D1542" t="str">
            <v>男</v>
          </cell>
          <cell r="E1542" t="str">
            <v>汉族</v>
          </cell>
          <cell r="F1542" t="str">
            <v>19491020</v>
          </cell>
          <cell r="G1542">
            <v>72</v>
          </cell>
          <cell r="H1542" t="str">
            <v>四川省仁寿县贵平镇中岗村10组</v>
          </cell>
        </row>
        <row r="1543">
          <cell r="C1543" t="str">
            <v>511121197908016935</v>
          </cell>
          <cell r="D1543" t="str">
            <v>男</v>
          </cell>
          <cell r="E1543" t="str">
            <v>汉族</v>
          </cell>
          <cell r="F1543" t="str">
            <v>19790801</v>
          </cell>
          <cell r="G1543">
            <v>42</v>
          </cell>
          <cell r="H1543" t="str">
            <v>四川省仁寿县贵平镇中岗村10组</v>
          </cell>
        </row>
        <row r="1544">
          <cell r="C1544" t="str">
            <v>511121195107226941</v>
          </cell>
          <cell r="D1544" t="str">
            <v>女</v>
          </cell>
          <cell r="E1544" t="str">
            <v>汉族</v>
          </cell>
          <cell r="F1544" t="str">
            <v>19510722</v>
          </cell>
          <cell r="G1544">
            <v>70</v>
          </cell>
          <cell r="H1544" t="str">
            <v>四川省仁寿县贵平镇中岗村10组</v>
          </cell>
          <cell r="I1544">
            <v>13219766126</v>
          </cell>
        </row>
        <row r="1545">
          <cell r="C1545" t="str">
            <v>511421200709156733</v>
          </cell>
          <cell r="D1545" t="str">
            <v>男</v>
          </cell>
          <cell r="E1545" t="str">
            <v>汉族</v>
          </cell>
          <cell r="F1545" t="str">
            <v>20070915</v>
          </cell>
          <cell r="G1545">
            <v>14</v>
          </cell>
          <cell r="H1545" t="str">
            <v>四川省仁寿县贵平镇中岗村10组</v>
          </cell>
        </row>
        <row r="1546">
          <cell r="C1546" t="str">
            <v>511121197605176931</v>
          </cell>
          <cell r="D1546" t="str">
            <v>男</v>
          </cell>
          <cell r="E1546" t="str">
            <v>汉族</v>
          </cell>
          <cell r="F1546" t="str">
            <v>19760517</v>
          </cell>
          <cell r="G1546">
            <v>45</v>
          </cell>
          <cell r="H1546" t="str">
            <v>四川省仁寿县贵平镇中岗村10组</v>
          </cell>
          <cell r="I1546">
            <v>15823297734</v>
          </cell>
        </row>
        <row r="1547">
          <cell r="C1547" t="str">
            <v>511121195009056942</v>
          </cell>
          <cell r="D1547" t="str">
            <v>女</v>
          </cell>
          <cell r="E1547" t="str">
            <v>汉族</v>
          </cell>
          <cell r="F1547" t="str">
            <v>19500905</v>
          </cell>
          <cell r="G1547">
            <v>71</v>
          </cell>
          <cell r="H1547" t="str">
            <v>四川省仁寿县贵平镇中岗村10组</v>
          </cell>
        </row>
        <row r="1548">
          <cell r="C1548" t="str">
            <v>511121194805146952</v>
          </cell>
          <cell r="D1548" t="str">
            <v>男</v>
          </cell>
          <cell r="E1548" t="str">
            <v>汉族</v>
          </cell>
          <cell r="F1548" t="str">
            <v>19480514</v>
          </cell>
          <cell r="G1548">
            <v>73</v>
          </cell>
          <cell r="H1548" t="str">
            <v>四川省仁寿县贵平镇中岗村10组</v>
          </cell>
        </row>
        <row r="1549">
          <cell r="C1549" t="str">
            <v>511121195106156937</v>
          </cell>
          <cell r="D1549" t="str">
            <v>男</v>
          </cell>
          <cell r="E1549" t="str">
            <v>汉族</v>
          </cell>
          <cell r="F1549" t="str">
            <v>19510615</v>
          </cell>
          <cell r="G1549">
            <v>70</v>
          </cell>
          <cell r="H1549" t="str">
            <v>四川省仁寿县贵平镇中岗村10组</v>
          </cell>
          <cell r="I1549">
            <v>13696071235</v>
          </cell>
        </row>
        <row r="1550">
          <cell r="C1550" t="str">
            <v>511121195004236944</v>
          </cell>
          <cell r="D1550" t="str">
            <v>女</v>
          </cell>
          <cell r="E1550" t="str">
            <v>汉族</v>
          </cell>
          <cell r="F1550" t="str">
            <v>19500423</v>
          </cell>
          <cell r="G1550">
            <v>71</v>
          </cell>
          <cell r="H1550" t="str">
            <v>四川省仁寿县贵平镇中岗村10组</v>
          </cell>
        </row>
        <row r="1551">
          <cell r="C1551" t="str">
            <v>511121195702166947</v>
          </cell>
          <cell r="D1551" t="str">
            <v>女</v>
          </cell>
          <cell r="E1551" t="str">
            <v>汉族</v>
          </cell>
          <cell r="F1551" t="str">
            <v>19570216</v>
          </cell>
          <cell r="G1551">
            <v>64</v>
          </cell>
          <cell r="H1551" t="str">
            <v>四川省仁寿县贵平镇中岗村10组</v>
          </cell>
        </row>
        <row r="1552">
          <cell r="C1552" t="str">
            <v>511121196710236954</v>
          </cell>
          <cell r="D1552" t="str">
            <v>男</v>
          </cell>
          <cell r="E1552" t="str">
            <v>汉族</v>
          </cell>
          <cell r="F1552" t="str">
            <v>19671023</v>
          </cell>
          <cell r="G1552">
            <v>54</v>
          </cell>
          <cell r="H1552" t="str">
            <v>四川省仁寿县贵平镇中岗村10组</v>
          </cell>
          <cell r="I1552">
            <v>15828648454</v>
          </cell>
        </row>
        <row r="1553">
          <cell r="C1553" t="str">
            <v>511121196712146944</v>
          </cell>
          <cell r="D1553" t="str">
            <v>女</v>
          </cell>
          <cell r="E1553" t="str">
            <v>汉族</v>
          </cell>
          <cell r="F1553" t="str">
            <v>19671214</v>
          </cell>
          <cell r="G1553">
            <v>54</v>
          </cell>
          <cell r="H1553" t="str">
            <v>四川省仁寿县贵平镇中岗村10组</v>
          </cell>
          <cell r="I1553">
            <v>17711297364</v>
          </cell>
        </row>
        <row r="1554">
          <cell r="C1554" t="str">
            <v>513822199703086935</v>
          </cell>
          <cell r="D1554" t="str">
            <v>男</v>
          </cell>
          <cell r="E1554" t="str">
            <v>汉族</v>
          </cell>
          <cell r="F1554" t="str">
            <v>19970308</v>
          </cell>
          <cell r="G1554">
            <v>24</v>
          </cell>
          <cell r="H1554" t="str">
            <v>四川省仁寿县贵平镇中岗村10组</v>
          </cell>
          <cell r="I1554">
            <v>18384284978</v>
          </cell>
        </row>
        <row r="1555">
          <cell r="C1555" t="str">
            <v>511121193511286963</v>
          </cell>
          <cell r="D1555" t="str">
            <v>女</v>
          </cell>
          <cell r="E1555" t="str">
            <v>汉族</v>
          </cell>
          <cell r="F1555" t="str">
            <v>19351128</v>
          </cell>
          <cell r="G1555">
            <v>86</v>
          </cell>
          <cell r="H1555" t="str">
            <v>四川省仁寿县贵平镇中岗村10组</v>
          </cell>
        </row>
        <row r="1556">
          <cell r="C1556" t="str">
            <v>511121195905196935</v>
          </cell>
          <cell r="D1556" t="str">
            <v>男</v>
          </cell>
          <cell r="E1556" t="str">
            <v>汉族</v>
          </cell>
          <cell r="F1556" t="str">
            <v>19590519</v>
          </cell>
          <cell r="G1556">
            <v>62</v>
          </cell>
          <cell r="H1556" t="str">
            <v>四川省仁寿县贵平镇中岗村10组</v>
          </cell>
          <cell r="I1556">
            <v>18228517466</v>
          </cell>
        </row>
        <row r="1557">
          <cell r="C1557" t="str">
            <v>51112119630429696X</v>
          </cell>
          <cell r="D1557" t="str">
            <v>女</v>
          </cell>
          <cell r="E1557" t="str">
            <v>汉族</v>
          </cell>
          <cell r="F1557" t="str">
            <v>19630429</v>
          </cell>
          <cell r="G1557">
            <v>58</v>
          </cell>
          <cell r="H1557" t="str">
            <v>四川省仁寿县贵平镇中岗村10组</v>
          </cell>
          <cell r="I1557">
            <v>18228517466</v>
          </cell>
        </row>
        <row r="1558">
          <cell r="C1558" t="str">
            <v>51112119821021693X</v>
          </cell>
          <cell r="D1558" t="str">
            <v>男</v>
          </cell>
          <cell r="E1558" t="str">
            <v>汉族</v>
          </cell>
          <cell r="F1558" t="str">
            <v>19821021</v>
          </cell>
          <cell r="G1558">
            <v>39</v>
          </cell>
          <cell r="H1558" t="str">
            <v>四川省仁寿县贵平镇中岗村10组</v>
          </cell>
          <cell r="I1558">
            <v>18200575223</v>
          </cell>
        </row>
        <row r="1559">
          <cell r="C1559" t="str">
            <v>511027198305229162</v>
          </cell>
          <cell r="D1559" t="str">
            <v>女</v>
          </cell>
          <cell r="E1559" t="str">
            <v>汉族</v>
          </cell>
          <cell r="F1559" t="str">
            <v>19830522</v>
          </cell>
          <cell r="G1559">
            <v>38</v>
          </cell>
          <cell r="H1559" t="str">
            <v>四川省仁寿县贵平镇中岗村10组</v>
          </cell>
          <cell r="I1559">
            <v>13219068773</v>
          </cell>
        </row>
        <row r="1560">
          <cell r="C1560" t="str">
            <v>511421200506076709</v>
          </cell>
          <cell r="D1560" t="str">
            <v>女</v>
          </cell>
          <cell r="E1560" t="str">
            <v>汉族</v>
          </cell>
          <cell r="F1560" t="str">
            <v>20050607</v>
          </cell>
          <cell r="G1560">
            <v>16</v>
          </cell>
          <cell r="H1560" t="str">
            <v>四川省仁寿县贵平镇中岗村10组</v>
          </cell>
        </row>
        <row r="1561">
          <cell r="C1561" t="str">
            <v>511421200902106746</v>
          </cell>
          <cell r="D1561" t="str">
            <v>女</v>
          </cell>
          <cell r="E1561" t="str">
            <v>汉族</v>
          </cell>
          <cell r="F1561" t="str">
            <v>20090210</v>
          </cell>
          <cell r="G1561">
            <v>12</v>
          </cell>
          <cell r="H1561" t="str">
            <v>四川省仁寿县贵平镇中岗村10组</v>
          </cell>
        </row>
        <row r="1562">
          <cell r="C1562" t="str">
            <v>511121196305166972</v>
          </cell>
          <cell r="D1562" t="str">
            <v>男</v>
          </cell>
          <cell r="E1562" t="str">
            <v>汉族</v>
          </cell>
          <cell r="F1562" t="str">
            <v>19630516</v>
          </cell>
          <cell r="G1562">
            <v>58</v>
          </cell>
          <cell r="H1562" t="str">
            <v>四川省仁寿县贵平镇中岗村10组</v>
          </cell>
          <cell r="I1562">
            <v>15198241004</v>
          </cell>
        </row>
        <row r="1563">
          <cell r="C1563" t="str">
            <v>513822198708156934</v>
          </cell>
          <cell r="D1563" t="str">
            <v>男</v>
          </cell>
          <cell r="E1563" t="str">
            <v>汉族</v>
          </cell>
          <cell r="F1563" t="str">
            <v>19870815</v>
          </cell>
          <cell r="G1563">
            <v>34</v>
          </cell>
          <cell r="H1563" t="str">
            <v>四川省仁寿县贵平镇中岗村10组</v>
          </cell>
          <cell r="I1563">
            <v>13551084441</v>
          </cell>
        </row>
        <row r="1564">
          <cell r="C1564" t="str">
            <v>51112119650406694X</v>
          </cell>
          <cell r="D1564" t="str">
            <v>女</v>
          </cell>
          <cell r="E1564" t="str">
            <v>汉族</v>
          </cell>
          <cell r="F1564" t="str">
            <v>19650406</v>
          </cell>
          <cell r="G1564">
            <v>56</v>
          </cell>
          <cell r="H1564" t="str">
            <v>四川省仁寿县贵平镇中岗村10组</v>
          </cell>
          <cell r="I1564">
            <v>15108268721</v>
          </cell>
        </row>
        <row r="1565">
          <cell r="C1565" t="str">
            <v>511421201103086931</v>
          </cell>
          <cell r="D1565" t="str">
            <v>男</v>
          </cell>
          <cell r="E1565" t="str">
            <v>汉族</v>
          </cell>
          <cell r="F1565" t="str">
            <v>20110308</v>
          </cell>
          <cell r="G1565">
            <v>10</v>
          </cell>
          <cell r="H1565" t="str">
            <v>四川省仁寿县贵平镇中岗村10组</v>
          </cell>
        </row>
        <row r="1566">
          <cell r="C1566" t="str">
            <v>511421201507126864</v>
          </cell>
          <cell r="D1566" t="str">
            <v>女</v>
          </cell>
          <cell r="E1566" t="str">
            <v>汉族</v>
          </cell>
          <cell r="F1566" t="str">
            <v>20150712</v>
          </cell>
          <cell r="G1566">
            <v>6</v>
          </cell>
          <cell r="H1566" t="str">
            <v>四川省仁寿县贵平镇中岗村10组</v>
          </cell>
        </row>
        <row r="1567">
          <cell r="C1567" t="str">
            <v>511121193501246941</v>
          </cell>
          <cell r="D1567" t="str">
            <v>女</v>
          </cell>
          <cell r="E1567" t="str">
            <v>汉族</v>
          </cell>
          <cell r="F1567" t="str">
            <v>19350124</v>
          </cell>
          <cell r="G1567">
            <v>86</v>
          </cell>
          <cell r="H1567" t="str">
            <v>四川省仁寿县贵平镇中岗村10组</v>
          </cell>
        </row>
        <row r="1568">
          <cell r="C1568" t="str">
            <v>511121196006146939</v>
          </cell>
          <cell r="D1568" t="str">
            <v>男</v>
          </cell>
          <cell r="E1568" t="str">
            <v>汉族</v>
          </cell>
          <cell r="F1568" t="str">
            <v>19600614</v>
          </cell>
          <cell r="G1568">
            <v>61</v>
          </cell>
          <cell r="H1568" t="str">
            <v>四川省仁寿县贵平镇中岗村10组</v>
          </cell>
        </row>
        <row r="1569">
          <cell r="C1569" t="str">
            <v>511121196212126947</v>
          </cell>
          <cell r="D1569" t="str">
            <v>女</v>
          </cell>
          <cell r="E1569" t="str">
            <v>汉族</v>
          </cell>
          <cell r="F1569" t="str">
            <v>19621212</v>
          </cell>
          <cell r="G1569">
            <v>59</v>
          </cell>
          <cell r="H1569" t="str">
            <v>四川省仁寿县贵平镇中岗村10组</v>
          </cell>
          <cell r="I1569">
            <v>18881091952</v>
          </cell>
        </row>
        <row r="1570">
          <cell r="C1570" t="str">
            <v>513822198607016967</v>
          </cell>
          <cell r="D1570" t="str">
            <v>女</v>
          </cell>
          <cell r="E1570" t="str">
            <v>汉族</v>
          </cell>
          <cell r="F1570" t="str">
            <v>19860701</v>
          </cell>
          <cell r="G1570">
            <v>35</v>
          </cell>
          <cell r="H1570" t="str">
            <v>四川省仁寿县贵平镇中岗村10组</v>
          </cell>
          <cell r="I1570">
            <v>17711362040</v>
          </cell>
        </row>
        <row r="1571">
          <cell r="C1571" t="str">
            <v>51112119650701693X</v>
          </cell>
          <cell r="D1571" t="str">
            <v>男</v>
          </cell>
          <cell r="E1571" t="str">
            <v>汉族</v>
          </cell>
          <cell r="F1571" t="str">
            <v>19650701</v>
          </cell>
          <cell r="G1571">
            <v>56</v>
          </cell>
          <cell r="H1571" t="str">
            <v>四川省仁寿县贵平镇中岗村10组</v>
          </cell>
          <cell r="I1571">
            <v>18880461100</v>
          </cell>
        </row>
        <row r="1572">
          <cell r="C1572" t="str">
            <v>511121196511226948</v>
          </cell>
          <cell r="D1572" t="str">
            <v>女</v>
          </cell>
          <cell r="E1572" t="str">
            <v>汉族</v>
          </cell>
          <cell r="F1572" t="str">
            <v>19651122</v>
          </cell>
          <cell r="G1572">
            <v>56</v>
          </cell>
          <cell r="H1572" t="str">
            <v>四川省仁寿县贵平镇中岗村10组</v>
          </cell>
          <cell r="I1572">
            <v>15708437296</v>
          </cell>
        </row>
        <row r="1573">
          <cell r="C1573" t="str">
            <v>513822198712156726</v>
          </cell>
          <cell r="D1573" t="str">
            <v>女</v>
          </cell>
          <cell r="E1573" t="str">
            <v>汉族</v>
          </cell>
          <cell r="F1573" t="str">
            <v>19871215</v>
          </cell>
          <cell r="G1573">
            <v>34</v>
          </cell>
          <cell r="H1573" t="str">
            <v>四川省仁寿县贵平镇中岗村10组</v>
          </cell>
          <cell r="I1573">
            <v>13880232796</v>
          </cell>
        </row>
        <row r="1574">
          <cell r="C1574" t="str">
            <v>511121196302036953</v>
          </cell>
          <cell r="D1574" t="str">
            <v>男</v>
          </cell>
          <cell r="E1574" t="str">
            <v>汉族</v>
          </cell>
          <cell r="F1574" t="str">
            <v>19630203</v>
          </cell>
          <cell r="G1574">
            <v>58</v>
          </cell>
          <cell r="H1574" t="str">
            <v>四川省仁寿县贵平镇中岗村10组</v>
          </cell>
          <cell r="I1574">
            <v>15108230541</v>
          </cell>
        </row>
        <row r="1575">
          <cell r="C1575" t="str">
            <v>511121196310126940</v>
          </cell>
          <cell r="D1575" t="str">
            <v>女</v>
          </cell>
          <cell r="E1575" t="str">
            <v>汉族</v>
          </cell>
          <cell r="F1575" t="str">
            <v>19631012</v>
          </cell>
          <cell r="G1575">
            <v>58</v>
          </cell>
          <cell r="H1575" t="str">
            <v>四川省仁寿县贵平镇中岗村10组</v>
          </cell>
          <cell r="I1575">
            <v>18228531658</v>
          </cell>
        </row>
        <row r="1576">
          <cell r="C1576" t="str">
            <v>513822198602146930</v>
          </cell>
          <cell r="D1576" t="str">
            <v>男</v>
          </cell>
          <cell r="E1576" t="str">
            <v>汉族</v>
          </cell>
          <cell r="F1576" t="str">
            <v>19860214</v>
          </cell>
          <cell r="G1576">
            <v>35</v>
          </cell>
          <cell r="H1576" t="str">
            <v>四川省仁寿县贵平镇中岗村10组</v>
          </cell>
          <cell r="I1576">
            <v>18382403518</v>
          </cell>
        </row>
        <row r="1577">
          <cell r="C1577" t="str">
            <v>513822198812066955</v>
          </cell>
          <cell r="D1577" t="str">
            <v>男</v>
          </cell>
          <cell r="E1577" t="str">
            <v>汉族</v>
          </cell>
          <cell r="F1577" t="str">
            <v>19881206</v>
          </cell>
          <cell r="G1577">
            <v>33</v>
          </cell>
          <cell r="H1577" t="str">
            <v>四川省仁寿县贵平镇中岗村10组</v>
          </cell>
          <cell r="I1577">
            <v>13739456816</v>
          </cell>
        </row>
        <row r="1578">
          <cell r="C1578" t="str">
            <v>511121196603266939</v>
          </cell>
          <cell r="D1578" t="str">
            <v>男</v>
          </cell>
          <cell r="E1578" t="str">
            <v>汉族</v>
          </cell>
          <cell r="F1578" t="str">
            <v>19660326</v>
          </cell>
          <cell r="G1578">
            <v>55</v>
          </cell>
          <cell r="H1578" t="str">
            <v>四川省仁寿县贵平镇中岗村10组</v>
          </cell>
          <cell r="I1578">
            <v>18228509698</v>
          </cell>
        </row>
        <row r="1579">
          <cell r="C1579" t="str">
            <v>513822198903056939</v>
          </cell>
          <cell r="D1579" t="str">
            <v>男</v>
          </cell>
          <cell r="E1579" t="str">
            <v>汉族</v>
          </cell>
          <cell r="F1579" t="str">
            <v>19890305</v>
          </cell>
          <cell r="G1579">
            <v>32</v>
          </cell>
          <cell r="H1579" t="str">
            <v>四川省仁寿县贵平镇中岗村10组</v>
          </cell>
          <cell r="I1579">
            <v>13542027498</v>
          </cell>
        </row>
        <row r="1580">
          <cell r="C1580" t="str">
            <v>513822199105126933</v>
          </cell>
          <cell r="D1580" t="str">
            <v>男</v>
          </cell>
          <cell r="E1580" t="str">
            <v>汉族</v>
          </cell>
          <cell r="F1580" t="str">
            <v>19910512</v>
          </cell>
          <cell r="G1580">
            <v>30</v>
          </cell>
          <cell r="H1580" t="str">
            <v>四川省仁寿县贵平镇中岗村10组</v>
          </cell>
          <cell r="I1580">
            <v>15884501684</v>
          </cell>
        </row>
        <row r="1581">
          <cell r="C1581" t="str">
            <v>511121196509026947</v>
          </cell>
          <cell r="D1581" t="str">
            <v>女</v>
          </cell>
          <cell r="E1581" t="str">
            <v>汉族</v>
          </cell>
          <cell r="F1581" t="str">
            <v>19650902</v>
          </cell>
          <cell r="G1581">
            <v>56</v>
          </cell>
          <cell r="H1581" t="str">
            <v>四川省仁寿县贵平镇中岗村10组</v>
          </cell>
          <cell r="I1581">
            <v>18228148358</v>
          </cell>
        </row>
        <row r="1582">
          <cell r="C1582" t="str">
            <v>510322199204142621</v>
          </cell>
          <cell r="D1582" t="str">
            <v>女</v>
          </cell>
          <cell r="E1582" t="str">
            <v>汉族</v>
          </cell>
          <cell r="F1582" t="str">
            <v>19920414</v>
          </cell>
          <cell r="G1582">
            <v>29</v>
          </cell>
          <cell r="H1582" t="str">
            <v>四川省仁寿县贵平镇中岗村10组</v>
          </cell>
          <cell r="I1582">
            <v>13566681947</v>
          </cell>
        </row>
        <row r="1583">
          <cell r="C1583" t="str">
            <v>51142120161207009X</v>
          </cell>
          <cell r="D1583" t="str">
            <v>男</v>
          </cell>
          <cell r="E1583" t="str">
            <v>汉族</v>
          </cell>
          <cell r="F1583" t="str">
            <v>20161207</v>
          </cell>
          <cell r="G1583">
            <v>5</v>
          </cell>
          <cell r="H1583" t="str">
            <v>四川省仁寿县贵平镇中岗村10组</v>
          </cell>
        </row>
        <row r="1584">
          <cell r="C1584" t="str">
            <v>51112119301230694X</v>
          </cell>
          <cell r="D1584" t="str">
            <v>女</v>
          </cell>
          <cell r="E1584" t="str">
            <v>汉族</v>
          </cell>
          <cell r="F1584" t="str">
            <v>19301230</v>
          </cell>
          <cell r="G1584">
            <v>91</v>
          </cell>
          <cell r="H1584" t="str">
            <v>四川省仁寿县贵平镇中岗村10组</v>
          </cell>
        </row>
        <row r="1585">
          <cell r="C1585" t="str">
            <v>511121194807246930</v>
          </cell>
          <cell r="D1585" t="str">
            <v>男</v>
          </cell>
          <cell r="E1585" t="str">
            <v>汉族</v>
          </cell>
          <cell r="F1585" t="str">
            <v>19480724</v>
          </cell>
          <cell r="G1585">
            <v>73</v>
          </cell>
          <cell r="H1585" t="str">
            <v>四川省仁寿县贵平镇中岗村10组</v>
          </cell>
          <cell r="I1585">
            <v>15183330572</v>
          </cell>
        </row>
        <row r="1586">
          <cell r="C1586" t="str">
            <v>511121195005216945</v>
          </cell>
          <cell r="D1586" t="str">
            <v>女</v>
          </cell>
          <cell r="E1586" t="str">
            <v>汉族</v>
          </cell>
          <cell r="F1586" t="str">
            <v>19500521</v>
          </cell>
          <cell r="G1586">
            <v>71</v>
          </cell>
          <cell r="H1586" t="str">
            <v>四川省仁寿县贵平镇中岗村10组</v>
          </cell>
        </row>
        <row r="1587">
          <cell r="C1587" t="str">
            <v>511121196605296939</v>
          </cell>
          <cell r="D1587" t="str">
            <v>男</v>
          </cell>
          <cell r="E1587" t="str">
            <v>汉族</v>
          </cell>
          <cell r="F1587" t="str">
            <v>19660529</v>
          </cell>
          <cell r="G1587">
            <v>55</v>
          </cell>
          <cell r="H1587" t="str">
            <v>四川省仁寿县贵平镇中岗村10组</v>
          </cell>
          <cell r="I1587">
            <v>13880849918</v>
          </cell>
        </row>
        <row r="1588">
          <cell r="C1588" t="str">
            <v>511121196811066923</v>
          </cell>
          <cell r="D1588" t="str">
            <v>女</v>
          </cell>
          <cell r="E1588" t="str">
            <v>汉族</v>
          </cell>
          <cell r="F1588" t="str">
            <v>19681106</v>
          </cell>
          <cell r="G1588">
            <v>53</v>
          </cell>
          <cell r="H1588" t="str">
            <v>四川省仁寿县贵平镇中岗村10组</v>
          </cell>
          <cell r="I1588">
            <v>15883322683</v>
          </cell>
        </row>
        <row r="1589">
          <cell r="C1589" t="str">
            <v>513822198901156936</v>
          </cell>
          <cell r="D1589" t="str">
            <v>男</v>
          </cell>
          <cell r="E1589" t="str">
            <v>汉族</v>
          </cell>
          <cell r="F1589" t="str">
            <v>19890115</v>
          </cell>
          <cell r="G1589">
            <v>32</v>
          </cell>
          <cell r="H1589" t="str">
            <v>四川省仁寿县贵平镇中岗村10组</v>
          </cell>
          <cell r="I1589">
            <v>18382111831</v>
          </cell>
        </row>
        <row r="1590">
          <cell r="C1590" t="str">
            <v>511129198301063642</v>
          </cell>
          <cell r="D1590" t="str">
            <v>女</v>
          </cell>
          <cell r="E1590" t="str">
            <v>汉族</v>
          </cell>
          <cell r="F1590" t="str">
            <v>19830106</v>
          </cell>
          <cell r="G1590">
            <v>38</v>
          </cell>
          <cell r="H1590" t="str">
            <v>四川省仁寿县贵平镇中岗村10组</v>
          </cell>
          <cell r="I1590">
            <v>13458548255</v>
          </cell>
        </row>
        <row r="1591">
          <cell r="C1591" t="str">
            <v>513822199810136942</v>
          </cell>
          <cell r="D1591" t="str">
            <v>女</v>
          </cell>
          <cell r="E1591" t="str">
            <v>汉族</v>
          </cell>
          <cell r="F1591" t="str">
            <v>19981013</v>
          </cell>
          <cell r="G1591">
            <v>23</v>
          </cell>
          <cell r="H1591" t="str">
            <v>四川省仁寿县贵平镇中岗村10组</v>
          </cell>
          <cell r="I1591">
            <v>17321908648</v>
          </cell>
        </row>
        <row r="1592">
          <cell r="C1592" t="str">
            <v>511421202002240033</v>
          </cell>
          <cell r="D1592" t="str">
            <v>男</v>
          </cell>
          <cell r="E1592" t="str">
            <v>汉族</v>
          </cell>
          <cell r="F1592" t="str">
            <v>20200224</v>
          </cell>
          <cell r="G1592">
            <v>1</v>
          </cell>
          <cell r="H1592" t="str">
            <v>四川省仁寿县贵平镇中岗村10组</v>
          </cell>
        </row>
        <row r="1593">
          <cell r="C1593" t="str">
            <v>511421201804120127</v>
          </cell>
          <cell r="D1593" t="str">
            <v>女</v>
          </cell>
          <cell r="E1593" t="str">
            <v>汉族</v>
          </cell>
          <cell r="F1593" t="str">
            <v>20180412</v>
          </cell>
          <cell r="G1593">
            <v>3</v>
          </cell>
          <cell r="H1593" t="str">
            <v>四川省仁寿县贵平镇中岗村10组</v>
          </cell>
        </row>
        <row r="1594">
          <cell r="C1594" t="str">
            <v>511121196312236932</v>
          </cell>
          <cell r="D1594" t="str">
            <v>男</v>
          </cell>
          <cell r="E1594" t="str">
            <v>汉族</v>
          </cell>
          <cell r="F1594" t="str">
            <v>19631223</v>
          </cell>
          <cell r="G1594">
            <v>58</v>
          </cell>
          <cell r="H1594" t="str">
            <v>四川省仁寿县贵平镇中岗村10组</v>
          </cell>
          <cell r="I1594">
            <v>15386538340</v>
          </cell>
        </row>
        <row r="1595">
          <cell r="C1595" t="str">
            <v>511121196510056940</v>
          </cell>
          <cell r="D1595" t="str">
            <v>女</v>
          </cell>
          <cell r="E1595" t="str">
            <v>汉族</v>
          </cell>
          <cell r="F1595" t="str">
            <v>19651005</v>
          </cell>
          <cell r="G1595">
            <v>56</v>
          </cell>
          <cell r="H1595" t="str">
            <v>四川省仁寿县贵平镇中岗村10组</v>
          </cell>
          <cell r="I1595">
            <v>17723376760</v>
          </cell>
        </row>
        <row r="1596">
          <cell r="C1596" t="str">
            <v>511121195704246932</v>
          </cell>
          <cell r="D1596" t="str">
            <v>男</v>
          </cell>
          <cell r="E1596" t="str">
            <v>汉族</v>
          </cell>
          <cell r="F1596" t="str">
            <v>19570424</v>
          </cell>
          <cell r="G1596">
            <v>64</v>
          </cell>
          <cell r="H1596" t="str">
            <v>四川省仁寿县贵平镇中岗村10组</v>
          </cell>
          <cell r="I1596">
            <v>17380957256</v>
          </cell>
        </row>
        <row r="1597">
          <cell r="C1597" t="str">
            <v>511121196108106946</v>
          </cell>
          <cell r="D1597" t="str">
            <v>女</v>
          </cell>
          <cell r="E1597" t="str">
            <v>汉族</v>
          </cell>
          <cell r="F1597" t="str">
            <v>19610810</v>
          </cell>
          <cell r="G1597">
            <v>60</v>
          </cell>
          <cell r="H1597" t="str">
            <v>四川省仁寿县贵平镇中岗村10组</v>
          </cell>
          <cell r="I1597">
            <v>15928866157</v>
          </cell>
        </row>
        <row r="1598">
          <cell r="C1598" t="str">
            <v>513822198302276944</v>
          </cell>
          <cell r="D1598" t="str">
            <v>女</v>
          </cell>
          <cell r="E1598" t="str">
            <v>汉族</v>
          </cell>
          <cell r="F1598" t="str">
            <v>19830227</v>
          </cell>
          <cell r="G1598">
            <v>38</v>
          </cell>
          <cell r="H1598" t="str">
            <v>四川省仁寿县贵平镇中岗村10组</v>
          </cell>
          <cell r="I1598">
            <v>18144346711</v>
          </cell>
        </row>
        <row r="1599">
          <cell r="C1599" t="str">
            <v>511121197310067658</v>
          </cell>
          <cell r="D1599" t="str">
            <v>男</v>
          </cell>
          <cell r="E1599" t="str">
            <v>汉族</v>
          </cell>
          <cell r="F1599" t="str">
            <v>19731006</v>
          </cell>
          <cell r="G1599">
            <v>48</v>
          </cell>
          <cell r="H1599" t="str">
            <v>四川省仁寿县贵平镇中岗村10组</v>
          </cell>
          <cell r="I1599">
            <v>13219086327</v>
          </cell>
        </row>
        <row r="1600">
          <cell r="C1600" t="str">
            <v>513822200003277648</v>
          </cell>
          <cell r="D1600" t="str">
            <v>女</v>
          </cell>
          <cell r="E1600" t="str">
            <v>汉族</v>
          </cell>
          <cell r="F1600" t="str">
            <v>20000327</v>
          </cell>
          <cell r="G1600">
            <v>21</v>
          </cell>
          <cell r="H1600" t="str">
            <v>四川省仁寿县贵平镇中岗村10组</v>
          </cell>
          <cell r="I1600">
            <v>13668126871</v>
          </cell>
        </row>
        <row r="1601">
          <cell r="C1601" t="str">
            <v>511121194607126942</v>
          </cell>
          <cell r="D1601" t="str">
            <v>女</v>
          </cell>
          <cell r="E1601" t="str">
            <v>汉族</v>
          </cell>
          <cell r="F1601" t="str">
            <v>19460712</v>
          </cell>
          <cell r="G1601">
            <v>75</v>
          </cell>
          <cell r="H1601" t="str">
            <v>四川省仁寿县贵平镇中岗村10组</v>
          </cell>
          <cell r="I1601">
            <v>13882212442</v>
          </cell>
        </row>
        <row r="1602">
          <cell r="C1602" t="str">
            <v>51112119531108694X</v>
          </cell>
          <cell r="D1602" t="str">
            <v>女</v>
          </cell>
          <cell r="E1602" t="str">
            <v>汉族</v>
          </cell>
          <cell r="F1602" t="str">
            <v>19531108</v>
          </cell>
          <cell r="G1602">
            <v>68</v>
          </cell>
          <cell r="H1602" t="str">
            <v>四川省仁寿县贵平镇中岗村10组</v>
          </cell>
          <cell r="I1602" t="str">
            <v>02836850478</v>
          </cell>
        </row>
        <row r="1603">
          <cell r="C1603" t="str">
            <v>511121197609036936</v>
          </cell>
          <cell r="D1603" t="str">
            <v>男</v>
          </cell>
          <cell r="E1603" t="str">
            <v>汉族</v>
          </cell>
          <cell r="F1603" t="str">
            <v>19760903</v>
          </cell>
          <cell r="G1603">
            <v>45</v>
          </cell>
          <cell r="H1603" t="str">
            <v>四川省仁寿县贵平镇中岗村10组</v>
          </cell>
          <cell r="I1603">
            <v>13398144062</v>
          </cell>
        </row>
        <row r="1604">
          <cell r="C1604" t="str">
            <v>511121197512136949</v>
          </cell>
          <cell r="D1604" t="str">
            <v>女</v>
          </cell>
          <cell r="E1604" t="str">
            <v>汉族</v>
          </cell>
          <cell r="F1604" t="str">
            <v>19751213</v>
          </cell>
          <cell r="G1604">
            <v>46</v>
          </cell>
          <cell r="H1604" t="str">
            <v>四川省仁寿县贵平镇中岗村10组</v>
          </cell>
          <cell r="I1604">
            <v>18217509018</v>
          </cell>
        </row>
        <row r="1605">
          <cell r="C1605" t="str">
            <v>513822199406196951</v>
          </cell>
          <cell r="D1605" t="str">
            <v>男</v>
          </cell>
          <cell r="E1605" t="str">
            <v>汉族</v>
          </cell>
          <cell r="F1605" t="str">
            <v>19940619</v>
          </cell>
          <cell r="G1605">
            <v>27</v>
          </cell>
          <cell r="H1605" t="str">
            <v>四川省仁寿县贵平镇中岗村10组</v>
          </cell>
          <cell r="I1605">
            <v>18780153338</v>
          </cell>
        </row>
        <row r="1606">
          <cell r="C1606" t="str">
            <v>513822200212206707</v>
          </cell>
          <cell r="D1606" t="str">
            <v>女</v>
          </cell>
          <cell r="E1606" t="str">
            <v>汉族</v>
          </cell>
          <cell r="F1606" t="str">
            <v>20021220</v>
          </cell>
          <cell r="G1606">
            <v>19</v>
          </cell>
          <cell r="H1606" t="str">
            <v>四川省仁寿县贵平镇中岗村10组</v>
          </cell>
          <cell r="I1606">
            <v>17388303921</v>
          </cell>
        </row>
        <row r="1607">
          <cell r="C1607" t="str">
            <v>511421201911290383</v>
          </cell>
          <cell r="D1607" t="str">
            <v>女</v>
          </cell>
          <cell r="E1607" t="str">
            <v>汉族</v>
          </cell>
          <cell r="F1607" t="str">
            <v>20191129</v>
          </cell>
          <cell r="G1607">
            <v>2</v>
          </cell>
          <cell r="H1607" t="str">
            <v>四川省仁寿县贵平镇中岗村10组</v>
          </cell>
        </row>
        <row r="1608">
          <cell r="C1608" t="str">
            <v>511121195007226936</v>
          </cell>
          <cell r="D1608" t="str">
            <v>男</v>
          </cell>
          <cell r="E1608" t="str">
            <v>汉族</v>
          </cell>
          <cell r="F1608" t="str">
            <v>19500722</v>
          </cell>
          <cell r="G1608">
            <v>71</v>
          </cell>
          <cell r="H1608" t="str">
            <v>四川省仁寿县贵平镇中岗村10组</v>
          </cell>
          <cell r="I1608">
            <v>18328123878</v>
          </cell>
        </row>
        <row r="1609">
          <cell r="C1609" t="str">
            <v>511121195110096949</v>
          </cell>
          <cell r="D1609" t="str">
            <v>女</v>
          </cell>
          <cell r="E1609" t="str">
            <v>汉族</v>
          </cell>
          <cell r="F1609" t="str">
            <v>19511009</v>
          </cell>
          <cell r="G1609">
            <v>70</v>
          </cell>
          <cell r="H1609" t="str">
            <v>四川省仁寿县贵平镇中岗村10组</v>
          </cell>
          <cell r="I1609">
            <v>18228565598</v>
          </cell>
        </row>
        <row r="1610">
          <cell r="C1610" t="str">
            <v>511121192807276938</v>
          </cell>
          <cell r="D1610" t="str">
            <v>男</v>
          </cell>
          <cell r="E1610" t="str">
            <v>汉族</v>
          </cell>
          <cell r="F1610" t="str">
            <v>19280727</v>
          </cell>
          <cell r="G1610">
            <v>93</v>
          </cell>
          <cell r="H1610" t="str">
            <v>四川省仁寿县贵平镇中岗村10组</v>
          </cell>
        </row>
        <row r="1611">
          <cell r="C1611" t="str">
            <v>511121194401296954</v>
          </cell>
          <cell r="D1611" t="str">
            <v>男</v>
          </cell>
          <cell r="E1611" t="str">
            <v>汉族</v>
          </cell>
          <cell r="F1611" t="str">
            <v>19440129</v>
          </cell>
          <cell r="G1611">
            <v>77</v>
          </cell>
          <cell r="H1611" t="str">
            <v>四川省仁寿县贵平镇中岗村10组</v>
          </cell>
          <cell r="I1611">
            <v>13118367383</v>
          </cell>
        </row>
        <row r="1612">
          <cell r="C1612" t="str">
            <v>511121194510056968</v>
          </cell>
          <cell r="D1612" t="str">
            <v>女</v>
          </cell>
          <cell r="E1612" t="str">
            <v>汉族</v>
          </cell>
          <cell r="F1612" t="str">
            <v>19451005</v>
          </cell>
          <cell r="G1612">
            <v>76</v>
          </cell>
          <cell r="H1612" t="str">
            <v>四川省仁寿县贵平镇中岗村10组</v>
          </cell>
        </row>
        <row r="1613">
          <cell r="C1613" t="str">
            <v>511121197303216918</v>
          </cell>
          <cell r="D1613" t="str">
            <v>男</v>
          </cell>
          <cell r="E1613" t="str">
            <v>汉族</v>
          </cell>
          <cell r="F1613" t="str">
            <v>19730321</v>
          </cell>
          <cell r="G1613">
            <v>48</v>
          </cell>
          <cell r="H1613" t="str">
            <v>四川省仁寿县贵平镇中岗村10组</v>
          </cell>
          <cell r="I1613">
            <v>15267860815</v>
          </cell>
        </row>
        <row r="1614">
          <cell r="C1614" t="str">
            <v>511121197609286783</v>
          </cell>
          <cell r="D1614" t="str">
            <v>女</v>
          </cell>
          <cell r="E1614" t="str">
            <v>汉族</v>
          </cell>
          <cell r="F1614" t="str">
            <v>19760928</v>
          </cell>
          <cell r="G1614">
            <v>45</v>
          </cell>
          <cell r="H1614" t="str">
            <v>四川省仁寿县贵平镇中岗村10组</v>
          </cell>
          <cell r="I1614">
            <v>13858349228</v>
          </cell>
        </row>
        <row r="1615">
          <cell r="C1615" t="str">
            <v>51382219971215694X</v>
          </cell>
          <cell r="D1615" t="str">
            <v>女</v>
          </cell>
          <cell r="E1615" t="str">
            <v>汉族</v>
          </cell>
          <cell r="F1615" t="str">
            <v>19971215</v>
          </cell>
          <cell r="G1615">
            <v>24</v>
          </cell>
          <cell r="H1615" t="str">
            <v>四川省仁寿县贵平镇中岗村10组</v>
          </cell>
          <cell r="I1615">
            <v>18328103268</v>
          </cell>
        </row>
        <row r="1616">
          <cell r="C1616" t="str">
            <v>513822200009066745</v>
          </cell>
          <cell r="D1616" t="str">
            <v>女</v>
          </cell>
          <cell r="E1616" t="str">
            <v>汉族</v>
          </cell>
          <cell r="F1616" t="str">
            <v>20000906</v>
          </cell>
          <cell r="G1616">
            <v>21</v>
          </cell>
          <cell r="H1616" t="str">
            <v>四川省仁寿县贵平镇中岗村10组</v>
          </cell>
          <cell r="I1616">
            <v>17721862354</v>
          </cell>
        </row>
        <row r="1617">
          <cell r="C1617" t="str">
            <v>511121197709216934</v>
          </cell>
          <cell r="D1617" t="str">
            <v>男</v>
          </cell>
          <cell r="E1617" t="str">
            <v>汉族</v>
          </cell>
          <cell r="F1617" t="str">
            <v>19770921</v>
          </cell>
          <cell r="G1617">
            <v>44</v>
          </cell>
          <cell r="H1617" t="str">
            <v>四川省仁寿县贵平镇中岗村10组</v>
          </cell>
          <cell r="I1617">
            <v>13688393395</v>
          </cell>
        </row>
        <row r="1618">
          <cell r="C1618" t="str">
            <v>63212419750801302X</v>
          </cell>
          <cell r="D1618" t="str">
            <v>女</v>
          </cell>
          <cell r="E1618" t="str">
            <v>藏族</v>
          </cell>
          <cell r="F1618" t="str">
            <v>19750801</v>
          </cell>
          <cell r="G1618">
            <v>46</v>
          </cell>
          <cell r="H1618" t="str">
            <v>四川省仁寿县贵平镇中岗村10组</v>
          </cell>
          <cell r="I1618">
            <v>15982178236</v>
          </cell>
        </row>
        <row r="1619">
          <cell r="C1619" t="str">
            <v>513822199912226930</v>
          </cell>
          <cell r="D1619" t="str">
            <v>男</v>
          </cell>
          <cell r="E1619" t="str">
            <v>汉族</v>
          </cell>
          <cell r="F1619" t="str">
            <v>19991222</v>
          </cell>
          <cell r="G1619">
            <v>22</v>
          </cell>
          <cell r="H1619" t="str">
            <v>四川省仁寿县贵平镇中岗村10组</v>
          </cell>
          <cell r="I1619">
            <v>15283734241</v>
          </cell>
        </row>
        <row r="1620">
          <cell r="C1620" t="str">
            <v>511121197308066939</v>
          </cell>
          <cell r="D1620" t="str">
            <v>男</v>
          </cell>
          <cell r="E1620" t="str">
            <v>汉族</v>
          </cell>
          <cell r="F1620" t="str">
            <v>19730806</v>
          </cell>
          <cell r="G1620">
            <v>48</v>
          </cell>
          <cell r="H1620" t="str">
            <v>四川省仁寿县贵平镇中岗村10组</v>
          </cell>
        </row>
        <row r="1621">
          <cell r="C1621" t="str">
            <v>51382219870709695X</v>
          </cell>
          <cell r="D1621" t="str">
            <v>男</v>
          </cell>
          <cell r="E1621" t="str">
            <v>汉族</v>
          </cell>
          <cell r="F1621" t="str">
            <v>19870709</v>
          </cell>
          <cell r="G1621">
            <v>34</v>
          </cell>
          <cell r="H1621" t="str">
            <v>四川省仁寿县贵平镇中岗村10组</v>
          </cell>
          <cell r="I1621">
            <v>13551296413</v>
          </cell>
        </row>
        <row r="1622">
          <cell r="C1622" t="str">
            <v>511121197107156954</v>
          </cell>
          <cell r="D1622" t="str">
            <v>男</v>
          </cell>
          <cell r="E1622" t="str">
            <v>汉族</v>
          </cell>
          <cell r="F1622" t="str">
            <v>19710715</v>
          </cell>
          <cell r="G1622">
            <v>50</v>
          </cell>
          <cell r="H1622" t="str">
            <v>四川省仁寿县贵平镇中岗村10组</v>
          </cell>
          <cell r="I1622">
            <v>15328746352</v>
          </cell>
        </row>
        <row r="1623">
          <cell r="C1623" t="str">
            <v>511121197711066808</v>
          </cell>
          <cell r="D1623" t="str">
            <v>女</v>
          </cell>
          <cell r="E1623" t="str">
            <v>汉族</v>
          </cell>
          <cell r="F1623" t="str">
            <v>19771106</v>
          </cell>
          <cell r="G1623">
            <v>44</v>
          </cell>
          <cell r="H1623" t="str">
            <v>四川省仁寿县贵平镇中岗村10组</v>
          </cell>
          <cell r="I1623">
            <v>13350431832</v>
          </cell>
        </row>
        <row r="1624">
          <cell r="C1624" t="str">
            <v>513822199701066930</v>
          </cell>
          <cell r="D1624" t="str">
            <v>男</v>
          </cell>
          <cell r="E1624" t="str">
            <v>汉族</v>
          </cell>
          <cell r="F1624" t="str">
            <v>19970106</v>
          </cell>
          <cell r="G1624">
            <v>24</v>
          </cell>
          <cell r="H1624" t="str">
            <v>四川省仁寿县贵平镇中岗村10组</v>
          </cell>
          <cell r="I1624">
            <v>15982313913</v>
          </cell>
        </row>
        <row r="1625">
          <cell r="C1625" t="str">
            <v>511121193606176943</v>
          </cell>
          <cell r="D1625" t="str">
            <v>女</v>
          </cell>
          <cell r="E1625" t="str">
            <v>汉族</v>
          </cell>
          <cell r="F1625" t="str">
            <v>19360617</v>
          </cell>
          <cell r="G1625">
            <v>85</v>
          </cell>
          <cell r="H1625" t="str">
            <v>四川省仁寿县贵平镇中岗村10组</v>
          </cell>
        </row>
        <row r="1626">
          <cell r="C1626" t="str">
            <v>511121196403246933</v>
          </cell>
          <cell r="D1626" t="str">
            <v>男</v>
          </cell>
          <cell r="E1626" t="str">
            <v>汉族</v>
          </cell>
          <cell r="F1626" t="str">
            <v>19640324</v>
          </cell>
          <cell r="G1626">
            <v>57</v>
          </cell>
          <cell r="H1626" t="str">
            <v>四川省仁寿县贵平镇中岗村10组</v>
          </cell>
          <cell r="I1626">
            <v>13551398296</v>
          </cell>
        </row>
        <row r="1627">
          <cell r="C1627" t="str">
            <v>511121196406296944</v>
          </cell>
          <cell r="D1627" t="str">
            <v>女</v>
          </cell>
          <cell r="E1627" t="str">
            <v>汉族</v>
          </cell>
          <cell r="F1627" t="str">
            <v>19640629</v>
          </cell>
          <cell r="G1627">
            <v>57</v>
          </cell>
          <cell r="H1627" t="str">
            <v>四川省仁寿县贵平镇中岗村10组</v>
          </cell>
          <cell r="I1627">
            <v>15108288329</v>
          </cell>
        </row>
        <row r="1628">
          <cell r="C1628" t="str">
            <v>511121195612226934</v>
          </cell>
          <cell r="D1628" t="str">
            <v>男</v>
          </cell>
          <cell r="E1628" t="str">
            <v>汉族</v>
          </cell>
          <cell r="F1628" t="str">
            <v>19561222</v>
          </cell>
          <cell r="G1628">
            <v>65</v>
          </cell>
          <cell r="H1628" t="str">
            <v>四川省仁寿县贵平镇中岗村10组</v>
          </cell>
          <cell r="I1628">
            <v>13541141872</v>
          </cell>
        </row>
        <row r="1629">
          <cell r="C1629" t="str">
            <v>513822199502096942</v>
          </cell>
          <cell r="D1629" t="str">
            <v>女</v>
          </cell>
          <cell r="E1629" t="str">
            <v>汉族</v>
          </cell>
          <cell r="F1629" t="str">
            <v>19950209</v>
          </cell>
          <cell r="G1629">
            <v>26</v>
          </cell>
          <cell r="H1629" t="str">
            <v>四川省仁寿县贵平镇中岗村10组</v>
          </cell>
        </row>
        <row r="1630">
          <cell r="C1630" t="str">
            <v>513822199712086945</v>
          </cell>
          <cell r="D1630" t="str">
            <v>女</v>
          </cell>
          <cell r="E1630" t="str">
            <v>汉族</v>
          </cell>
          <cell r="F1630" t="str">
            <v>19971208</v>
          </cell>
          <cell r="G1630">
            <v>24</v>
          </cell>
          <cell r="H1630" t="str">
            <v>四川省仁寿县贵平镇中岗村10组</v>
          </cell>
        </row>
        <row r="1631">
          <cell r="C1631" t="str">
            <v>513822198812036932</v>
          </cell>
          <cell r="D1631" t="str">
            <v>男</v>
          </cell>
          <cell r="E1631" t="str">
            <v>汉族</v>
          </cell>
          <cell r="F1631" t="str">
            <v>19881203</v>
          </cell>
          <cell r="G1631">
            <v>33</v>
          </cell>
          <cell r="H1631" t="str">
            <v>四川省仁寿县贵平镇中岗村10组</v>
          </cell>
          <cell r="I1631">
            <v>13679652907</v>
          </cell>
        </row>
        <row r="1632">
          <cell r="C1632" t="str">
            <v>511121197506246930</v>
          </cell>
          <cell r="D1632" t="str">
            <v>男</v>
          </cell>
          <cell r="E1632" t="str">
            <v>汉族</v>
          </cell>
          <cell r="F1632" t="str">
            <v>19750624</v>
          </cell>
          <cell r="G1632">
            <v>46</v>
          </cell>
          <cell r="H1632" t="str">
            <v>四川省仁寿县贵平镇中岗村10组</v>
          </cell>
          <cell r="I1632">
            <v>13679652907</v>
          </cell>
        </row>
        <row r="1633">
          <cell r="C1633" t="str">
            <v>511121197703266789</v>
          </cell>
          <cell r="D1633" t="str">
            <v>女</v>
          </cell>
          <cell r="E1633" t="str">
            <v>汉族</v>
          </cell>
          <cell r="F1633" t="str">
            <v>19770326</v>
          </cell>
          <cell r="G1633">
            <v>44</v>
          </cell>
          <cell r="H1633" t="str">
            <v>四川省仁寿县贵平镇中岗村10组</v>
          </cell>
          <cell r="I1633">
            <v>15983313651</v>
          </cell>
        </row>
        <row r="1634">
          <cell r="C1634" t="str">
            <v>513822199707036935</v>
          </cell>
          <cell r="D1634" t="str">
            <v>男</v>
          </cell>
          <cell r="E1634" t="str">
            <v>汉族</v>
          </cell>
          <cell r="F1634" t="str">
            <v>19970703</v>
          </cell>
          <cell r="G1634">
            <v>24</v>
          </cell>
          <cell r="H1634" t="str">
            <v>四川省仁寿县贵平镇中岗村10组</v>
          </cell>
          <cell r="I1634">
            <v>18089521382</v>
          </cell>
        </row>
        <row r="1635">
          <cell r="C1635" t="str">
            <v>511121195507176947</v>
          </cell>
          <cell r="D1635" t="str">
            <v>女</v>
          </cell>
          <cell r="E1635" t="str">
            <v>汉族</v>
          </cell>
          <cell r="F1635" t="str">
            <v>19550717</v>
          </cell>
          <cell r="G1635">
            <v>66</v>
          </cell>
          <cell r="H1635" t="str">
            <v>四川省仁寿县贵平镇中岗村10组</v>
          </cell>
          <cell r="I1635">
            <v>17381243835</v>
          </cell>
        </row>
        <row r="1636">
          <cell r="C1636" t="str">
            <v>511121195404116933</v>
          </cell>
          <cell r="D1636" t="str">
            <v>男</v>
          </cell>
          <cell r="E1636" t="str">
            <v>汉族</v>
          </cell>
          <cell r="F1636" t="str">
            <v>19540411</v>
          </cell>
          <cell r="G1636">
            <v>67</v>
          </cell>
          <cell r="H1636" t="str">
            <v>四川省仁寿县贵平镇中岗村10组</v>
          </cell>
          <cell r="I1636">
            <v>18384787658</v>
          </cell>
        </row>
        <row r="1637">
          <cell r="C1637" t="str">
            <v>511121197808296941</v>
          </cell>
          <cell r="D1637" t="str">
            <v>女</v>
          </cell>
          <cell r="E1637" t="str">
            <v>汉族</v>
          </cell>
          <cell r="F1637" t="str">
            <v>19780829</v>
          </cell>
          <cell r="G1637">
            <v>43</v>
          </cell>
          <cell r="H1637" t="str">
            <v>四川省仁寿县贵平镇中岗村10组</v>
          </cell>
          <cell r="I1637">
            <v>15928346162</v>
          </cell>
        </row>
        <row r="1638">
          <cell r="C1638" t="str">
            <v>511121197308016931</v>
          </cell>
          <cell r="D1638" t="str">
            <v>男</v>
          </cell>
          <cell r="E1638" t="str">
            <v>汉族</v>
          </cell>
          <cell r="F1638" t="str">
            <v>19730801</v>
          </cell>
          <cell r="G1638">
            <v>48</v>
          </cell>
          <cell r="H1638" t="str">
            <v>四川省仁寿县贵平镇中岗村10组</v>
          </cell>
          <cell r="I1638">
            <v>13994235491</v>
          </cell>
        </row>
        <row r="1639">
          <cell r="C1639" t="str">
            <v>511121195910106949</v>
          </cell>
          <cell r="D1639" t="str">
            <v>女</v>
          </cell>
          <cell r="E1639" t="str">
            <v>汉族</v>
          </cell>
          <cell r="F1639" t="str">
            <v>19591010</v>
          </cell>
          <cell r="G1639">
            <v>62</v>
          </cell>
          <cell r="H1639" t="str">
            <v>四川省仁寿县贵平镇中岗村10组</v>
          </cell>
          <cell r="I1639">
            <v>15397703825</v>
          </cell>
        </row>
        <row r="1640">
          <cell r="C1640" t="str">
            <v>511121195201246930</v>
          </cell>
          <cell r="D1640" t="str">
            <v>男</v>
          </cell>
          <cell r="E1640" t="str">
            <v>汉族</v>
          </cell>
          <cell r="F1640" t="str">
            <v>19520124</v>
          </cell>
          <cell r="G1640">
            <v>69</v>
          </cell>
          <cell r="H1640" t="str">
            <v>四川省仁寿县贵平镇中岗村10组</v>
          </cell>
          <cell r="I1640">
            <v>15928414748</v>
          </cell>
        </row>
        <row r="1641">
          <cell r="C1641" t="str">
            <v>511121196403166933</v>
          </cell>
          <cell r="D1641" t="str">
            <v>男</v>
          </cell>
          <cell r="E1641" t="str">
            <v>汉族</v>
          </cell>
          <cell r="F1641" t="str">
            <v>19640316</v>
          </cell>
          <cell r="G1641">
            <v>57</v>
          </cell>
          <cell r="H1641" t="str">
            <v>四川省仁寿县贵平镇中岗村10组</v>
          </cell>
          <cell r="I1641">
            <v>17032097526</v>
          </cell>
        </row>
        <row r="1642">
          <cell r="C1642" t="str">
            <v>511121195803246938</v>
          </cell>
          <cell r="D1642" t="str">
            <v>男</v>
          </cell>
          <cell r="E1642" t="str">
            <v>汉族</v>
          </cell>
          <cell r="F1642" t="str">
            <v>19580324</v>
          </cell>
          <cell r="G1642">
            <v>63</v>
          </cell>
          <cell r="H1642" t="str">
            <v>四川省仁寿县贵平镇中岗村10组</v>
          </cell>
          <cell r="I1642">
            <v>18583463668</v>
          </cell>
        </row>
        <row r="1643">
          <cell r="C1643" t="str">
            <v>51112119630920696X</v>
          </cell>
          <cell r="D1643" t="str">
            <v>女</v>
          </cell>
          <cell r="E1643" t="str">
            <v>汉族</v>
          </cell>
          <cell r="F1643" t="str">
            <v>19630920</v>
          </cell>
          <cell r="G1643">
            <v>58</v>
          </cell>
          <cell r="H1643" t="str">
            <v>四川省仁寿县贵平镇中岗村10组</v>
          </cell>
          <cell r="I1643">
            <v>19950543085</v>
          </cell>
        </row>
        <row r="1644">
          <cell r="C1644" t="str">
            <v>513822198609286944</v>
          </cell>
          <cell r="D1644" t="str">
            <v>女</v>
          </cell>
          <cell r="E1644" t="str">
            <v>汉族</v>
          </cell>
          <cell r="F1644" t="str">
            <v>19860928</v>
          </cell>
          <cell r="G1644">
            <v>35</v>
          </cell>
          <cell r="H1644" t="str">
            <v>四川省仁寿县贵平镇中岗村10组</v>
          </cell>
          <cell r="I1644">
            <v>18135639837</v>
          </cell>
        </row>
        <row r="1645">
          <cell r="C1645" t="str">
            <v>511421200903138715</v>
          </cell>
          <cell r="D1645" t="str">
            <v>女</v>
          </cell>
          <cell r="E1645" t="str">
            <v>汉族</v>
          </cell>
          <cell r="F1645" t="str">
            <v>20090313</v>
          </cell>
          <cell r="G1645">
            <v>12</v>
          </cell>
          <cell r="H1645" t="str">
            <v>四川省仁寿县贵平镇中岗村10组</v>
          </cell>
        </row>
        <row r="1646">
          <cell r="C1646" t="str">
            <v>513822198803246946</v>
          </cell>
          <cell r="D1646" t="str">
            <v>女</v>
          </cell>
          <cell r="E1646" t="str">
            <v>汉族</v>
          </cell>
          <cell r="F1646" t="str">
            <v>19880324</v>
          </cell>
          <cell r="G1646">
            <v>33</v>
          </cell>
          <cell r="H1646" t="str">
            <v>四川省仁寿县贵平镇中岗村10组</v>
          </cell>
          <cell r="I1646">
            <v>18916937663</v>
          </cell>
        </row>
        <row r="1647">
          <cell r="C1647" t="str">
            <v>511121195608266933</v>
          </cell>
          <cell r="D1647" t="str">
            <v>男</v>
          </cell>
          <cell r="E1647" t="str">
            <v>汉族</v>
          </cell>
          <cell r="F1647" t="str">
            <v>19560826</v>
          </cell>
          <cell r="G1647">
            <v>65</v>
          </cell>
          <cell r="H1647" t="str">
            <v>四川省仁寿县贵平镇中岗村10组</v>
          </cell>
          <cell r="I1647">
            <v>13340956893</v>
          </cell>
        </row>
        <row r="1648">
          <cell r="C1648" t="str">
            <v>511121196606076962</v>
          </cell>
          <cell r="D1648" t="str">
            <v>女</v>
          </cell>
          <cell r="E1648" t="str">
            <v>汉族</v>
          </cell>
          <cell r="F1648" t="str">
            <v>19660607</v>
          </cell>
          <cell r="G1648">
            <v>55</v>
          </cell>
          <cell r="H1648" t="str">
            <v>四川省仁寿县贵平镇中岗村10组</v>
          </cell>
          <cell r="I1648">
            <v>17360678021</v>
          </cell>
        </row>
        <row r="1649">
          <cell r="C1649" t="str">
            <v>511421200708046719</v>
          </cell>
          <cell r="D1649" t="str">
            <v>男</v>
          </cell>
          <cell r="E1649" t="str">
            <v>汉族</v>
          </cell>
          <cell r="F1649" t="str">
            <v>20070804</v>
          </cell>
          <cell r="G1649">
            <v>14</v>
          </cell>
          <cell r="H1649" t="str">
            <v>四川省仁寿县贵平镇中岗村10组</v>
          </cell>
        </row>
        <row r="1650">
          <cell r="C1650" t="str">
            <v>51382219871114693X</v>
          </cell>
          <cell r="D1650" t="str">
            <v>男</v>
          </cell>
          <cell r="E1650" t="str">
            <v>汉族</v>
          </cell>
          <cell r="F1650" t="str">
            <v>19871114</v>
          </cell>
          <cell r="G1650">
            <v>34</v>
          </cell>
          <cell r="H1650" t="str">
            <v>四川省仁寿县贵平镇中岗村10组</v>
          </cell>
          <cell r="I1650">
            <v>18089521525</v>
          </cell>
        </row>
        <row r="1651">
          <cell r="C1651" t="str">
            <v>513822199108186704</v>
          </cell>
          <cell r="D1651" t="str">
            <v>女</v>
          </cell>
          <cell r="E1651" t="str">
            <v>汉族</v>
          </cell>
          <cell r="F1651" t="str">
            <v>19910818</v>
          </cell>
          <cell r="G1651">
            <v>30</v>
          </cell>
          <cell r="H1651" t="str">
            <v>四川省仁寿县贵平镇中岗村10组</v>
          </cell>
        </row>
        <row r="1652">
          <cell r="C1652" t="str">
            <v>511421201710140143</v>
          </cell>
          <cell r="D1652" t="str">
            <v>女</v>
          </cell>
          <cell r="E1652" t="str">
            <v>汉族</v>
          </cell>
          <cell r="F1652" t="str">
            <v>20171014</v>
          </cell>
          <cell r="G1652">
            <v>4</v>
          </cell>
          <cell r="H1652" t="str">
            <v>四川省仁寿县贵平镇中岗村10组</v>
          </cell>
        </row>
        <row r="1653">
          <cell r="C1653" t="str">
            <v>511421201905280170</v>
          </cell>
          <cell r="D1653" t="str">
            <v>男 </v>
          </cell>
          <cell r="E1653" t="str">
            <v>汉族</v>
          </cell>
          <cell r="F1653" t="str">
            <v>20190528</v>
          </cell>
          <cell r="G1653">
            <v>2</v>
          </cell>
          <cell r="H1653" t="str">
            <v>四川省仁寿县贵平镇中岗村10组</v>
          </cell>
        </row>
        <row r="1654">
          <cell r="C1654" t="str">
            <v>511121196606056937</v>
          </cell>
          <cell r="D1654" t="str">
            <v>男</v>
          </cell>
          <cell r="E1654" t="str">
            <v>汉族</v>
          </cell>
          <cell r="F1654" t="str">
            <v>19660605</v>
          </cell>
          <cell r="G1654">
            <v>55</v>
          </cell>
          <cell r="H1654" t="str">
            <v>四川省仁寿县贵平镇中岗村10组</v>
          </cell>
          <cell r="I1654">
            <v>17360626553</v>
          </cell>
        </row>
        <row r="1655">
          <cell r="C1655" t="str">
            <v>511121196705246947</v>
          </cell>
          <cell r="D1655" t="str">
            <v>女</v>
          </cell>
          <cell r="E1655" t="str">
            <v>汉族</v>
          </cell>
          <cell r="F1655" t="str">
            <v>19670524</v>
          </cell>
          <cell r="G1655">
            <v>54</v>
          </cell>
          <cell r="H1655" t="str">
            <v>四川省仁寿县贵平镇中岗村10组</v>
          </cell>
          <cell r="I1655">
            <v>17711296405</v>
          </cell>
        </row>
        <row r="1656">
          <cell r="C1656" t="str">
            <v>513822199206306706</v>
          </cell>
          <cell r="D1656" t="str">
            <v>女</v>
          </cell>
          <cell r="E1656" t="str">
            <v>汉族</v>
          </cell>
          <cell r="F1656" t="str">
            <v>19920630</v>
          </cell>
          <cell r="G1656">
            <v>29</v>
          </cell>
          <cell r="H1656" t="str">
            <v>四川省仁寿县贵平镇中岗村10组</v>
          </cell>
          <cell r="I1656">
            <v>18089521535</v>
          </cell>
        </row>
        <row r="1657">
          <cell r="C1657" t="str">
            <v>130503201301102454</v>
          </cell>
          <cell r="D1657" t="str">
            <v>男</v>
          </cell>
          <cell r="E1657" t="str">
            <v>汉族</v>
          </cell>
          <cell r="F1657" t="str">
            <v>20130110</v>
          </cell>
          <cell r="G1657">
            <v>8</v>
          </cell>
          <cell r="H1657" t="str">
            <v>四川省仁寿县贵平镇中岗村10组</v>
          </cell>
        </row>
        <row r="1658">
          <cell r="C1658" t="str">
            <v>511421201804180402</v>
          </cell>
          <cell r="D1658" t="str">
            <v>女</v>
          </cell>
          <cell r="E1658" t="str">
            <v>汉族</v>
          </cell>
          <cell r="F1658" t="str">
            <v>20180418</v>
          </cell>
          <cell r="G1658">
            <v>3</v>
          </cell>
          <cell r="H1658" t="str">
            <v>四川省仁寿县贵平镇中岗村10组</v>
          </cell>
        </row>
        <row r="1659">
          <cell r="C1659" t="str">
            <v>511121195211196930</v>
          </cell>
          <cell r="D1659" t="str">
            <v>男</v>
          </cell>
          <cell r="E1659" t="str">
            <v>汉族</v>
          </cell>
          <cell r="F1659" t="str">
            <v>19521119</v>
          </cell>
          <cell r="G1659">
            <v>69</v>
          </cell>
          <cell r="H1659" t="str">
            <v>四川省仁寿县贵平镇中岗村10组</v>
          </cell>
          <cell r="I1659">
            <v>17303536695</v>
          </cell>
        </row>
        <row r="1660">
          <cell r="C1660" t="str">
            <v>511121195412246949</v>
          </cell>
          <cell r="D1660" t="str">
            <v>女</v>
          </cell>
          <cell r="E1660" t="str">
            <v>汉族</v>
          </cell>
          <cell r="F1660" t="str">
            <v>19541224</v>
          </cell>
          <cell r="G1660">
            <v>67</v>
          </cell>
          <cell r="H1660" t="str">
            <v>四川省仁寿县贵平镇中岗村10组</v>
          </cell>
          <cell r="I1660">
            <v>18384787670</v>
          </cell>
        </row>
        <row r="1661">
          <cell r="C1661" t="str">
            <v>511121197311046939</v>
          </cell>
          <cell r="D1661" t="str">
            <v>男</v>
          </cell>
          <cell r="E1661" t="str">
            <v>汉族</v>
          </cell>
          <cell r="F1661" t="str">
            <v>19731104</v>
          </cell>
          <cell r="G1661">
            <v>48</v>
          </cell>
          <cell r="H1661" t="str">
            <v>四川省仁寿县贵平镇中岗村10组</v>
          </cell>
          <cell r="I1661">
            <v>13551042593</v>
          </cell>
        </row>
        <row r="1662">
          <cell r="C1662" t="str">
            <v>511121197409056940</v>
          </cell>
          <cell r="D1662" t="str">
            <v>女</v>
          </cell>
          <cell r="E1662" t="str">
            <v>汉族</v>
          </cell>
          <cell r="F1662" t="str">
            <v>19740905</v>
          </cell>
          <cell r="G1662">
            <v>47</v>
          </cell>
          <cell r="H1662" t="str">
            <v>四川省仁寿县贵平镇中岗村10组</v>
          </cell>
          <cell r="I1662">
            <v>18190716686</v>
          </cell>
        </row>
        <row r="1663">
          <cell r="C1663" t="str">
            <v>511421201008076938</v>
          </cell>
          <cell r="D1663" t="str">
            <v>男</v>
          </cell>
          <cell r="E1663" t="str">
            <v>汉族</v>
          </cell>
          <cell r="F1663" t="str">
            <v>20100807</v>
          </cell>
          <cell r="G1663">
            <v>11</v>
          </cell>
          <cell r="H1663" t="str">
            <v>四川省仁寿县贵平镇中岗村10组</v>
          </cell>
        </row>
        <row r="1664">
          <cell r="C1664" t="str">
            <v>513822199605066949</v>
          </cell>
          <cell r="D1664" t="str">
            <v>女</v>
          </cell>
          <cell r="E1664" t="str">
            <v>汉族</v>
          </cell>
          <cell r="F1664" t="str">
            <v>19960506</v>
          </cell>
          <cell r="G1664">
            <v>25</v>
          </cell>
          <cell r="H1664" t="str">
            <v>四川省仁寿县贵平镇中岗村10组</v>
          </cell>
          <cell r="I1664">
            <v>17778471215</v>
          </cell>
        </row>
        <row r="1665">
          <cell r="C1665" t="str">
            <v>511121195107226933</v>
          </cell>
          <cell r="D1665" t="str">
            <v>男</v>
          </cell>
          <cell r="E1665" t="str">
            <v>汉族</v>
          </cell>
          <cell r="F1665" t="str">
            <v>19510722</v>
          </cell>
          <cell r="G1665">
            <v>70</v>
          </cell>
          <cell r="H1665" t="str">
            <v>四川省仁寿县贵平镇中岗村10组</v>
          </cell>
        </row>
        <row r="1666">
          <cell r="C1666" t="str">
            <v>511121195306246961</v>
          </cell>
          <cell r="D1666" t="str">
            <v>女</v>
          </cell>
          <cell r="E1666" t="str">
            <v>汉族</v>
          </cell>
          <cell r="F1666" t="str">
            <v>19530624</v>
          </cell>
          <cell r="G1666">
            <v>68</v>
          </cell>
          <cell r="H1666" t="str">
            <v>四川省仁寿县贵平镇中岗村10组</v>
          </cell>
          <cell r="I1666">
            <v>15884308354</v>
          </cell>
        </row>
        <row r="1667">
          <cell r="C1667" t="str">
            <v>511121197505166939</v>
          </cell>
          <cell r="D1667" t="str">
            <v>男</v>
          </cell>
          <cell r="E1667" t="str">
            <v>汉族</v>
          </cell>
          <cell r="F1667" t="str">
            <v>19750516</v>
          </cell>
          <cell r="G1667">
            <v>46</v>
          </cell>
          <cell r="H1667" t="str">
            <v>四川省仁寿县贵平镇中岗村10组</v>
          </cell>
          <cell r="I1667">
            <v>17781169035</v>
          </cell>
        </row>
        <row r="1668">
          <cell r="C1668" t="str">
            <v>511121197506136942</v>
          </cell>
          <cell r="D1668" t="str">
            <v>女</v>
          </cell>
          <cell r="E1668" t="str">
            <v>汉族</v>
          </cell>
          <cell r="F1668" t="str">
            <v>19750613</v>
          </cell>
          <cell r="G1668">
            <v>46</v>
          </cell>
          <cell r="H1668" t="str">
            <v>四川省仁寿县贵平镇中岗村10组</v>
          </cell>
          <cell r="I1668">
            <v>19940921334</v>
          </cell>
        </row>
        <row r="1669">
          <cell r="C1669" t="str">
            <v>513822199608266938</v>
          </cell>
          <cell r="D1669" t="str">
            <v>男</v>
          </cell>
          <cell r="E1669" t="str">
            <v>汉族</v>
          </cell>
          <cell r="F1669" t="str">
            <v>19960826</v>
          </cell>
          <cell r="G1669">
            <v>25</v>
          </cell>
          <cell r="H1669" t="str">
            <v>四川省仁寿县贵平镇中岗村10组</v>
          </cell>
          <cell r="I1669">
            <v>19181791820</v>
          </cell>
        </row>
        <row r="1670">
          <cell r="C1670" t="str">
            <v>511421200610186772</v>
          </cell>
          <cell r="D1670" t="str">
            <v>男</v>
          </cell>
          <cell r="E1670" t="str">
            <v>汉族</v>
          </cell>
          <cell r="F1670" t="str">
            <v>20061018</v>
          </cell>
          <cell r="G1670">
            <v>15</v>
          </cell>
          <cell r="H1670" t="str">
            <v>四川省仁寿县贵平镇中岗村10组</v>
          </cell>
        </row>
        <row r="1671">
          <cell r="C1671" t="str">
            <v>511121195001206942</v>
          </cell>
          <cell r="D1671" t="str">
            <v>女</v>
          </cell>
          <cell r="E1671" t="str">
            <v>汉族</v>
          </cell>
          <cell r="F1671" t="str">
            <v>19500120</v>
          </cell>
          <cell r="G1671">
            <v>71</v>
          </cell>
          <cell r="H1671" t="str">
            <v>四川省仁寿县贵平镇中岗村10组</v>
          </cell>
        </row>
        <row r="1672">
          <cell r="C1672" t="str">
            <v>450122197411023020</v>
          </cell>
          <cell r="D1672" t="str">
            <v>女</v>
          </cell>
          <cell r="E1672" t="str">
            <v>壮族</v>
          </cell>
          <cell r="F1672" t="str">
            <v>19741102</v>
          </cell>
          <cell r="G1672">
            <v>47</v>
          </cell>
          <cell r="H1672" t="str">
            <v>四川省仁寿县贵平镇中岗村10组</v>
          </cell>
        </row>
        <row r="1673">
          <cell r="C1673" t="str">
            <v>513822199809076946</v>
          </cell>
          <cell r="D1673" t="str">
            <v>女</v>
          </cell>
          <cell r="E1673" t="str">
            <v>汉族</v>
          </cell>
          <cell r="F1673" t="str">
            <v>19980907</v>
          </cell>
          <cell r="G1673">
            <v>23</v>
          </cell>
          <cell r="H1673" t="str">
            <v>四川省仁寿县贵平镇中岗村10组</v>
          </cell>
        </row>
        <row r="1674">
          <cell r="C1674" t="str">
            <v>511121197805016932</v>
          </cell>
          <cell r="D1674" t="str">
            <v>男</v>
          </cell>
          <cell r="E1674" t="str">
            <v>汉族</v>
          </cell>
          <cell r="F1674" t="str">
            <v>19780501</v>
          </cell>
          <cell r="G1674">
            <v>43</v>
          </cell>
          <cell r="H1674" t="str">
            <v>四川省仁寿县贵平镇中岗村10组</v>
          </cell>
          <cell r="I1674">
            <v>13281081655</v>
          </cell>
        </row>
        <row r="1675">
          <cell r="C1675" t="str">
            <v>51112119720124693X</v>
          </cell>
          <cell r="D1675" t="str">
            <v>男</v>
          </cell>
          <cell r="E1675" t="str">
            <v>汉族</v>
          </cell>
          <cell r="F1675" t="str">
            <v>19720124</v>
          </cell>
          <cell r="G1675">
            <v>49</v>
          </cell>
          <cell r="H1675" t="str">
            <v>四川省仁寿县贵平镇中岗村10组</v>
          </cell>
          <cell r="I1675">
            <v>13880413198</v>
          </cell>
        </row>
        <row r="1676">
          <cell r="C1676" t="str">
            <v>513822199603076932</v>
          </cell>
          <cell r="D1676" t="str">
            <v>男</v>
          </cell>
          <cell r="E1676" t="str">
            <v>汉族</v>
          </cell>
          <cell r="F1676" t="str">
            <v>19960307</v>
          </cell>
          <cell r="G1676">
            <v>25</v>
          </cell>
          <cell r="H1676" t="str">
            <v>四川省仁寿县贵平镇中岗村10组</v>
          </cell>
        </row>
        <row r="1677">
          <cell r="C1677" t="str">
            <v>511421200309206770</v>
          </cell>
          <cell r="D1677" t="str">
            <v>男</v>
          </cell>
          <cell r="E1677" t="str">
            <v>汉族</v>
          </cell>
          <cell r="F1677" t="str">
            <v>20030920</v>
          </cell>
          <cell r="G1677">
            <v>18</v>
          </cell>
          <cell r="H1677" t="str">
            <v>四川省仁寿县贵平镇中岗村10组</v>
          </cell>
        </row>
        <row r="1678">
          <cell r="C1678" t="str">
            <v>511121194602076931</v>
          </cell>
          <cell r="D1678" t="str">
            <v>男</v>
          </cell>
          <cell r="E1678" t="str">
            <v>汉族</v>
          </cell>
          <cell r="F1678" t="str">
            <v>19460207</v>
          </cell>
          <cell r="G1678">
            <v>75</v>
          </cell>
          <cell r="H1678" t="str">
            <v>四川省仁寿县贵平镇中岗村10组</v>
          </cell>
        </row>
        <row r="1679">
          <cell r="C1679" t="str">
            <v>511121197602026946</v>
          </cell>
          <cell r="D1679" t="str">
            <v>女</v>
          </cell>
          <cell r="E1679" t="str">
            <v>汉族</v>
          </cell>
          <cell r="F1679" t="str">
            <v>19760202</v>
          </cell>
          <cell r="G1679">
            <v>45</v>
          </cell>
          <cell r="H1679" t="str">
            <v>四川省仁寿县贵平镇中岗村10组</v>
          </cell>
          <cell r="I1679">
            <v>15208485924</v>
          </cell>
        </row>
        <row r="1680">
          <cell r="C1680" t="str">
            <v>511121198005106942</v>
          </cell>
          <cell r="D1680" t="str">
            <v>女</v>
          </cell>
          <cell r="E1680" t="str">
            <v>汉族</v>
          </cell>
          <cell r="F1680" t="str">
            <v>19800510</v>
          </cell>
          <cell r="G1680">
            <v>41</v>
          </cell>
          <cell r="H1680" t="str">
            <v>四川省仁寿县贵平镇中岗村10组</v>
          </cell>
          <cell r="I1680">
            <v>15828687034</v>
          </cell>
        </row>
        <row r="1681">
          <cell r="C1681" t="str">
            <v>511121192503066931</v>
          </cell>
          <cell r="D1681" t="str">
            <v>男</v>
          </cell>
          <cell r="E1681" t="str">
            <v>汉族</v>
          </cell>
          <cell r="F1681" t="str">
            <v>19250306</v>
          </cell>
          <cell r="G1681">
            <v>96</v>
          </cell>
          <cell r="H1681" t="str">
            <v>四川省仁寿县贵平镇中岗村10组</v>
          </cell>
        </row>
        <row r="1682">
          <cell r="C1682" t="str">
            <v>511121193110186945</v>
          </cell>
          <cell r="D1682" t="str">
            <v>女</v>
          </cell>
          <cell r="E1682" t="str">
            <v>汉族</v>
          </cell>
          <cell r="F1682" t="str">
            <v>19311018</v>
          </cell>
          <cell r="G1682">
            <v>90</v>
          </cell>
          <cell r="H1682" t="str">
            <v>四川省仁寿县贵平镇中岗村10组</v>
          </cell>
        </row>
        <row r="1683">
          <cell r="C1683" t="str">
            <v>511121197510056937</v>
          </cell>
          <cell r="D1683" t="str">
            <v>男</v>
          </cell>
          <cell r="E1683" t="str">
            <v>汉族</v>
          </cell>
          <cell r="F1683" t="str">
            <v>19751005</v>
          </cell>
          <cell r="G1683">
            <v>46</v>
          </cell>
          <cell r="H1683" t="str">
            <v>四川省仁寿县贵平镇中岗村10组</v>
          </cell>
          <cell r="I1683">
            <v>15851650216</v>
          </cell>
        </row>
        <row r="1684">
          <cell r="C1684" t="str">
            <v>51382220000226671X</v>
          </cell>
          <cell r="D1684" t="str">
            <v>男</v>
          </cell>
          <cell r="E1684" t="str">
            <v>汉族</v>
          </cell>
          <cell r="F1684" t="str">
            <v>20000226</v>
          </cell>
          <cell r="G1684">
            <v>21</v>
          </cell>
          <cell r="H1684" t="str">
            <v>四川省仁寿县贵平镇中岗村10组</v>
          </cell>
        </row>
        <row r="1685">
          <cell r="C1685" t="str">
            <v>511121194308116939</v>
          </cell>
          <cell r="D1685" t="str">
            <v>男</v>
          </cell>
          <cell r="E1685" t="str">
            <v>汉族</v>
          </cell>
          <cell r="F1685" t="str">
            <v>19430811</v>
          </cell>
          <cell r="G1685">
            <v>78</v>
          </cell>
          <cell r="H1685" t="str">
            <v>四川省仁寿县贵平镇中岗村10组</v>
          </cell>
          <cell r="I1685">
            <v>18228586354</v>
          </cell>
        </row>
        <row r="1686">
          <cell r="C1686" t="str">
            <v>511121194604236943</v>
          </cell>
          <cell r="D1686" t="str">
            <v>女</v>
          </cell>
          <cell r="E1686" t="str">
            <v>汉族</v>
          </cell>
          <cell r="F1686" t="str">
            <v>19460423</v>
          </cell>
          <cell r="G1686">
            <v>75</v>
          </cell>
          <cell r="H1686" t="str">
            <v>四川省仁寿县贵平镇中岗村10组</v>
          </cell>
        </row>
        <row r="1687">
          <cell r="C1687" t="str">
            <v>513822199611036949</v>
          </cell>
          <cell r="D1687" t="str">
            <v>女</v>
          </cell>
          <cell r="E1687" t="str">
            <v>汉族</v>
          </cell>
          <cell r="F1687" t="str">
            <v>19961103</v>
          </cell>
          <cell r="G1687">
            <v>25</v>
          </cell>
          <cell r="H1687" t="str">
            <v>四川省仁寿县贵平镇中岗村10组</v>
          </cell>
          <cell r="I1687">
            <v>15680783002</v>
          </cell>
        </row>
        <row r="1688">
          <cell r="C1688" t="str">
            <v>511121196809066932</v>
          </cell>
          <cell r="D1688" t="str">
            <v>男</v>
          </cell>
          <cell r="E1688" t="str">
            <v>汉族</v>
          </cell>
          <cell r="F1688" t="str">
            <v>19680906</v>
          </cell>
          <cell r="G1688">
            <v>53</v>
          </cell>
          <cell r="H1688" t="str">
            <v>四川省仁寿县贵平镇中岗村10组</v>
          </cell>
          <cell r="I1688">
            <v>15882217483</v>
          </cell>
        </row>
        <row r="1689">
          <cell r="C1689" t="str">
            <v>511121196702036944</v>
          </cell>
          <cell r="D1689" t="str">
            <v>女</v>
          </cell>
          <cell r="E1689" t="str">
            <v>汉族</v>
          </cell>
          <cell r="F1689" t="str">
            <v>19670203</v>
          </cell>
          <cell r="G1689">
            <v>54</v>
          </cell>
          <cell r="H1689" t="str">
            <v>四川省仁寿县贵平镇中岗村10组</v>
          </cell>
          <cell r="I1689">
            <v>18089503577</v>
          </cell>
        </row>
        <row r="1690">
          <cell r="C1690" t="str">
            <v>51112119401123693X</v>
          </cell>
          <cell r="D1690" t="str">
            <v>男</v>
          </cell>
          <cell r="E1690" t="str">
            <v>汉族</v>
          </cell>
          <cell r="F1690" t="str">
            <v>19401123</v>
          </cell>
          <cell r="G1690">
            <v>81</v>
          </cell>
          <cell r="H1690" t="str">
            <v>四川省仁寿县贵平镇中岗村10组</v>
          </cell>
          <cell r="I1690">
            <v>15884339856</v>
          </cell>
        </row>
        <row r="1691">
          <cell r="C1691" t="str">
            <v>511121194809036945</v>
          </cell>
          <cell r="D1691" t="str">
            <v>女</v>
          </cell>
          <cell r="E1691" t="str">
            <v>汉族</v>
          </cell>
          <cell r="F1691" t="str">
            <v>19480903</v>
          </cell>
          <cell r="G1691">
            <v>73</v>
          </cell>
          <cell r="H1691" t="str">
            <v>四川省仁寿县贵平镇中岗村10组</v>
          </cell>
          <cell r="I1691">
            <v>15884339856</v>
          </cell>
        </row>
        <row r="1692">
          <cell r="C1692" t="str">
            <v>51382219940626693X</v>
          </cell>
          <cell r="D1692" t="str">
            <v>男</v>
          </cell>
          <cell r="E1692" t="str">
            <v>汉族</v>
          </cell>
          <cell r="F1692" t="str">
            <v>19940626</v>
          </cell>
          <cell r="G1692">
            <v>27</v>
          </cell>
          <cell r="H1692" t="str">
            <v>四川省仁寿县贵平镇中岗村10组</v>
          </cell>
          <cell r="I1692">
            <v>18089521382</v>
          </cell>
        </row>
        <row r="1693">
          <cell r="C1693" t="str">
            <v>511121196603146937</v>
          </cell>
          <cell r="D1693" t="str">
            <v>男</v>
          </cell>
          <cell r="E1693" t="str">
            <v>汉族</v>
          </cell>
          <cell r="F1693" t="str">
            <v>19660314</v>
          </cell>
          <cell r="G1693">
            <v>55</v>
          </cell>
          <cell r="H1693" t="str">
            <v>四川省仁寿县贵平镇中岗村10组</v>
          </cell>
          <cell r="I1693">
            <v>18089521081</v>
          </cell>
        </row>
        <row r="1694">
          <cell r="C1694" t="str">
            <v>511121196702016943</v>
          </cell>
          <cell r="D1694" t="str">
            <v>女</v>
          </cell>
          <cell r="E1694" t="str">
            <v>汉族</v>
          </cell>
          <cell r="F1694" t="str">
            <v>19670201</v>
          </cell>
          <cell r="G1694">
            <v>54</v>
          </cell>
          <cell r="H1694" t="str">
            <v>四川省仁寿县贵平镇中岗村10组</v>
          </cell>
          <cell r="I1694">
            <v>18089521081</v>
          </cell>
        </row>
        <row r="1695">
          <cell r="C1695" t="str">
            <v>513822199306116942</v>
          </cell>
          <cell r="D1695" t="str">
            <v>女</v>
          </cell>
          <cell r="E1695" t="str">
            <v>汉族</v>
          </cell>
          <cell r="F1695" t="str">
            <v>19930611</v>
          </cell>
          <cell r="G1695">
            <v>28</v>
          </cell>
          <cell r="H1695" t="str">
            <v>四川省仁寿县贵平镇中岗村10组</v>
          </cell>
          <cell r="I1695">
            <v>15196693993</v>
          </cell>
        </row>
        <row r="1696">
          <cell r="C1696" t="str">
            <v>511121195012186932</v>
          </cell>
          <cell r="D1696" t="str">
            <v>男</v>
          </cell>
          <cell r="E1696" t="str">
            <v>汉族</v>
          </cell>
          <cell r="F1696" t="str">
            <v>19501218</v>
          </cell>
          <cell r="G1696">
            <v>71</v>
          </cell>
          <cell r="H1696" t="str">
            <v>四川省仁寿县贵平镇中岗村10组</v>
          </cell>
        </row>
        <row r="1697">
          <cell r="C1697" t="str">
            <v>511121195105046939</v>
          </cell>
          <cell r="D1697" t="str">
            <v>男</v>
          </cell>
          <cell r="E1697" t="str">
            <v>汉族</v>
          </cell>
          <cell r="F1697" t="str">
            <v>19510504</v>
          </cell>
          <cell r="G1697">
            <v>70</v>
          </cell>
          <cell r="H1697" t="str">
            <v>四川省仁寿县贵平镇中岗村10组</v>
          </cell>
          <cell r="I1697">
            <v>18123027865</v>
          </cell>
        </row>
        <row r="1698">
          <cell r="C1698" t="str">
            <v>511121195306176924</v>
          </cell>
          <cell r="D1698" t="str">
            <v>女</v>
          </cell>
          <cell r="E1698" t="str">
            <v>汉族</v>
          </cell>
          <cell r="F1698" t="str">
            <v>19530617</v>
          </cell>
          <cell r="G1698">
            <v>68</v>
          </cell>
          <cell r="H1698" t="str">
            <v>四川省仁寿县贵平镇中岗村10组</v>
          </cell>
          <cell r="I1698">
            <v>13350539638</v>
          </cell>
        </row>
        <row r="1699">
          <cell r="C1699" t="str">
            <v>511421200709076741</v>
          </cell>
          <cell r="D1699" t="str">
            <v>女</v>
          </cell>
          <cell r="E1699" t="str">
            <v>汉族</v>
          </cell>
          <cell r="F1699" t="str">
            <v>20070907</v>
          </cell>
          <cell r="G1699">
            <v>14</v>
          </cell>
          <cell r="H1699" t="str">
            <v>四川省仁寿县贵平镇中岗村10组</v>
          </cell>
        </row>
        <row r="1700">
          <cell r="C1700" t="str">
            <v>511121195709066957</v>
          </cell>
          <cell r="D1700" t="str">
            <v>男</v>
          </cell>
          <cell r="E1700" t="str">
            <v>汉族</v>
          </cell>
          <cell r="F1700" t="str">
            <v>19570906</v>
          </cell>
          <cell r="G1700">
            <v>64</v>
          </cell>
          <cell r="H1700" t="str">
            <v>四川省仁寿县贵平镇中岗村10组</v>
          </cell>
          <cell r="I1700">
            <v>18302894251</v>
          </cell>
        </row>
        <row r="1701">
          <cell r="C1701" t="str">
            <v>511121196611156959</v>
          </cell>
          <cell r="D1701" t="str">
            <v>男</v>
          </cell>
          <cell r="E1701" t="str">
            <v>汉族</v>
          </cell>
          <cell r="F1701" t="str">
            <v>19661115</v>
          </cell>
          <cell r="G1701">
            <v>55</v>
          </cell>
          <cell r="H1701" t="str">
            <v>四川省仁寿县贵平镇中岗村10组</v>
          </cell>
          <cell r="I1701">
            <v>15108366594</v>
          </cell>
        </row>
        <row r="1702">
          <cell r="C1702" t="str">
            <v>513822199212166930</v>
          </cell>
          <cell r="D1702" t="str">
            <v>男</v>
          </cell>
          <cell r="E1702" t="str">
            <v>汉族</v>
          </cell>
          <cell r="F1702" t="str">
            <v>19921216</v>
          </cell>
          <cell r="G1702">
            <v>29</v>
          </cell>
          <cell r="H1702" t="str">
            <v>四川省仁寿县贵平镇中岗村10组</v>
          </cell>
          <cell r="I1702">
            <v>15108366594</v>
          </cell>
        </row>
        <row r="1703">
          <cell r="C1703" t="str">
            <v>511121196408216936</v>
          </cell>
          <cell r="D1703" t="str">
            <v>男</v>
          </cell>
          <cell r="E1703" t="str">
            <v>汉族</v>
          </cell>
          <cell r="F1703" t="str">
            <v>19640821</v>
          </cell>
          <cell r="G1703">
            <v>57</v>
          </cell>
          <cell r="H1703" t="str">
            <v>四川省仁寿县贵平镇中岗村10组</v>
          </cell>
          <cell r="I1703">
            <v>17032638981</v>
          </cell>
        </row>
        <row r="1704">
          <cell r="C1704" t="str">
            <v>51112119431027694X</v>
          </cell>
          <cell r="D1704" t="str">
            <v>女</v>
          </cell>
          <cell r="E1704" t="str">
            <v>汉族</v>
          </cell>
          <cell r="F1704" t="str">
            <v>19431027</v>
          </cell>
          <cell r="G1704">
            <v>78</v>
          </cell>
          <cell r="H1704" t="str">
            <v>四川省仁寿县贵平镇中岗村10组</v>
          </cell>
        </row>
        <row r="1705">
          <cell r="C1705" t="str">
            <v>511121196402156936</v>
          </cell>
          <cell r="D1705" t="str">
            <v>男</v>
          </cell>
          <cell r="E1705" t="str">
            <v>汉族</v>
          </cell>
          <cell r="F1705" t="str">
            <v>19640215</v>
          </cell>
          <cell r="G1705">
            <v>57</v>
          </cell>
          <cell r="H1705" t="str">
            <v>四川省仁寿县贵平镇中岗村10组</v>
          </cell>
          <cell r="I1705">
            <v>15802881576</v>
          </cell>
        </row>
        <row r="1706">
          <cell r="C1706" t="str">
            <v>511123197401285389</v>
          </cell>
          <cell r="D1706" t="str">
            <v>女</v>
          </cell>
          <cell r="E1706" t="str">
            <v>汉族</v>
          </cell>
          <cell r="F1706" t="str">
            <v>19740128</v>
          </cell>
          <cell r="G1706">
            <v>47</v>
          </cell>
          <cell r="H1706" t="str">
            <v>四川省仁寿县贵平镇中岗村10组</v>
          </cell>
          <cell r="I1706">
            <v>13882055158</v>
          </cell>
        </row>
        <row r="1707">
          <cell r="C1707" t="str">
            <v>511123199512305353</v>
          </cell>
          <cell r="D1707" t="str">
            <v>男</v>
          </cell>
          <cell r="E1707" t="str">
            <v>汉族</v>
          </cell>
          <cell r="F1707" t="str">
            <v>19951230</v>
          </cell>
          <cell r="G1707">
            <v>26</v>
          </cell>
          <cell r="H1707" t="str">
            <v>四川省仁寿县贵平镇中岗村10组</v>
          </cell>
          <cell r="I1707">
            <v>15882499662</v>
          </cell>
        </row>
        <row r="1708">
          <cell r="C1708" t="str">
            <v>513822200206166737</v>
          </cell>
          <cell r="D1708" t="str">
            <v>男</v>
          </cell>
          <cell r="E1708" t="str">
            <v>汉族</v>
          </cell>
          <cell r="F1708" t="str">
            <v>20020616</v>
          </cell>
          <cell r="G1708">
            <v>19</v>
          </cell>
          <cell r="H1708" t="str">
            <v>四川省仁寿县贵平镇中岗村10组</v>
          </cell>
          <cell r="I1708">
            <v>18380225036</v>
          </cell>
        </row>
        <row r="1709">
          <cell r="C1709" t="str">
            <v>511121197109066952</v>
          </cell>
          <cell r="D1709" t="str">
            <v>男</v>
          </cell>
          <cell r="E1709" t="str">
            <v>汉族</v>
          </cell>
          <cell r="F1709" t="str">
            <v>19710906</v>
          </cell>
          <cell r="G1709">
            <v>50</v>
          </cell>
          <cell r="H1709" t="str">
            <v>四川省仁寿县贵平镇中岗村10组</v>
          </cell>
          <cell r="I1709">
            <v>13709027505</v>
          </cell>
        </row>
        <row r="1710">
          <cell r="C1710" t="str">
            <v>511121197604076867</v>
          </cell>
          <cell r="D1710" t="str">
            <v>女</v>
          </cell>
          <cell r="E1710" t="str">
            <v>汉族</v>
          </cell>
          <cell r="F1710" t="str">
            <v>19760407</v>
          </cell>
          <cell r="G1710">
            <v>45</v>
          </cell>
          <cell r="H1710" t="str">
            <v>四川省仁寿县贵平镇中岗村10组</v>
          </cell>
          <cell r="I1710">
            <v>13678211639</v>
          </cell>
        </row>
        <row r="1711">
          <cell r="C1711" t="str">
            <v>51142120030912699X</v>
          </cell>
          <cell r="D1711" t="str">
            <v>男</v>
          </cell>
          <cell r="E1711" t="str">
            <v>汉族</v>
          </cell>
          <cell r="F1711" t="str">
            <v>20030912</v>
          </cell>
          <cell r="G1711">
            <v>18</v>
          </cell>
          <cell r="H1711" t="str">
            <v>四川省仁寿县贵平镇中岗村10组</v>
          </cell>
          <cell r="I1711">
            <v>13350534854</v>
          </cell>
        </row>
        <row r="1712">
          <cell r="C1712" t="str">
            <v>51382219970220694X</v>
          </cell>
          <cell r="D1712" t="str">
            <v>女</v>
          </cell>
          <cell r="E1712" t="str">
            <v>汉族</v>
          </cell>
          <cell r="F1712" t="str">
            <v>19970220</v>
          </cell>
          <cell r="G1712">
            <v>24</v>
          </cell>
          <cell r="H1712" t="str">
            <v>四川省仁寿县贵平镇中岗村10组</v>
          </cell>
          <cell r="I1712">
            <v>15982316456</v>
          </cell>
        </row>
        <row r="1713">
          <cell r="C1713" t="str">
            <v>51112119741224693X</v>
          </cell>
          <cell r="D1713" t="str">
            <v>男</v>
          </cell>
          <cell r="E1713" t="str">
            <v>汉族</v>
          </cell>
          <cell r="F1713" t="str">
            <v>19741224</v>
          </cell>
          <cell r="G1713">
            <v>47</v>
          </cell>
          <cell r="H1713" t="str">
            <v>四川省仁寿县贵平镇中岗村10组</v>
          </cell>
          <cell r="I1713">
            <v>18908086080</v>
          </cell>
        </row>
        <row r="1714">
          <cell r="C1714" t="str">
            <v>511121197404039009</v>
          </cell>
          <cell r="D1714" t="str">
            <v>女</v>
          </cell>
          <cell r="E1714" t="str">
            <v>汉族</v>
          </cell>
          <cell r="F1714" t="str">
            <v>19740403</v>
          </cell>
          <cell r="G1714">
            <v>47</v>
          </cell>
          <cell r="H1714" t="str">
            <v>四川省仁寿县贵平镇中岗村10组</v>
          </cell>
          <cell r="I1714">
            <v>18144211586</v>
          </cell>
        </row>
        <row r="1715">
          <cell r="C1715" t="str">
            <v>513822199401066939</v>
          </cell>
          <cell r="D1715" t="str">
            <v>男</v>
          </cell>
          <cell r="E1715" t="str">
            <v>汉族</v>
          </cell>
          <cell r="F1715" t="str">
            <v>19940106</v>
          </cell>
          <cell r="G1715">
            <v>27</v>
          </cell>
          <cell r="H1715" t="str">
            <v>四川省仁寿县贵平镇中岗村10组</v>
          </cell>
          <cell r="I1715">
            <v>18080325026</v>
          </cell>
        </row>
        <row r="1716">
          <cell r="C1716" t="str">
            <v>511121193004216944</v>
          </cell>
          <cell r="D1716" t="str">
            <v>女</v>
          </cell>
          <cell r="E1716" t="str">
            <v>汉族</v>
          </cell>
          <cell r="F1716" t="str">
            <v>19300421</v>
          </cell>
          <cell r="G1716">
            <v>91</v>
          </cell>
          <cell r="H1716" t="str">
            <v>四川省仁寿县贵平镇中岗村10组</v>
          </cell>
        </row>
        <row r="1717">
          <cell r="C1717" t="str">
            <v>513822200109196731</v>
          </cell>
          <cell r="D1717" t="str">
            <v>男</v>
          </cell>
          <cell r="E1717" t="str">
            <v>汉族</v>
          </cell>
          <cell r="F1717" t="str">
            <v>20010919</v>
          </cell>
          <cell r="G1717">
            <v>20</v>
          </cell>
          <cell r="H1717" t="str">
            <v>四川省仁寿县贵平镇中岗村10组</v>
          </cell>
          <cell r="I1717">
            <v>18144218068</v>
          </cell>
        </row>
        <row r="1718">
          <cell r="C1718" t="str">
            <v>511121193509156940</v>
          </cell>
          <cell r="D1718" t="str">
            <v>女</v>
          </cell>
          <cell r="E1718" t="str">
            <v>汉族</v>
          </cell>
          <cell r="F1718" t="str">
            <v>19350915</v>
          </cell>
          <cell r="G1718">
            <v>86</v>
          </cell>
          <cell r="H1718" t="str">
            <v>四川省仁寿县贵平镇中岗村10组</v>
          </cell>
          <cell r="I1718">
            <v>18228553383</v>
          </cell>
        </row>
        <row r="1719">
          <cell r="C1719" t="str">
            <v>511121197012096944</v>
          </cell>
          <cell r="D1719" t="str">
            <v>女</v>
          </cell>
          <cell r="E1719" t="str">
            <v>汉族</v>
          </cell>
          <cell r="F1719" t="str">
            <v>19701209</v>
          </cell>
          <cell r="G1719">
            <v>51</v>
          </cell>
          <cell r="H1719" t="str">
            <v>四川省仁寿县贵平镇中岗村10组</v>
          </cell>
          <cell r="I1719">
            <v>15982317129</v>
          </cell>
        </row>
        <row r="1720">
          <cell r="C1720" t="str">
            <v>511121195910036936</v>
          </cell>
          <cell r="D1720" t="str">
            <v>男</v>
          </cell>
          <cell r="E1720" t="str">
            <v>汉族</v>
          </cell>
          <cell r="F1720" t="str">
            <v>19591003</v>
          </cell>
          <cell r="G1720">
            <v>62</v>
          </cell>
          <cell r="H1720" t="str">
            <v>四川省仁寿县贵平镇中岗村10组</v>
          </cell>
          <cell r="I1720">
            <v>15983326629</v>
          </cell>
        </row>
        <row r="1721">
          <cell r="C1721" t="str">
            <v>511121196505206940</v>
          </cell>
          <cell r="D1721" t="str">
            <v>女</v>
          </cell>
          <cell r="E1721" t="str">
            <v>汉族</v>
          </cell>
          <cell r="F1721" t="str">
            <v>19650520</v>
          </cell>
          <cell r="G1721">
            <v>56</v>
          </cell>
          <cell r="H1721" t="str">
            <v>四川省仁寿县贵平镇中岗村10组</v>
          </cell>
          <cell r="I1721">
            <v>13795525882</v>
          </cell>
        </row>
        <row r="1722">
          <cell r="C1722" t="str">
            <v>511121196306016933</v>
          </cell>
          <cell r="D1722" t="str">
            <v>男</v>
          </cell>
          <cell r="E1722" t="str">
            <v>汉族</v>
          </cell>
          <cell r="F1722" t="str">
            <v>19630601</v>
          </cell>
          <cell r="G1722">
            <v>58</v>
          </cell>
          <cell r="H1722" t="str">
            <v>四川省仁寿县贵平镇中岗村10组</v>
          </cell>
          <cell r="I1722">
            <v>18783318868</v>
          </cell>
        </row>
        <row r="1723">
          <cell r="C1723" t="str">
            <v>511121196601266943</v>
          </cell>
          <cell r="D1723" t="str">
            <v>女</v>
          </cell>
          <cell r="E1723" t="str">
            <v>汉族</v>
          </cell>
          <cell r="F1723" t="str">
            <v>19660126</v>
          </cell>
          <cell r="G1723">
            <v>55</v>
          </cell>
          <cell r="H1723" t="str">
            <v>四川省仁寿县贵平镇中岗村10组</v>
          </cell>
          <cell r="I1723">
            <v>13558709488</v>
          </cell>
        </row>
        <row r="1724">
          <cell r="C1724" t="str">
            <v>511121198112036935</v>
          </cell>
          <cell r="D1724" t="str">
            <v>男</v>
          </cell>
          <cell r="E1724" t="str">
            <v>汉族</v>
          </cell>
          <cell r="F1724" t="str">
            <v>19811203</v>
          </cell>
          <cell r="G1724">
            <v>40</v>
          </cell>
          <cell r="H1724" t="str">
            <v>四川省仁寿县贵平镇中岗村10组</v>
          </cell>
          <cell r="I1724">
            <v>18728378501</v>
          </cell>
        </row>
        <row r="1725">
          <cell r="C1725" t="str">
            <v>513822198706019266</v>
          </cell>
          <cell r="D1725" t="str">
            <v>女</v>
          </cell>
          <cell r="E1725" t="str">
            <v>汉族</v>
          </cell>
          <cell r="F1725" t="str">
            <v>19870601</v>
          </cell>
          <cell r="G1725">
            <v>34</v>
          </cell>
          <cell r="H1725" t="str">
            <v>四川省仁寿县贵平镇中岗村10组</v>
          </cell>
          <cell r="I1725">
            <v>18089521804</v>
          </cell>
        </row>
        <row r="1726">
          <cell r="C1726" t="str">
            <v>51142120091216689X</v>
          </cell>
          <cell r="D1726" t="str">
            <v>男</v>
          </cell>
          <cell r="E1726" t="str">
            <v>汉族</v>
          </cell>
          <cell r="F1726" t="str">
            <v>20091216</v>
          </cell>
          <cell r="G1726">
            <v>12</v>
          </cell>
          <cell r="H1726" t="str">
            <v>四川省仁寿县贵平镇中岗村10组</v>
          </cell>
        </row>
        <row r="1727">
          <cell r="C1727" t="str">
            <v>511421200712106761</v>
          </cell>
          <cell r="D1727" t="str">
            <v>女</v>
          </cell>
          <cell r="E1727" t="str">
            <v>汉族</v>
          </cell>
          <cell r="F1727" t="str">
            <v>20071210</v>
          </cell>
          <cell r="G1727">
            <v>14</v>
          </cell>
          <cell r="H1727" t="str">
            <v>四川省仁寿县贵平镇中岗村10组</v>
          </cell>
        </row>
        <row r="1728">
          <cell r="C1728" t="str">
            <v>511121195002256941</v>
          </cell>
          <cell r="D1728" t="str">
            <v>女</v>
          </cell>
          <cell r="E1728" t="str">
            <v>汉族</v>
          </cell>
          <cell r="F1728" t="str">
            <v>19500225</v>
          </cell>
          <cell r="G1728">
            <v>71</v>
          </cell>
          <cell r="H1728" t="str">
            <v>四川省仁寿县贵平镇中岗村10组</v>
          </cell>
          <cell r="I1728">
            <v>18228159203</v>
          </cell>
        </row>
        <row r="1729">
          <cell r="C1729" t="str">
            <v>511121195903196931</v>
          </cell>
          <cell r="D1729" t="str">
            <v>男</v>
          </cell>
          <cell r="E1729" t="str">
            <v>汉族</v>
          </cell>
          <cell r="F1729" t="str">
            <v>19590319</v>
          </cell>
          <cell r="G1729">
            <v>62</v>
          </cell>
          <cell r="H1729" t="str">
            <v>四川省仁寿县贵平镇中岗村10组</v>
          </cell>
          <cell r="I1729">
            <v>13990358935</v>
          </cell>
        </row>
        <row r="1730">
          <cell r="C1730" t="str">
            <v>513822198712136960</v>
          </cell>
          <cell r="D1730" t="str">
            <v>女</v>
          </cell>
          <cell r="E1730" t="str">
            <v>汉族</v>
          </cell>
          <cell r="F1730" t="str">
            <v>19871213</v>
          </cell>
          <cell r="G1730">
            <v>34</v>
          </cell>
          <cell r="H1730" t="str">
            <v>四川省仁寿县贵平镇中岗村10组</v>
          </cell>
          <cell r="I1730">
            <v>13657643553</v>
          </cell>
        </row>
        <row r="1731">
          <cell r="C1731" t="str">
            <v>511121196608056957</v>
          </cell>
          <cell r="D1731" t="str">
            <v>男</v>
          </cell>
          <cell r="E1731" t="str">
            <v>汉族</v>
          </cell>
          <cell r="F1731" t="str">
            <v>19660805</v>
          </cell>
          <cell r="G1731">
            <v>55</v>
          </cell>
          <cell r="H1731" t="str">
            <v>四川省仁寿县贵平镇中岗村10组</v>
          </cell>
          <cell r="I1731">
            <v>18328189562</v>
          </cell>
        </row>
        <row r="1732">
          <cell r="C1732" t="str">
            <v>513822199210096932</v>
          </cell>
          <cell r="D1732" t="str">
            <v>男</v>
          </cell>
          <cell r="E1732" t="str">
            <v>汉族</v>
          </cell>
          <cell r="F1732" t="str">
            <v>19921009</v>
          </cell>
          <cell r="G1732">
            <v>29</v>
          </cell>
          <cell r="H1732" t="str">
            <v>四川省仁寿县贵平镇中岗村10组</v>
          </cell>
          <cell r="I1732">
            <v>15082323210</v>
          </cell>
        </row>
        <row r="1733">
          <cell r="C1733" t="str">
            <v>511121195611056953</v>
          </cell>
          <cell r="D1733" t="str">
            <v>男</v>
          </cell>
          <cell r="E1733" t="str">
            <v>汉族</v>
          </cell>
          <cell r="F1733" t="str">
            <v>19561105</v>
          </cell>
          <cell r="G1733">
            <v>65</v>
          </cell>
          <cell r="H1733" t="str">
            <v>四川省仁寿县贵平镇中岗村10组</v>
          </cell>
          <cell r="I1733">
            <v>18123027863</v>
          </cell>
        </row>
        <row r="1734">
          <cell r="C1734" t="str">
            <v>511121195711066948</v>
          </cell>
          <cell r="D1734" t="str">
            <v>女</v>
          </cell>
          <cell r="E1734" t="str">
            <v>汉族</v>
          </cell>
          <cell r="F1734" t="str">
            <v>19571106</v>
          </cell>
          <cell r="G1734">
            <v>64</v>
          </cell>
          <cell r="H1734" t="str">
            <v>四川省仁寿县贵平镇中岗村10组</v>
          </cell>
        </row>
        <row r="1735">
          <cell r="C1735" t="str">
            <v>513822199010056979</v>
          </cell>
          <cell r="D1735" t="str">
            <v>男</v>
          </cell>
          <cell r="E1735" t="str">
            <v>汉族</v>
          </cell>
          <cell r="F1735" t="str">
            <v>19901005</v>
          </cell>
          <cell r="G1735">
            <v>31</v>
          </cell>
          <cell r="H1735" t="str">
            <v>四川省仁寿县贵平镇中岗村10组</v>
          </cell>
          <cell r="I1735">
            <v>15157531962</v>
          </cell>
        </row>
        <row r="1736">
          <cell r="C1736" t="str">
            <v>513822198303306930</v>
          </cell>
          <cell r="D1736" t="str">
            <v>男</v>
          </cell>
          <cell r="E1736" t="str">
            <v>汉族</v>
          </cell>
          <cell r="F1736" t="str">
            <v>19830330</v>
          </cell>
          <cell r="G1736">
            <v>38</v>
          </cell>
          <cell r="H1736" t="str">
            <v>四川省仁寿县贵平镇中岗村10组</v>
          </cell>
          <cell r="I1736">
            <v>13540496590</v>
          </cell>
        </row>
        <row r="1737">
          <cell r="C1737" t="str">
            <v>511421200908186775</v>
          </cell>
          <cell r="D1737" t="str">
            <v>男</v>
          </cell>
          <cell r="E1737" t="str">
            <v>汉族</v>
          </cell>
          <cell r="F1737" t="str">
            <v>20090818</v>
          </cell>
          <cell r="G1737">
            <v>12</v>
          </cell>
          <cell r="H1737" t="str">
            <v>四川省仁寿县贵平镇中岗村10组</v>
          </cell>
        </row>
        <row r="1738">
          <cell r="C1738" t="str">
            <v>511121196903096935</v>
          </cell>
          <cell r="D1738" t="str">
            <v>男</v>
          </cell>
          <cell r="E1738" t="str">
            <v>汉族</v>
          </cell>
          <cell r="F1738" t="str">
            <v>19690309</v>
          </cell>
          <cell r="G1738">
            <v>52</v>
          </cell>
          <cell r="H1738" t="str">
            <v>四川省仁寿县贵平镇中岗村10组</v>
          </cell>
          <cell r="I1738">
            <v>18328004593</v>
          </cell>
        </row>
        <row r="1739">
          <cell r="C1739" t="str">
            <v>511121197207076783</v>
          </cell>
          <cell r="D1739" t="str">
            <v>女</v>
          </cell>
          <cell r="E1739" t="str">
            <v>汉族</v>
          </cell>
          <cell r="F1739" t="str">
            <v>19720707</v>
          </cell>
          <cell r="G1739">
            <v>49</v>
          </cell>
          <cell r="H1739" t="str">
            <v>四川省仁寿县贵平镇中岗村10组</v>
          </cell>
          <cell r="I1739">
            <v>17721845260</v>
          </cell>
        </row>
        <row r="1740">
          <cell r="C1740" t="str">
            <v>513822199206166934</v>
          </cell>
          <cell r="D1740" t="str">
            <v>男</v>
          </cell>
          <cell r="E1740" t="str">
            <v>汉族</v>
          </cell>
          <cell r="F1740" t="str">
            <v>19920616</v>
          </cell>
          <cell r="G1740">
            <v>29</v>
          </cell>
          <cell r="H1740" t="str">
            <v>四川省仁寿县贵平镇中岗村10组</v>
          </cell>
        </row>
        <row r="1741">
          <cell r="C1741" t="str">
            <v>511121194205076946</v>
          </cell>
          <cell r="D1741" t="str">
            <v>女</v>
          </cell>
          <cell r="E1741" t="str">
            <v>汉族</v>
          </cell>
          <cell r="F1741" t="str">
            <v>19420507</v>
          </cell>
          <cell r="G1741">
            <v>79</v>
          </cell>
          <cell r="H1741" t="str">
            <v>四川省仁寿县贵平镇中岗村10组</v>
          </cell>
        </row>
        <row r="1742">
          <cell r="C1742" t="str">
            <v>511121196502286949</v>
          </cell>
          <cell r="D1742" t="str">
            <v>女</v>
          </cell>
          <cell r="E1742" t="str">
            <v>汉族</v>
          </cell>
          <cell r="F1742" t="str">
            <v>19650228</v>
          </cell>
          <cell r="G1742">
            <v>56</v>
          </cell>
          <cell r="H1742" t="str">
            <v>四川省仁寿县贵平镇中岗村10组</v>
          </cell>
          <cell r="I1742">
            <v>13679607095</v>
          </cell>
        </row>
        <row r="1743">
          <cell r="C1743" t="str">
            <v>511121194208156941</v>
          </cell>
          <cell r="D1743" t="str">
            <v>女</v>
          </cell>
          <cell r="E1743" t="str">
            <v>汉族</v>
          </cell>
          <cell r="F1743" t="str">
            <v>19420815</v>
          </cell>
          <cell r="G1743">
            <v>79</v>
          </cell>
          <cell r="H1743" t="str">
            <v>四川省仁寿县贵平镇中岗村10组</v>
          </cell>
          <cell r="I1743">
            <v>18089502174</v>
          </cell>
        </row>
        <row r="1744">
          <cell r="C1744" t="str">
            <v>511025194904095038</v>
          </cell>
          <cell r="D1744" t="str">
            <v>男</v>
          </cell>
          <cell r="E1744" t="str">
            <v>汉族</v>
          </cell>
          <cell r="F1744" t="str">
            <v>19490409</v>
          </cell>
          <cell r="G1744">
            <v>72</v>
          </cell>
          <cell r="H1744" t="str">
            <v>四川省仁寿县贵平镇中岗村10组</v>
          </cell>
          <cell r="I1744">
            <v>18089502174</v>
          </cell>
        </row>
        <row r="1745">
          <cell r="C1745" t="str">
            <v>511121196602156930</v>
          </cell>
          <cell r="D1745" t="str">
            <v>男</v>
          </cell>
          <cell r="E1745" t="str">
            <v>汉族</v>
          </cell>
          <cell r="F1745" t="str">
            <v>19660215</v>
          </cell>
          <cell r="G1745">
            <v>55</v>
          </cell>
          <cell r="H1745" t="str">
            <v>四川省仁寿县贵平镇中岗村10组</v>
          </cell>
          <cell r="I1745">
            <v>18613001390</v>
          </cell>
        </row>
        <row r="1746">
          <cell r="C1746" t="str">
            <v>511121196704166945</v>
          </cell>
          <cell r="D1746" t="str">
            <v>女</v>
          </cell>
          <cell r="E1746" t="str">
            <v>汉族</v>
          </cell>
          <cell r="F1746" t="str">
            <v>19670416</v>
          </cell>
          <cell r="G1746">
            <v>54</v>
          </cell>
          <cell r="H1746" t="str">
            <v>四川省仁寿县贵平镇中岗村10组</v>
          </cell>
          <cell r="I1746">
            <v>18620039337</v>
          </cell>
        </row>
        <row r="1747">
          <cell r="C1747" t="str">
            <v>513822198811256941</v>
          </cell>
          <cell r="D1747" t="str">
            <v>女</v>
          </cell>
          <cell r="E1747" t="str">
            <v>汉族</v>
          </cell>
          <cell r="F1747" t="str">
            <v>19881125</v>
          </cell>
          <cell r="G1747">
            <v>33</v>
          </cell>
          <cell r="H1747" t="str">
            <v>四川省仁寿县贵平镇中岗村10组</v>
          </cell>
          <cell r="I1747">
            <v>17361191125</v>
          </cell>
        </row>
        <row r="1748">
          <cell r="C1748" t="str">
            <v>51382219951222694X</v>
          </cell>
          <cell r="D1748" t="str">
            <v>女</v>
          </cell>
          <cell r="E1748" t="str">
            <v>汉族</v>
          </cell>
          <cell r="F1748" t="str">
            <v>19951222</v>
          </cell>
          <cell r="G1748">
            <v>26</v>
          </cell>
          <cell r="H1748" t="str">
            <v>四川省仁寿县贵平镇中岗村10组</v>
          </cell>
          <cell r="I1748">
            <v>18280223560</v>
          </cell>
        </row>
        <row r="1749">
          <cell r="C1749" t="str">
            <v>513822198603276948</v>
          </cell>
          <cell r="D1749" t="str">
            <v>女</v>
          </cell>
          <cell r="E1749" t="str">
            <v>汉族</v>
          </cell>
          <cell r="F1749" t="str">
            <v>19860327</v>
          </cell>
          <cell r="G1749">
            <v>35</v>
          </cell>
          <cell r="H1749" t="str">
            <v>四川省仁寿县贵平镇中岗村10组</v>
          </cell>
          <cell r="I1749">
            <v>18588767374</v>
          </cell>
        </row>
        <row r="1750">
          <cell r="C1750" t="str">
            <v>511421201612230460</v>
          </cell>
          <cell r="D1750" t="str">
            <v>女</v>
          </cell>
          <cell r="E1750" t="str">
            <v>汉族</v>
          </cell>
          <cell r="F1750" t="str">
            <v>20161223</v>
          </cell>
          <cell r="G1750">
            <v>5</v>
          </cell>
          <cell r="H1750" t="str">
            <v>四川省仁寿县贵平镇中岗村10组</v>
          </cell>
        </row>
        <row r="1751">
          <cell r="C1751" t="str">
            <v>511121197109046935</v>
          </cell>
          <cell r="D1751" t="str">
            <v>男</v>
          </cell>
          <cell r="E1751" t="str">
            <v>汉族</v>
          </cell>
          <cell r="F1751" t="str">
            <v>19710904</v>
          </cell>
          <cell r="G1751">
            <v>50</v>
          </cell>
          <cell r="H1751" t="str">
            <v>四川省仁寿县贵平镇中岗村10组</v>
          </cell>
          <cell r="I1751" t="str">
            <v>18224034268</v>
          </cell>
        </row>
        <row r="1752">
          <cell r="C1752" t="str">
            <v>511121197001256949</v>
          </cell>
          <cell r="D1752" t="str">
            <v>女</v>
          </cell>
          <cell r="E1752" t="str">
            <v>汉族</v>
          </cell>
          <cell r="F1752" t="str">
            <v>19700125</v>
          </cell>
          <cell r="G1752">
            <v>51</v>
          </cell>
          <cell r="H1752" t="str">
            <v>四川省仁寿县贵平镇中岗村10组</v>
          </cell>
          <cell r="I1752">
            <v>18224034268</v>
          </cell>
        </row>
        <row r="1753">
          <cell r="C1753" t="str">
            <v>513822199412296959</v>
          </cell>
          <cell r="D1753" t="str">
            <v>男</v>
          </cell>
          <cell r="E1753" t="str">
            <v>汉族</v>
          </cell>
          <cell r="F1753" t="str">
            <v>19941229</v>
          </cell>
          <cell r="G1753">
            <v>27</v>
          </cell>
          <cell r="H1753" t="str">
            <v>四川省仁寿县贵平镇中岗村10组</v>
          </cell>
        </row>
        <row r="1754">
          <cell r="C1754" t="str">
            <v>513822199404126941</v>
          </cell>
          <cell r="D1754" t="str">
            <v>女</v>
          </cell>
          <cell r="E1754" t="str">
            <v>汉族</v>
          </cell>
          <cell r="F1754" t="str">
            <v>19940412</v>
          </cell>
          <cell r="G1754">
            <v>27</v>
          </cell>
          <cell r="H1754" t="str">
            <v>四川省仁寿县贵平镇中岗村10组</v>
          </cell>
        </row>
        <row r="1755">
          <cell r="C1755" t="str">
            <v>511121195003106937</v>
          </cell>
          <cell r="D1755" t="str">
            <v>男</v>
          </cell>
          <cell r="E1755" t="str">
            <v>汉族</v>
          </cell>
          <cell r="F1755" t="str">
            <v>19500310</v>
          </cell>
          <cell r="G1755">
            <v>71</v>
          </cell>
          <cell r="H1755" t="str">
            <v>四川省仁寿县贵平镇中岗村10组</v>
          </cell>
          <cell r="I1755">
            <v>13198700573</v>
          </cell>
        </row>
        <row r="1756">
          <cell r="C1756" t="str">
            <v>511121195707236940</v>
          </cell>
          <cell r="D1756" t="str">
            <v>女</v>
          </cell>
          <cell r="E1756" t="str">
            <v>汉族</v>
          </cell>
          <cell r="F1756" t="str">
            <v>19570723</v>
          </cell>
          <cell r="G1756">
            <v>64</v>
          </cell>
          <cell r="H1756" t="str">
            <v>四川省仁寿县贵平镇中岗村10组</v>
          </cell>
        </row>
        <row r="1757">
          <cell r="C1757" t="str">
            <v>511121197908056937</v>
          </cell>
          <cell r="D1757" t="str">
            <v>男</v>
          </cell>
          <cell r="E1757" t="str">
            <v>汉族</v>
          </cell>
          <cell r="F1757" t="str">
            <v>19790805</v>
          </cell>
          <cell r="G1757">
            <v>42</v>
          </cell>
          <cell r="H1757" t="str">
            <v>四川省仁寿县贵平镇中岗村10组</v>
          </cell>
          <cell r="I1757">
            <v>18108088898</v>
          </cell>
        </row>
        <row r="1758">
          <cell r="C1758" t="str">
            <v>341225198304053886</v>
          </cell>
          <cell r="D1758" t="str">
            <v>女</v>
          </cell>
          <cell r="E1758" t="str">
            <v>汉族</v>
          </cell>
          <cell r="F1758" t="str">
            <v>19830405</v>
          </cell>
          <cell r="G1758">
            <v>38</v>
          </cell>
          <cell r="H1758" t="str">
            <v>四川省仁寿县贵平镇中岗村10组</v>
          </cell>
          <cell r="I1758">
            <v>18111628868</v>
          </cell>
        </row>
        <row r="1759">
          <cell r="C1759" t="str">
            <v>513822200406206756</v>
          </cell>
          <cell r="D1759" t="str">
            <v>男</v>
          </cell>
          <cell r="E1759" t="str">
            <v>汉族</v>
          </cell>
          <cell r="F1759" t="str">
            <v>20040620</v>
          </cell>
          <cell r="G1759">
            <v>17</v>
          </cell>
          <cell r="H1759" t="str">
            <v>四川省仁寿县贵平镇中岗村10组</v>
          </cell>
          <cell r="I1759">
            <v>13388166696</v>
          </cell>
        </row>
        <row r="1760">
          <cell r="C1760" t="str">
            <v>511121196506036955</v>
          </cell>
          <cell r="D1760" t="str">
            <v>男</v>
          </cell>
          <cell r="E1760" t="str">
            <v>汉族</v>
          </cell>
          <cell r="F1760" t="str">
            <v>19650603</v>
          </cell>
          <cell r="G1760">
            <v>56</v>
          </cell>
          <cell r="H1760" t="str">
            <v>四川省仁寿县贵平镇中岗村10组</v>
          </cell>
          <cell r="I1760">
            <v>13980700244</v>
          </cell>
        </row>
        <row r="1761">
          <cell r="C1761" t="str">
            <v>511121196601056962</v>
          </cell>
          <cell r="D1761" t="str">
            <v>女</v>
          </cell>
          <cell r="E1761" t="str">
            <v>汉族</v>
          </cell>
          <cell r="F1761" t="str">
            <v>19660105</v>
          </cell>
          <cell r="G1761">
            <v>55</v>
          </cell>
          <cell r="H1761" t="str">
            <v>四川省仁寿县贵平镇中岗村10组</v>
          </cell>
          <cell r="I1761">
            <v>17360032773</v>
          </cell>
        </row>
        <row r="1762">
          <cell r="C1762" t="str">
            <v>51112119681006693X</v>
          </cell>
          <cell r="D1762" t="str">
            <v>男</v>
          </cell>
          <cell r="E1762" t="str">
            <v>汉族</v>
          </cell>
          <cell r="F1762" t="str">
            <v>19681006</v>
          </cell>
          <cell r="G1762">
            <v>53</v>
          </cell>
          <cell r="H1762" t="str">
            <v>四川省仁寿县贵平镇中岗村10组</v>
          </cell>
          <cell r="I1762">
            <v>13681872850</v>
          </cell>
        </row>
        <row r="1763">
          <cell r="C1763" t="str">
            <v>511121196910226945</v>
          </cell>
          <cell r="D1763" t="str">
            <v>女</v>
          </cell>
          <cell r="E1763" t="str">
            <v>汉族</v>
          </cell>
          <cell r="F1763" t="str">
            <v>19691022</v>
          </cell>
          <cell r="G1763">
            <v>52</v>
          </cell>
          <cell r="H1763" t="str">
            <v>四川省仁寿县贵平镇中岗村10组</v>
          </cell>
        </row>
        <row r="1764">
          <cell r="C1764" t="str">
            <v>511121192808286935</v>
          </cell>
          <cell r="D1764" t="str">
            <v>男</v>
          </cell>
          <cell r="E1764" t="str">
            <v>汉族</v>
          </cell>
          <cell r="F1764" t="str">
            <v>19280828</v>
          </cell>
          <cell r="G1764">
            <v>93</v>
          </cell>
          <cell r="H1764" t="str">
            <v>四川省仁寿县贵平镇中岗村10组</v>
          </cell>
        </row>
        <row r="1765">
          <cell r="C1765" t="str">
            <v>51112119550102693X</v>
          </cell>
          <cell r="D1765" t="str">
            <v>男</v>
          </cell>
          <cell r="E1765" t="str">
            <v>汉族</v>
          </cell>
          <cell r="F1765" t="str">
            <v>19550102</v>
          </cell>
          <cell r="G1765">
            <v>66</v>
          </cell>
          <cell r="H1765" t="str">
            <v>四川省仁寿县贵平镇中岗村10组</v>
          </cell>
          <cell r="I1765">
            <v>14780118908</v>
          </cell>
        </row>
        <row r="1766">
          <cell r="C1766" t="str">
            <v>511121195510236947</v>
          </cell>
          <cell r="D1766" t="str">
            <v>女</v>
          </cell>
          <cell r="E1766" t="str">
            <v>汉族</v>
          </cell>
          <cell r="F1766" t="str">
            <v>19551023</v>
          </cell>
          <cell r="G1766">
            <v>66</v>
          </cell>
          <cell r="H1766" t="str">
            <v>四川省仁寿县贵平镇中岗村10组</v>
          </cell>
        </row>
        <row r="1767">
          <cell r="C1767" t="str">
            <v>511121197007126934</v>
          </cell>
          <cell r="D1767" t="str">
            <v>男</v>
          </cell>
          <cell r="E1767" t="str">
            <v>汉族</v>
          </cell>
          <cell r="F1767" t="str">
            <v>19700712</v>
          </cell>
          <cell r="G1767">
            <v>51</v>
          </cell>
          <cell r="H1767" t="str">
            <v>四川省仁寿县贵平镇中岗村10组</v>
          </cell>
          <cell r="I1767">
            <v>18318228249</v>
          </cell>
        </row>
        <row r="1768">
          <cell r="C1768" t="str">
            <v>513822199311126950</v>
          </cell>
          <cell r="D1768" t="str">
            <v>男</v>
          </cell>
          <cell r="E1768" t="str">
            <v>汉族</v>
          </cell>
          <cell r="F1768" t="str">
            <v>19931112</v>
          </cell>
          <cell r="G1768">
            <v>28</v>
          </cell>
          <cell r="H1768" t="str">
            <v>四川省仁寿县贵平镇中岗村10组</v>
          </cell>
          <cell r="I1768">
            <v>17341957806</v>
          </cell>
        </row>
        <row r="1769">
          <cell r="C1769" t="str">
            <v>511121193603056938</v>
          </cell>
          <cell r="D1769" t="str">
            <v>男</v>
          </cell>
          <cell r="E1769" t="str">
            <v>汉族</v>
          </cell>
          <cell r="F1769" t="str">
            <v>19360305</v>
          </cell>
          <cell r="G1769">
            <v>85</v>
          </cell>
          <cell r="H1769" t="str">
            <v>四川省仁寿县贵平镇中岗村10组</v>
          </cell>
          <cell r="I1769">
            <v>15328741782</v>
          </cell>
        </row>
        <row r="1770">
          <cell r="C1770" t="str">
            <v>511121194007106948</v>
          </cell>
          <cell r="D1770" t="str">
            <v>女</v>
          </cell>
          <cell r="E1770" t="str">
            <v>汉族</v>
          </cell>
          <cell r="F1770" t="str">
            <v>19400710</v>
          </cell>
          <cell r="G1770">
            <v>81</v>
          </cell>
          <cell r="H1770" t="str">
            <v>四川省仁寿县贵平镇中岗村10组</v>
          </cell>
          <cell r="I1770">
            <v>15328741782</v>
          </cell>
        </row>
        <row r="1771">
          <cell r="C1771" t="str">
            <v>513822198605286939</v>
          </cell>
          <cell r="D1771" t="str">
            <v>男</v>
          </cell>
          <cell r="E1771" t="str">
            <v>汉族</v>
          </cell>
          <cell r="F1771" t="str">
            <v>19860528</v>
          </cell>
          <cell r="G1771">
            <v>35</v>
          </cell>
          <cell r="H1771" t="str">
            <v>四川省仁寿县贵平镇中岗村10组</v>
          </cell>
          <cell r="I1771">
            <v>13926630032</v>
          </cell>
        </row>
        <row r="1772">
          <cell r="C1772" t="str">
            <v>513822198609067645</v>
          </cell>
          <cell r="D1772" t="str">
            <v>女</v>
          </cell>
          <cell r="E1772" t="str">
            <v>汉族</v>
          </cell>
          <cell r="F1772" t="str">
            <v>19860906</v>
          </cell>
          <cell r="G1772">
            <v>35</v>
          </cell>
          <cell r="H1772" t="str">
            <v>四川省仁寿县贵平镇中岗村10组</v>
          </cell>
          <cell r="I1772">
            <v>13539520511</v>
          </cell>
        </row>
        <row r="1773">
          <cell r="C1773" t="str">
            <v>511421200608127714</v>
          </cell>
          <cell r="D1773" t="str">
            <v>男</v>
          </cell>
          <cell r="E1773" t="str">
            <v>汉族</v>
          </cell>
          <cell r="F1773" t="str">
            <v>20060812</v>
          </cell>
          <cell r="G1773">
            <v>15</v>
          </cell>
          <cell r="H1773" t="str">
            <v>四川省仁寿县贵平镇中岗村10组</v>
          </cell>
        </row>
        <row r="1774">
          <cell r="C1774" t="str">
            <v>511421201309266866</v>
          </cell>
          <cell r="D1774" t="str">
            <v>女</v>
          </cell>
          <cell r="E1774" t="str">
            <v>汉族</v>
          </cell>
          <cell r="F1774" t="str">
            <v>20130926</v>
          </cell>
          <cell r="G1774">
            <v>8</v>
          </cell>
          <cell r="H1774" t="str">
            <v>四川省仁寿县贵平镇中岗村10组</v>
          </cell>
        </row>
        <row r="1775">
          <cell r="C1775" t="str">
            <v>513822199409186871</v>
          </cell>
          <cell r="D1775" t="str">
            <v>男</v>
          </cell>
          <cell r="E1775" t="str">
            <v>汉族</v>
          </cell>
          <cell r="F1775" t="str">
            <v>19940918</v>
          </cell>
          <cell r="G1775">
            <v>27</v>
          </cell>
          <cell r="H1775" t="str">
            <v>四川省仁寿县贵平镇中岗村10组</v>
          </cell>
          <cell r="I1775">
            <v>18617331265</v>
          </cell>
        </row>
        <row r="1776">
          <cell r="C1776" t="str">
            <v>511121196306036934</v>
          </cell>
          <cell r="D1776" t="str">
            <v>男</v>
          </cell>
          <cell r="E1776" t="str">
            <v>汉族</v>
          </cell>
          <cell r="F1776" t="str">
            <v>19630603</v>
          </cell>
          <cell r="G1776">
            <v>58</v>
          </cell>
          <cell r="H1776" t="str">
            <v>四川省仁寿县贵平镇中岗村10组</v>
          </cell>
          <cell r="I1776">
            <v>15622287370</v>
          </cell>
        </row>
        <row r="1777">
          <cell r="C1777" t="str">
            <v>511121196307216945</v>
          </cell>
          <cell r="D1777" t="str">
            <v>女</v>
          </cell>
          <cell r="E1777" t="str">
            <v>汉族</v>
          </cell>
          <cell r="F1777" t="str">
            <v>19630721</v>
          </cell>
          <cell r="G1777">
            <v>58</v>
          </cell>
          <cell r="H1777" t="str">
            <v>四川省仁寿县贵平镇中岗村10组</v>
          </cell>
          <cell r="I1777">
            <v>13724008865</v>
          </cell>
        </row>
        <row r="1778">
          <cell r="C1778" t="str">
            <v>511121194402096938</v>
          </cell>
          <cell r="D1778" t="str">
            <v>男</v>
          </cell>
          <cell r="E1778" t="str">
            <v>汉族</v>
          </cell>
          <cell r="F1778" t="str">
            <v>19440209</v>
          </cell>
          <cell r="G1778">
            <v>77</v>
          </cell>
          <cell r="H1778" t="str">
            <v>四川省仁寿县贵平镇中岗村10组</v>
          </cell>
        </row>
        <row r="1779">
          <cell r="C1779" t="str">
            <v>511121197611176938</v>
          </cell>
          <cell r="D1779" t="str">
            <v>男</v>
          </cell>
          <cell r="E1779" t="str">
            <v>汉族</v>
          </cell>
          <cell r="F1779" t="str">
            <v>19761117</v>
          </cell>
          <cell r="G1779">
            <v>45</v>
          </cell>
          <cell r="H1779" t="str">
            <v>四川省仁寿县贵平镇中岗村10组</v>
          </cell>
          <cell r="I1779">
            <v>16683197819</v>
          </cell>
        </row>
        <row r="1780">
          <cell r="C1780" t="str">
            <v>511121197503226942</v>
          </cell>
          <cell r="D1780" t="str">
            <v>女</v>
          </cell>
          <cell r="E1780" t="str">
            <v>汉族</v>
          </cell>
          <cell r="F1780" t="str">
            <v>19750322</v>
          </cell>
          <cell r="G1780">
            <v>46</v>
          </cell>
          <cell r="H1780" t="str">
            <v>四川省仁寿县贵平镇中岗村10组</v>
          </cell>
          <cell r="I1780">
            <v>13550225242</v>
          </cell>
        </row>
        <row r="1781">
          <cell r="C1781" t="str">
            <v>513822199905296738</v>
          </cell>
          <cell r="D1781" t="str">
            <v>男</v>
          </cell>
          <cell r="E1781" t="str">
            <v>汉族</v>
          </cell>
          <cell r="F1781" t="str">
            <v>19990529</v>
          </cell>
          <cell r="G1781">
            <v>22</v>
          </cell>
          <cell r="H1781" t="str">
            <v>四川省仁寿县贵平镇中岗村10组</v>
          </cell>
          <cell r="I1781">
            <v>17348082529</v>
          </cell>
        </row>
        <row r="1782">
          <cell r="C1782" t="str">
            <v>513822200201216774</v>
          </cell>
          <cell r="D1782" t="str">
            <v>男</v>
          </cell>
          <cell r="E1782" t="str">
            <v>汉族</v>
          </cell>
          <cell r="F1782" t="str">
            <v>20020121</v>
          </cell>
          <cell r="G1782">
            <v>19</v>
          </cell>
          <cell r="H1782" t="str">
            <v>四川省仁寿县贵平镇中岗村10组</v>
          </cell>
          <cell r="I1782">
            <v>19160391049</v>
          </cell>
        </row>
        <row r="1783">
          <cell r="C1783" t="str">
            <v>511121195108196932</v>
          </cell>
          <cell r="D1783" t="str">
            <v>男</v>
          </cell>
          <cell r="E1783" t="str">
            <v>汉族</v>
          </cell>
          <cell r="F1783" t="str">
            <v>19510819</v>
          </cell>
          <cell r="G1783">
            <v>70</v>
          </cell>
          <cell r="H1783" t="str">
            <v>四川省仁寿县贵平镇中岗村10组</v>
          </cell>
          <cell r="I1783">
            <v>17341956083</v>
          </cell>
        </row>
        <row r="1784">
          <cell r="C1784" t="str">
            <v>511121195109196942</v>
          </cell>
          <cell r="D1784" t="str">
            <v>女</v>
          </cell>
          <cell r="E1784" t="str">
            <v>汉族</v>
          </cell>
          <cell r="F1784" t="str">
            <v>19510919</v>
          </cell>
          <cell r="G1784">
            <v>70</v>
          </cell>
          <cell r="H1784" t="str">
            <v>四川省仁寿县贵平镇中岗村10组</v>
          </cell>
          <cell r="I1784">
            <v>17341956083</v>
          </cell>
        </row>
        <row r="1785">
          <cell r="C1785" t="str">
            <v>513822199306216943</v>
          </cell>
          <cell r="D1785" t="str">
            <v>女</v>
          </cell>
          <cell r="E1785" t="str">
            <v>汉族</v>
          </cell>
          <cell r="F1785" t="str">
            <v>19930621</v>
          </cell>
          <cell r="G1785">
            <v>28</v>
          </cell>
          <cell r="H1785" t="str">
            <v>四川省仁寿县贵平镇中岗村10组</v>
          </cell>
          <cell r="I1785">
            <v>18680708763</v>
          </cell>
        </row>
        <row r="1786">
          <cell r="C1786" t="str">
            <v>511421201611110264</v>
          </cell>
          <cell r="D1786" t="str">
            <v>女</v>
          </cell>
          <cell r="E1786" t="str">
            <v>汉族</v>
          </cell>
          <cell r="F1786" t="str">
            <v>20161111</v>
          </cell>
          <cell r="G1786">
            <v>5</v>
          </cell>
          <cell r="H1786" t="str">
            <v>四川省仁寿县贵平镇中岗村10组</v>
          </cell>
        </row>
        <row r="1787">
          <cell r="C1787" t="str">
            <v>511421202004110259</v>
          </cell>
          <cell r="D1787" t="str">
            <v>男</v>
          </cell>
          <cell r="E1787" t="str">
            <v>汉族</v>
          </cell>
          <cell r="F1787" t="str">
            <v>20200411</v>
          </cell>
          <cell r="G1787">
            <v>1</v>
          </cell>
          <cell r="H1787" t="str">
            <v>四川省仁寿县贵平镇中岗村10组</v>
          </cell>
        </row>
        <row r="1788">
          <cell r="C1788" t="str">
            <v>51112119330103694X</v>
          </cell>
          <cell r="D1788" t="str">
            <v>女</v>
          </cell>
          <cell r="E1788" t="str">
            <v>汉族</v>
          </cell>
          <cell r="F1788" t="str">
            <v>19330103</v>
          </cell>
          <cell r="G1788">
            <v>88</v>
          </cell>
          <cell r="H1788" t="str">
            <v>四川省仁寿县贵平镇中岗村10组</v>
          </cell>
        </row>
        <row r="1789">
          <cell r="C1789" t="str">
            <v>511121195607126955</v>
          </cell>
          <cell r="D1789" t="str">
            <v>男</v>
          </cell>
          <cell r="E1789" t="str">
            <v>汉族</v>
          </cell>
          <cell r="F1789" t="str">
            <v>19560712</v>
          </cell>
          <cell r="G1789">
            <v>65</v>
          </cell>
          <cell r="H1789" t="str">
            <v>四川省仁寿县贵平镇中岗村10组</v>
          </cell>
          <cell r="I1789">
            <v>17072800593</v>
          </cell>
        </row>
        <row r="1790">
          <cell r="C1790" t="str">
            <v>51112119540212696X</v>
          </cell>
          <cell r="D1790" t="str">
            <v>女</v>
          </cell>
          <cell r="E1790" t="str">
            <v>汉族</v>
          </cell>
          <cell r="F1790" t="str">
            <v>19540212</v>
          </cell>
          <cell r="G1790">
            <v>67</v>
          </cell>
          <cell r="H1790" t="str">
            <v>四川省仁寿县贵平镇中岗村10组</v>
          </cell>
        </row>
        <row r="1791">
          <cell r="C1791" t="str">
            <v>511121198109036934</v>
          </cell>
          <cell r="D1791" t="str">
            <v>男</v>
          </cell>
          <cell r="E1791" t="str">
            <v>汉族</v>
          </cell>
          <cell r="F1791" t="str">
            <v>19810903</v>
          </cell>
          <cell r="G1791">
            <v>40</v>
          </cell>
          <cell r="H1791" t="str">
            <v>四川省仁寿县贵平镇中岗村10组</v>
          </cell>
          <cell r="I1791">
            <v>19982630038</v>
          </cell>
        </row>
        <row r="1792">
          <cell r="C1792" t="str">
            <v>511121195607116933</v>
          </cell>
          <cell r="D1792" t="str">
            <v>男</v>
          </cell>
          <cell r="E1792" t="str">
            <v>汉族</v>
          </cell>
          <cell r="F1792" t="str">
            <v>19560711</v>
          </cell>
          <cell r="G1792">
            <v>65</v>
          </cell>
          <cell r="H1792" t="str">
            <v>四川省仁寿县贵平镇中岗村10组</v>
          </cell>
          <cell r="I1792">
            <v>13658148912</v>
          </cell>
        </row>
        <row r="1793">
          <cell r="C1793" t="str">
            <v>511121195906286967</v>
          </cell>
          <cell r="D1793" t="str">
            <v>女</v>
          </cell>
          <cell r="E1793" t="str">
            <v>汉族</v>
          </cell>
          <cell r="F1793" t="str">
            <v>19590628</v>
          </cell>
          <cell r="G1793">
            <v>62</v>
          </cell>
          <cell r="H1793" t="str">
            <v>四川省仁寿县贵平镇中岗村10组</v>
          </cell>
        </row>
        <row r="1794">
          <cell r="C1794" t="str">
            <v>513822198302076942</v>
          </cell>
          <cell r="D1794" t="str">
            <v>女</v>
          </cell>
          <cell r="E1794" t="str">
            <v>汉族</v>
          </cell>
          <cell r="F1794" t="str">
            <v>19830207</v>
          </cell>
          <cell r="G1794">
            <v>38</v>
          </cell>
          <cell r="H1794" t="str">
            <v>四川省仁寿县贵平镇中岗村10组</v>
          </cell>
          <cell r="I1794">
            <v>13802791962</v>
          </cell>
        </row>
        <row r="1795">
          <cell r="C1795" t="str">
            <v>511121196105236948</v>
          </cell>
          <cell r="D1795" t="str">
            <v>女</v>
          </cell>
          <cell r="E1795" t="str">
            <v>汉族</v>
          </cell>
          <cell r="F1795" t="str">
            <v>19610523</v>
          </cell>
          <cell r="G1795">
            <v>60</v>
          </cell>
          <cell r="H1795" t="str">
            <v>四川省仁寿县贵平镇中岗村10组</v>
          </cell>
        </row>
        <row r="1796">
          <cell r="C1796" t="str">
            <v>511121196607168754</v>
          </cell>
          <cell r="D1796" t="str">
            <v>男</v>
          </cell>
          <cell r="E1796" t="str">
            <v>汉族</v>
          </cell>
          <cell r="F1796" t="str">
            <v>19660716</v>
          </cell>
          <cell r="G1796">
            <v>55</v>
          </cell>
          <cell r="H1796" t="str">
            <v>四川省仁寿县贵平镇中岗村10组</v>
          </cell>
          <cell r="I1796">
            <v>18783395633</v>
          </cell>
        </row>
        <row r="1797">
          <cell r="C1797" t="str">
            <v>511421201503036853</v>
          </cell>
          <cell r="D1797" t="str">
            <v>男</v>
          </cell>
          <cell r="E1797" t="str">
            <v>汉族</v>
          </cell>
          <cell r="F1797" t="str">
            <v>20150303</v>
          </cell>
          <cell r="G1797">
            <v>6</v>
          </cell>
          <cell r="H1797" t="str">
            <v>四川省仁寿县贵平镇中岗村10组</v>
          </cell>
        </row>
        <row r="1798">
          <cell r="C1798" t="str">
            <v>511121196506036939</v>
          </cell>
          <cell r="D1798" t="str">
            <v>男</v>
          </cell>
          <cell r="E1798" t="str">
            <v>汉族</v>
          </cell>
          <cell r="F1798" t="str">
            <v>19650603</v>
          </cell>
          <cell r="G1798">
            <v>56</v>
          </cell>
          <cell r="H1798" t="str">
            <v>四川省仁寿县贵平镇中岗村10组</v>
          </cell>
          <cell r="I1798">
            <v>13484183612</v>
          </cell>
        </row>
        <row r="1799">
          <cell r="C1799" t="str">
            <v>511121196611116949</v>
          </cell>
          <cell r="D1799" t="str">
            <v>女</v>
          </cell>
          <cell r="E1799" t="str">
            <v>汉族</v>
          </cell>
          <cell r="F1799" t="str">
            <v>19661111</v>
          </cell>
          <cell r="G1799">
            <v>55</v>
          </cell>
          <cell r="H1799" t="str">
            <v>四川省仁寿县贵平镇中岗村10组</v>
          </cell>
          <cell r="I1799">
            <v>15868332419</v>
          </cell>
        </row>
        <row r="1800">
          <cell r="C1800" t="str">
            <v>513822198808246953</v>
          </cell>
          <cell r="D1800" t="str">
            <v>男</v>
          </cell>
          <cell r="E1800" t="str">
            <v>汉族</v>
          </cell>
          <cell r="F1800" t="str">
            <v>19880824</v>
          </cell>
          <cell r="G1800">
            <v>33</v>
          </cell>
          <cell r="H1800" t="str">
            <v>四川省仁寿县贵平镇中岗村10组</v>
          </cell>
          <cell r="I1800">
            <v>13967385836</v>
          </cell>
        </row>
        <row r="1801">
          <cell r="C1801" t="str">
            <v>511421201108116861</v>
          </cell>
          <cell r="D1801" t="str">
            <v>女</v>
          </cell>
          <cell r="E1801" t="str">
            <v>汉族</v>
          </cell>
          <cell r="F1801" t="str">
            <v>20110811</v>
          </cell>
          <cell r="G1801">
            <v>10</v>
          </cell>
          <cell r="H1801" t="str">
            <v>四川省仁寿县贵平镇中岗村10组</v>
          </cell>
        </row>
        <row r="1802">
          <cell r="C1802" t="str">
            <v>51382219910815696X</v>
          </cell>
          <cell r="D1802" t="str">
            <v>女</v>
          </cell>
          <cell r="E1802" t="str">
            <v>汉族</v>
          </cell>
          <cell r="F1802" t="str">
            <v>19910815</v>
          </cell>
          <cell r="G1802">
            <v>30</v>
          </cell>
          <cell r="H1802" t="str">
            <v>四川省仁寿县贵平镇中岗村10组</v>
          </cell>
        </row>
        <row r="1803">
          <cell r="C1803" t="str">
            <v>511121195202146931</v>
          </cell>
          <cell r="D1803" t="str">
            <v>男</v>
          </cell>
          <cell r="E1803" t="str">
            <v>汉族</v>
          </cell>
          <cell r="F1803" t="str">
            <v>19520214</v>
          </cell>
          <cell r="G1803">
            <v>69</v>
          </cell>
          <cell r="H1803" t="str">
            <v>四川省仁寿县贵平镇中岗村10组</v>
          </cell>
          <cell r="I1803">
            <v>17381139850</v>
          </cell>
        </row>
        <row r="1804">
          <cell r="C1804" t="str">
            <v>511121194906056948</v>
          </cell>
          <cell r="D1804" t="str">
            <v>女</v>
          </cell>
          <cell r="E1804" t="str">
            <v>汉族</v>
          </cell>
          <cell r="F1804" t="str">
            <v>19490605</v>
          </cell>
          <cell r="G1804">
            <v>72</v>
          </cell>
          <cell r="H1804" t="str">
            <v>四川省仁寿县贵平镇中岗村10组</v>
          </cell>
        </row>
        <row r="1805">
          <cell r="C1805" t="str">
            <v>511421200504176773</v>
          </cell>
          <cell r="D1805" t="str">
            <v>男</v>
          </cell>
          <cell r="E1805" t="str">
            <v>汉族</v>
          </cell>
          <cell r="F1805" t="str">
            <v>20050417</v>
          </cell>
          <cell r="G1805">
            <v>16</v>
          </cell>
          <cell r="H1805" t="str">
            <v>四川省仁寿县贵平镇中岗村10组</v>
          </cell>
          <cell r="I1805">
            <v>17883678023</v>
          </cell>
        </row>
        <row r="1806">
          <cell r="C1806" t="str">
            <v>511121194106146937</v>
          </cell>
          <cell r="D1806" t="str">
            <v>男</v>
          </cell>
          <cell r="E1806" t="str">
            <v>汉族</v>
          </cell>
          <cell r="F1806" t="str">
            <v>19410614</v>
          </cell>
          <cell r="G1806">
            <v>80</v>
          </cell>
          <cell r="H1806" t="str">
            <v>四川省仁寿县贵平镇中岗村10组</v>
          </cell>
        </row>
        <row r="1807">
          <cell r="C1807" t="str">
            <v>513822199008216937</v>
          </cell>
          <cell r="D1807" t="str">
            <v>男</v>
          </cell>
          <cell r="E1807" t="str">
            <v>汉族</v>
          </cell>
          <cell r="F1807" t="str">
            <v>19900821</v>
          </cell>
          <cell r="G1807">
            <v>31</v>
          </cell>
          <cell r="H1807" t="str">
            <v>四川省仁寿县贵平镇中岗村10组</v>
          </cell>
        </row>
        <row r="1808">
          <cell r="C1808" t="str">
            <v>511121194502146963</v>
          </cell>
          <cell r="D1808" t="str">
            <v>女</v>
          </cell>
          <cell r="E1808" t="str">
            <v>汉族</v>
          </cell>
          <cell r="F1808" t="str">
            <v>19450214</v>
          </cell>
          <cell r="G1808">
            <v>76</v>
          </cell>
          <cell r="H1808" t="str">
            <v>四川省仁寿县贵平镇中岗村10组</v>
          </cell>
        </row>
        <row r="1809">
          <cell r="C1809" t="str">
            <v>511121196712206935</v>
          </cell>
          <cell r="D1809" t="str">
            <v>男</v>
          </cell>
          <cell r="E1809" t="str">
            <v>汉族</v>
          </cell>
          <cell r="F1809" t="str">
            <v>19671220</v>
          </cell>
          <cell r="G1809">
            <v>54</v>
          </cell>
          <cell r="H1809" t="str">
            <v>四川省仁寿县贵平镇中岗村10组</v>
          </cell>
          <cell r="I1809">
            <v>18728386583</v>
          </cell>
        </row>
        <row r="1810">
          <cell r="C1810" t="str">
            <v>511121197004286940</v>
          </cell>
          <cell r="D1810" t="str">
            <v>女</v>
          </cell>
          <cell r="E1810" t="str">
            <v>汉族</v>
          </cell>
          <cell r="F1810" t="str">
            <v>19700428</v>
          </cell>
          <cell r="G1810">
            <v>51</v>
          </cell>
          <cell r="H1810" t="str">
            <v>四川省仁寿县贵平镇中岗村10组</v>
          </cell>
          <cell r="I1810">
            <v>18228589845</v>
          </cell>
        </row>
        <row r="1811">
          <cell r="C1811" t="str">
            <v>513822200410266751</v>
          </cell>
          <cell r="D1811" t="str">
            <v>男</v>
          </cell>
          <cell r="E1811" t="str">
            <v>汉族</v>
          </cell>
          <cell r="F1811" t="str">
            <v>20041026</v>
          </cell>
          <cell r="G1811">
            <v>17</v>
          </cell>
          <cell r="H1811" t="str">
            <v>四川省仁寿县贵平镇中岗村10组</v>
          </cell>
          <cell r="I1811">
            <v>17323253580</v>
          </cell>
        </row>
        <row r="1812">
          <cell r="C1812" t="str">
            <v>511121194508206947</v>
          </cell>
          <cell r="D1812" t="str">
            <v>女</v>
          </cell>
          <cell r="E1812" t="str">
            <v>汉族</v>
          </cell>
          <cell r="F1812" t="str">
            <v>19450820</v>
          </cell>
          <cell r="G1812">
            <v>76</v>
          </cell>
          <cell r="H1812" t="str">
            <v>四川省仁寿县贵平镇中岗村10组</v>
          </cell>
          <cell r="I1812">
            <v>15196457015</v>
          </cell>
        </row>
        <row r="1813">
          <cell r="C1813" t="str">
            <v>511121196803186976</v>
          </cell>
          <cell r="D1813" t="str">
            <v>男</v>
          </cell>
          <cell r="E1813" t="str">
            <v>汉族</v>
          </cell>
          <cell r="F1813" t="str">
            <v>19680318</v>
          </cell>
          <cell r="G1813">
            <v>53</v>
          </cell>
          <cell r="H1813" t="str">
            <v>四川省仁寿县贵平镇中岗村10组</v>
          </cell>
          <cell r="I1813">
            <v>15987592769</v>
          </cell>
        </row>
        <row r="1814">
          <cell r="C1814" t="str">
            <v>513822199409076939</v>
          </cell>
          <cell r="D1814" t="str">
            <v>男</v>
          </cell>
          <cell r="E1814" t="str">
            <v>汉族</v>
          </cell>
          <cell r="F1814" t="str">
            <v>19940907</v>
          </cell>
          <cell r="G1814">
            <v>27</v>
          </cell>
          <cell r="H1814" t="str">
            <v>四川省仁寿县贵平镇中岗村10组</v>
          </cell>
          <cell r="I1814">
            <v>18728063107</v>
          </cell>
        </row>
        <row r="1815">
          <cell r="C1815" t="str">
            <v>513822199410233209</v>
          </cell>
          <cell r="D1815" t="str">
            <v>男</v>
          </cell>
          <cell r="E1815" t="str">
            <v>汉族</v>
          </cell>
          <cell r="F1815" t="str">
            <v>19941023</v>
          </cell>
          <cell r="G1815">
            <v>27</v>
          </cell>
          <cell r="H1815" t="str">
            <v>四川省仁寿县贵平镇中岗村10组</v>
          </cell>
          <cell r="I1815">
            <v>17711002213</v>
          </cell>
        </row>
        <row r="1816">
          <cell r="C1816" t="str">
            <v>511121197012216942</v>
          </cell>
          <cell r="D1816" t="str">
            <v>女</v>
          </cell>
          <cell r="E1816" t="str">
            <v>汉族</v>
          </cell>
          <cell r="F1816" t="str">
            <v>19701221</v>
          </cell>
          <cell r="G1816">
            <v>51</v>
          </cell>
          <cell r="H1816" t="str">
            <v>四川省仁寿县贵平镇中岗村10组</v>
          </cell>
          <cell r="I1816">
            <v>18628946126</v>
          </cell>
        </row>
        <row r="1817">
          <cell r="C1817" t="str">
            <v>51112119390421694X</v>
          </cell>
          <cell r="D1817" t="str">
            <v>女</v>
          </cell>
          <cell r="E1817" t="str">
            <v>汉族</v>
          </cell>
          <cell r="F1817" t="str">
            <v>19390421</v>
          </cell>
          <cell r="G1817">
            <v>82</v>
          </cell>
          <cell r="H1817" t="str">
            <v>四川省仁寿县贵平镇中岗村10组</v>
          </cell>
          <cell r="I1817">
            <v>13404072878</v>
          </cell>
        </row>
        <row r="1818">
          <cell r="C1818" t="str">
            <v>511121197004096936</v>
          </cell>
          <cell r="D1818" t="str">
            <v>男</v>
          </cell>
          <cell r="E1818" t="str">
            <v>汉族</v>
          </cell>
          <cell r="F1818" t="str">
            <v>19700409</v>
          </cell>
          <cell r="G1818">
            <v>51</v>
          </cell>
          <cell r="H1818" t="str">
            <v>四川省仁寿县贵平镇中岗村10组</v>
          </cell>
          <cell r="I1818">
            <v>17381117386</v>
          </cell>
        </row>
        <row r="1819">
          <cell r="C1819" t="str">
            <v>511121196706276945</v>
          </cell>
          <cell r="D1819" t="str">
            <v>女</v>
          </cell>
          <cell r="E1819" t="str">
            <v>汉族</v>
          </cell>
          <cell r="F1819" t="str">
            <v>19670627</v>
          </cell>
          <cell r="G1819">
            <v>54</v>
          </cell>
          <cell r="H1819" t="str">
            <v>四川省仁寿县贵平镇中岗村10组</v>
          </cell>
          <cell r="I1819">
            <v>17381109008</v>
          </cell>
        </row>
        <row r="1820">
          <cell r="C1820" t="str">
            <v>513822199307186942</v>
          </cell>
          <cell r="D1820" t="str">
            <v>女</v>
          </cell>
          <cell r="E1820" t="str">
            <v>汉族</v>
          </cell>
          <cell r="F1820" t="str">
            <v>19930718</v>
          </cell>
          <cell r="G1820">
            <v>28</v>
          </cell>
          <cell r="H1820" t="str">
            <v>四川省仁寿县贵平镇中岗村10组</v>
          </cell>
          <cell r="I1820">
            <v>15821876773</v>
          </cell>
        </row>
        <row r="1821">
          <cell r="C1821" t="str">
            <v>511421200503096739</v>
          </cell>
          <cell r="D1821" t="str">
            <v>男</v>
          </cell>
          <cell r="E1821" t="str">
            <v>汉族</v>
          </cell>
          <cell r="F1821" t="str">
            <v>20050309</v>
          </cell>
          <cell r="G1821">
            <v>16</v>
          </cell>
          <cell r="H1821" t="str">
            <v>四川省仁寿县贵平镇中岗村10组</v>
          </cell>
        </row>
        <row r="1822">
          <cell r="C1822" t="str">
            <v>511121196304166938</v>
          </cell>
          <cell r="D1822" t="str">
            <v>男</v>
          </cell>
          <cell r="E1822" t="str">
            <v>汉族</v>
          </cell>
          <cell r="F1822" t="str">
            <v>19630416</v>
          </cell>
          <cell r="G1822">
            <v>58</v>
          </cell>
          <cell r="H1822" t="str">
            <v>四川省仁寿县贵平镇中岗村10组</v>
          </cell>
          <cell r="I1822">
            <v>13438601129</v>
          </cell>
        </row>
        <row r="1823">
          <cell r="C1823" t="str">
            <v>511121196701236944</v>
          </cell>
          <cell r="D1823" t="str">
            <v>女</v>
          </cell>
          <cell r="E1823" t="str">
            <v>汉族</v>
          </cell>
          <cell r="F1823" t="str">
            <v>19670123</v>
          </cell>
          <cell r="G1823">
            <v>54</v>
          </cell>
          <cell r="H1823" t="str">
            <v>四川省仁寿县贵平镇中岗村10组</v>
          </cell>
        </row>
        <row r="1824">
          <cell r="C1824" t="str">
            <v>513822198812186930</v>
          </cell>
          <cell r="D1824" t="str">
            <v>男</v>
          </cell>
          <cell r="E1824" t="str">
            <v>汉族</v>
          </cell>
          <cell r="F1824" t="str">
            <v>19881218</v>
          </cell>
          <cell r="G1824">
            <v>33</v>
          </cell>
          <cell r="H1824" t="str">
            <v>四川省仁寿县贵平镇中岗村10组</v>
          </cell>
          <cell r="I1824">
            <v>15983335041</v>
          </cell>
        </row>
        <row r="1825">
          <cell r="C1825" t="str">
            <v>362322198908185442</v>
          </cell>
          <cell r="D1825" t="str">
            <v>女</v>
          </cell>
          <cell r="E1825" t="str">
            <v>汉族</v>
          </cell>
          <cell r="F1825" t="str">
            <v>19890818</v>
          </cell>
          <cell r="G1825">
            <v>32</v>
          </cell>
          <cell r="H1825" t="str">
            <v>四川省仁寿县贵平镇中岗村10组</v>
          </cell>
          <cell r="I1825">
            <v>13401410956</v>
          </cell>
        </row>
        <row r="1826">
          <cell r="C1826" t="str">
            <v>511421201112176947</v>
          </cell>
          <cell r="D1826" t="str">
            <v>女</v>
          </cell>
          <cell r="E1826" t="str">
            <v>汉族</v>
          </cell>
          <cell r="F1826" t="str">
            <v>20111217</v>
          </cell>
          <cell r="G1826">
            <v>10</v>
          </cell>
          <cell r="H1826" t="str">
            <v>四川省仁寿县贵平镇中岗村10组</v>
          </cell>
        </row>
        <row r="1827">
          <cell r="C1827" t="str">
            <v>511421201304256861</v>
          </cell>
          <cell r="D1827" t="str">
            <v>女</v>
          </cell>
          <cell r="E1827" t="str">
            <v>汉族</v>
          </cell>
          <cell r="F1827" t="str">
            <v>20130425</v>
          </cell>
          <cell r="G1827">
            <v>8</v>
          </cell>
          <cell r="H1827" t="str">
            <v>四川省仁寿县贵平镇中岗村10组</v>
          </cell>
        </row>
        <row r="1828">
          <cell r="C1828" t="str">
            <v>511121196512306931</v>
          </cell>
          <cell r="D1828" t="str">
            <v>男</v>
          </cell>
          <cell r="E1828" t="str">
            <v>汉族</v>
          </cell>
          <cell r="F1828" t="str">
            <v>19651230</v>
          </cell>
          <cell r="G1828">
            <v>56</v>
          </cell>
          <cell r="H1828" t="str">
            <v>四川省仁寿县贵平镇中岗村10组</v>
          </cell>
          <cell r="I1828">
            <v>15883317292</v>
          </cell>
        </row>
        <row r="1829">
          <cell r="C1829" t="str">
            <v>511121196512296948</v>
          </cell>
          <cell r="D1829" t="str">
            <v>女</v>
          </cell>
          <cell r="E1829" t="str">
            <v>汉族</v>
          </cell>
          <cell r="F1829" t="str">
            <v>19651229</v>
          </cell>
          <cell r="G1829">
            <v>56</v>
          </cell>
          <cell r="H1829" t="str">
            <v>四川省仁寿县贵平镇中岗村10组</v>
          </cell>
          <cell r="I1829">
            <v>15196470230</v>
          </cell>
        </row>
        <row r="1830">
          <cell r="C1830" t="str">
            <v>513822198707266947</v>
          </cell>
          <cell r="D1830" t="str">
            <v>女</v>
          </cell>
          <cell r="E1830" t="str">
            <v>汉族</v>
          </cell>
          <cell r="F1830" t="str">
            <v>19870726</v>
          </cell>
          <cell r="G1830">
            <v>34</v>
          </cell>
          <cell r="H1830" t="str">
            <v>四川省仁寿县贵平镇中岗村10组</v>
          </cell>
          <cell r="I1830">
            <v>18381181326</v>
          </cell>
        </row>
        <row r="1831">
          <cell r="C1831" t="str">
            <v>513822199105066942</v>
          </cell>
          <cell r="D1831" t="str">
            <v>女</v>
          </cell>
          <cell r="E1831" t="str">
            <v>汉族</v>
          </cell>
          <cell r="F1831" t="str">
            <v>19910506</v>
          </cell>
          <cell r="G1831">
            <v>30</v>
          </cell>
          <cell r="H1831" t="str">
            <v>四川省仁寿县贵平镇中岗村10组</v>
          </cell>
          <cell r="I1831">
            <v>13551090173</v>
          </cell>
        </row>
        <row r="1832">
          <cell r="C1832" t="str">
            <v>511421201701030233</v>
          </cell>
          <cell r="D1832" t="str">
            <v>男</v>
          </cell>
          <cell r="E1832" t="str">
            <v>汉族</v>
          </cell>
          <cell r="F1832" t="str">
            <v>20170103</v>
          </cell>
          <cell r="G1832">
            <v>4</v>
          </cell>
          <cell r="H1832" t="str">
            <v>四川省仁寿县贵平镇中岗村10组</v>
          </cell>
        </row>
        <row r="1833">
          <cell r="C1833" t="str">
            <v>511121195101286935</v>
          </cell>
          <cell r="D1833" t="str">
            <v>男</v>
          </cell>
          <cell r="E1833" t="str">
            <v>汉族</v>
          </cell>
          <cell r="F1833" t="str">
            <v>19510128</v>
          </cell>
          <cell r="G1833">
            <v>70</v>
          </cell>
          <cell r="H1833" t="str">
            <v>四川省仁寿县贵平镇中岗村10组</v>
          </cell>
          <cell r="I1833">
            <v>13778880443</v>
          </cell>
        </row>
        <row r="1834">
          <cell r="C1834" t="str">
            <v>511121194907176968</v>
          </cell>
          <cell r="D1834" t="str">
            <v>女</v>
          </cell>
          <cell r="E1834" t="str">
            <v>汉族</v>
          </cell>
          <cell r="F1834" t="str">
            <v>19490717</v>
          </cell>
          <cell r="G1834">
            <v>72</v>
          </cell>
          <cell r="H1834" t="str">
            <v>四川省仁寿县贵平镇中岗村10组</v>
          </cell>
        </row>
        <row r="1835">
          <cell r="C1835" t="str">
            <v>511121197410226935</v>
          </cell>
          <cell r="D1835" t="str">
            <v>男</v>
          </cell>
          <cell r="E1835" t="str">
            <v>汉族</v>
          </cell>
          <cell r="F1835" t="str">
            <v>19741022</v>
          </cell>
          <cell r="G1835">
            <v>47</v>
          </cell>
          <cell r="H1835" t="str">
            <v>四川省仁寿县贵平镇中岗村10组</v>
          </cell>
          <cell r="I1835">
            <v>13550511606</v>
          </cell>
        </row>
        <row r="1836">
          <cell r="C1836" t="str">
            <v>511121197503186944</v>
          </cell>
          <cell r="D1836" t="str">
            <v>女</v>
          </cell>
          <cell r="E1836" t="str">
            <v>汉族</v>
          </cell>
          <cell r="F1836" t="str">
            <v>19750318</v>
          </cell>
          <cell r="G1836">
            <v>46</v>
          </cell>
          <cell r="H1836" t="str">
            <v>四川省仁寿县贵平镇中岗村10组</v>
          </cell>
          <cell r="I1836">
            <v>17360682553</v>
          </cell>
        </row>
        <row r="1837">
          <cell r="C1837" t="str">
            <v>513822199701176945</v>
          </cell>
          <cell r="D1837" t="str">
            <v>女</v>
          </cell>
          <cell r="E1837" t="str">
            <v>汉族</v>
          </cell>
          <cell r="F1837" t="str">
            <v>19970117</v>
          </cell>
          <cell r="G1837">
            <v>24</v>
          </cell>
          <cell r="H1837" t="str">
            <v>四川省仁寿县贵平镇中岗村10组</v>
          </cell>
          <cell r="I1837">
            <v>18512862520</v>
          </cell>
        </row>
        <row r="1838">
          <cell r="C1838" t="str">
            <v>511121195109066945</v>
          </cell>
          <cell r="D1838" t="str">
            <v>女</v>
          </cell>
          <cell r="E1838" t="str">
            <v>汉族</v>
          </cell>
          <cell r="F1838" t="str">
            <v>19510906</v>
          </cell>
          <cell r="G1838">
            <v>70</v>
          </cell>
          <cell r="H1838" t="str">
            <v>四川省仁寿县贵平镇中岗村10组</v>
          </cell>
          <cell r="I1838">
            <v>17380943460</v>
          </cell>
        </row>
        <row r="1839">
          <cell r="C1839" t="str">
            <v>511121197809136958</v>
          </cell>
          <cell r="D1839" t="str">
            <v>男</v>
          </cell>
          <cell r="E1839" t="str">
            <v>汉族</v>
          </cell>
          <cell r="F1839" t="str">
            <v>19780913</v>
          </cell>
          <cell r="G1839">
            <v>43</v>
          </cell>
          <cell r="H1839" t="str">
            <v>四川省仁寿县贵平镇中岗村10组</v>
          </cell>
          <cell r="I1839">
            <v>1539138766</v>
          </cell>
        </row>
        <row r="1840">
          <cell r="C1840" t="str">
            <v>511121197911128946</v>
          </cell>
          <cell r="D1840" t="str">
            <v>女</v>
          </cell>
          <cell r="E1840" t="str">
            <v>汉族</v>
          </cell>
          <cell r="F1840" t="str">
            <v>19791112</v>
          </cell>
          <cell r="G1840">
            <v>42</v>
          </cell>
          <cell r="H1840" t="str">
            <v>四川省仁寿县贵平镇中岗村10组</v>
          </cell>
          <cell r="I1840">
            <v>15196487539</v>
          </cell>
        </row>
        <row r="1841">
          <cell r="C1841" t="str">
            <v>511421200604256762</v>
          </cell>
          <cell r="D1841" t="str">
            <v>女</v>
          </cell>
          <cell r="E1841" t="str">
            <v>汉族</v>
          </cell>
          <cell r="F1841" t="str">
            <v>20060425</v>
          </cell>
          <cell r="G1841">
            <v>15</v>
          </cell>
          <cell r="H1841" t="str">
            <v>四川省仁寿县贵平镇中岗村10组</v>
          </cell>
        </row>
        <row r="1842">
          <cell r="C1842" t="str">
            <v>513822200010056691</v>
          </cell>
          <cell r="D1842" t="str">
            <v>男</v>
          </cell>
          <cell r="E1842" t="str">
            <v>汉族</v>
          </cell>
          <cell r="F1842" t="str">
            <v>20001005</v>
          </cell>
          <cell r="G1842">
            <v>21</v>
          </cell>
          <cell r="H1842" t="str">
            <v>四川省仁寿县贵平镇中岗村10组</v>
          </cell>
        </row>
        <row r="1843">
          <cell r="C1843" t="str">
            <v>511121194608226937</v>
          </cell>
          <cell r="D1843" t="str">
            <v>男</v>
          </cell>
          <cell r="E1843" t="str">
            <v>汉族</v>
          </cell>
          <cell r="F1843" t="str">
            <v>19460822</v>
          </cell>
          <cell r="G1843">
            <v>75</v>
          </cell>
          <cell r="H1843" t="str">
            <v>四川省仁寿县贵平镇中岗村10组</v>
          </cell>
          <cell r="I1843">
            <v>13548227500</v>
          </cell>
        </row>
        <row r="1844">
          <cell r="C1844" t="str">
            <v>511121197306016938</v>
          </cell>
          <cell r="D1844" t="str">
            <v>男</v>
          </cell>
          <cell r="E1844" t="str">
            <v>汉族</v>
          </cell>
          <cell r="F1844" t="str">
            <v>19730601</v>
          </cell>
          <cell r="G1844">
            <v>48</v>
          </cell>
          <cell r="H1844" t="str">
            <v>四川省仁寿县贵平镇中岗村10组</v>
          </cell>
          <cell r="I1844">
            <v>13982114657</v>
          </cell>
        </row>
        <row r="1845">
          <cell r="C1845" t="str">
            <v>513822199706156943</v>
          </cell>
          <cell r="D1845" t="str">
            <v>女</v>
          </cell>
          <cell r="E1845" t="str">
            <v>汉族</v>
          </cell>
          <cell r="F1845" t="str">
            <v>19970615</v>
          </cell>
          <cell r="G1845">
            <v>24</v>
          </cell>
          <cell r="H1845" t="str">
            <v>四川省仁寿县贵平镇中岗村10组</v>
          </cell>
        </row>
        <row r="1846">
          <cell r="C1846" t="str">
            <v>513822199901306935</v>
          </cell>
          <cell r="D1846" t="str">
            <v>男</v>
          </cell>
          <cell r="E1846" t="str">
            <v>汉族</v>
          </cell>
          <cell r="F1846" t="str">
            <v>19990130</v>
          </cell>
          <cell r="G1846">
            <v>22</v>
          </cell>
          <cell r="H1846" t="str">
            <v>四川省仁寿县贵平镇中岗村10组</v>
          </cell>
        </row>
        <row r="1847">
          <cell r="C1847" t="str">
            <v>511121196901276932</v>
          </cell>
          <cell r="D1847" t="str">
            <v>男</v>
          </cell>
          <cell r="E1847" t="str">
            <v>汉族</v>
          </cell>
          <cell r="F1847" t="str">
            <v>19690127</v>
          </cell>
          <cell r="G1847">
            <v>52</v>
          </cell>
          <cell r="H1847" t="str">
            <v>四川省仁寿县贵平镇中岗村10组</v>
          </cell>
        </row>
        <row r="1848">
          <cell r="C1848" t="str">
            <v>511121197808126950</v>
          </cell>
          <cell r="D1848" t="str">
            <v>男</v>
          </cell>
          <cell r="E1848" t="str">
            <v>汉族</v>
          </cell>
          <cell r="F1848" t="str">
            <v>19780812</v>
          </cell>
          <cell r="G1848">
            <v>43</v>
          </cell>
          <cell r="H1848" t="str">
            <v>四川省仁寿县贵平镇中岗村10组</v>
          </cell>
          <cell r="I1848">
            <v>18089521510</v>
          </cell>
        </row>
        <row r="1849">
          <cell r="C1849" t="str">
            <v>513822198509089003</v>
          </cell>
          <cell r="D1849" t="str">
            <v>女</v>
          </cell>
          <cell r="E1849" t="str">
            <v>汉族</v>
          </cell>
          <cell r="F1849" t="str">
            <v>19850908</v>
          </cell>
          <cell r="G1849">
            <v>36</v>
          </cell>
          <cell r="H1849" t="str">
            <v>四川省仁寿县贵平镇中岗村10组</v>
          </cell>
          <cell r="I1849">
            <v>18089521561</v>
          </cell>
        </row>
        <row r="1850">
          <cell r="C1850" t="str">
            <v>511421200710146735</v>
          </cell>
          <cell r="D1850" t="str">
            <v>男</v>
          </cell>
          <cell r="E1850" t="str">
            <v>汉族</v>
          </cell>
          <cell r="F1850" t="str">
            <v>20071014</v>
          </cell>
          <cell r="G1850">
            <v>14</v>
          </cell>
          <cell r="H1850" t="str">
            <v>四川省仁寿县贵平镇中岗村10组</v>
          </cell>
        </row>
        <row r="1851">
          <cell r="C1851" t="str">
            <v>511121196605196954</v>
          </cell>
          <cell r="D1851" t="str">
            <v>男</v>
          </cell>
          <cell r="E1851" t="str">
            <v>汉族</v>
          </cell>
          <cell r="F1851" t="str">
            <v>19660519</v>
          </cell>
          <cell r="G1851">
            <v>55</v>
          </cell>
          <cell r="H1851" t="str">
            <v>四川省仁寿县贵平镇中岗村10组</v>
          </cell>
          <cell r="I1851">
            <v>18783332338</v>
          </cell>
        </row>
        <row r="1852">
          <cell r="C1852" t="str">
            <v>511121196711076964</v>
          </cell>
          <cell r="D1852" t="str">
            <v>女</v>
          </cell>
          <cell r="E1852" t="str">
            <v>汉族</v>
          </cell>
          <cell r="F1852" t="str">
            <v>19671107</v>
          </cell>
          <cell r="G1852">
            <v>54</v>
          </cell>
          <cell r="H1852" t="str">
            <v>四川省仁寿县贵平镇中岗村10组</v>
          </cell>
          <cell r="I1852">
            <v>15102858580</v>
          </cell>
        </row>
        <row r="1853">
          <cell r="C1853" t="str">
            <v>513822199207096931</v>
          </cell>
          <cell r="D1853" t="str">
            <v>男</v>
          </cell>
          <cell r="E1853" t="str">
            <v>汉族</v>
          </cell>
          <cell r="F1853" t="str">
            <v>19920709</v>
          </cell>
          <cell r="G1853">
            <v>29</v>
          </cell>
          <cell r="H1853" t="str">
            <v>四川省仁寿县贵平镇中岗村10组</v>
          </cell>
          <cell r="I1853">
            <v>15828605345</v>
          </cell>
        </row>
        <row r="1854">
          <cell r="C1854" t="str">
            <v>513822199004206942</v>
          </cell>
          <cell r="D1854" t="str">
            <v>女</v>
          </cell>
          <cell r="E1854" t="str">
            <v>汉族</v>
          </cell>
          <cell r="F1854" t="str">
            <v>19900420</v>
          </cell>
          <cell r="G1854">
            <v>31</v>
          </cell>
          <cell r="H1854" t="str">
            <v>四川省仁寿县贵平镇中岗村10组</v>
          </cell>
        </row>
        <row r="1855">
          <cell r="C1855" t="str">
            <v>511121198012106959</v>
          </cell>
          <cell r="D1855" t="str">
            <v>男</v>
          </cell>
          <cell r="E1855" t="str">
            <v>汉族</v>
          </cell>
          <cell r="F1855" t="str">
            <v>19801210</v>
          </cell>
          <cell r="G1855">
            <v>41</v>
          </cell>
          <cell r="H1855" t="str">
            <v>四川省仁寿县贵平镇中岗村10组</v>
          </cell>
          <cell r="I1855">
            <v>18187916667</v>
          </cell>
        </row>
        <row r="1856">
          <cell r="C1856" t="str">
            <v>511024198012131728</v>
          </cell>
          <cell r="D1856" t="str">
            <v>女</v>
          </cell>
          <cell r="E1856" t="str">
            <v>汉族</v>
          </cell>
          <cell r="F1856" t="str">
            <v>19801213</v>
          </cell>
          <cell r="G1856">
            <v>41</v>
          </cell>
          <cell r="H1856" t="str">
            <v>四川省仁寿县贵平镇中岗村10组</v>
          </cell>
          <cell r="I1856">
            <v>15183300229</v>
          </cell>
        </row>
        <row r="1857">
          <cell r="C1857" t="str">
            <v>511421200605126740</v>
          </cell>
          <cell r="D1857" t="str">
            <v>女</v>
          </cell>
          <cell r="E1857" t="str">
            <v>汉族</v>
          </cell>
          <cell r="F1857" t="str">
            <v>20060512</v>
          </cell>
          <cell r="G1857">
            <v>15</v>
          </cell>
          <cell r="H1857" t="str">
            <v>四川省仁寿县贵平镇中岗村10组</v>
          </cell>
        </row>
        <row r="1858">
          <cell r="C1858" t="str">
            <v>513822198612176930</v>
          </cell>
          <cell r="D1858" t="str">
            <v>男</v>
          </cell>
          <cell r="E1858" t="str">
            <v>汉族</v>
          </cell>
          <cell r="F1858" t="str">
            <v>19861217</v>
          </cell>
          <cell r="G1858">
            <v>35</v>
          </cell>
          <cell r="H1858" t="str">
            <v>四川省仁寿县贵平镇中岗村10组</v>
          </cell>
          <cell r="I1858">
            <v>15982406251</v>
          </cell>
        </row>
        <row r="1859">
          <cell r="C1859" t="str">
            <v>513822198401306942</v>
          </cell>
          <cell r="D1859" t="str">
            <v>女</v>
          </cell>
          <cell r="E1859" t="str">
            <v>汉族</v>
          </cell>
          <cell r="F1859" t="str">
            <v>19840130</v>
          </cell>
          <cell r="G1859">
            <v>37</v>
          </cell>
          <cell r="H1859" t="str">
            <v>四川省仁寿县贵平镇中岗村10组</v>
          </cell>
          <cell r="I1859">
            <v>13996620917</v>
          </cell>
        </row>
        <row r="1860">
          <cell r="C1860" t="str">
            <v>511421201411076866</v>
          </cell>
          <cell r="D1860" t="str">
            <v>女</v>
          </cell>
          <cell r="E1860" t="str">
            <v>汉族</v>
          </cell>
          <cell r="F1860" t="str">
            <v>20141107</v>
          </cell>
          <cell r="G1860">
            <v>7</v>
          </cell>
          <cell r="H1860" t="str">
            <v>四川省仁寿县贵平镇中岗村10组</v>
          </cell>
        </row>
        <row r="1861">
          <cell r="C1861" t="str">
            <v>511121197412266930</v>
          </cell>
          <cell r="D1861" t="str">
            <v>男</v>
          </cell>
          <cell r="E1861" t="str">
            <v>汉族</v>
          </cell>
          <cell r="F1861" t="str">
            <v>19741226</v>
          </cell>
          <cell r="G1861">
            <v>47</v>
          </cell>
          <cell r="H1861" t="str">
            <v>四川省仁寿县贵平镇中岗村10组</v>
          </cell>
          <cell r="I1861">
            <v>13398149002</v>
          </cell>
        </row>
        <row r="1862">
          <cell r="C1862" t="str">
            <v>513822199906256949</v>
          </cell>
          <cell r="D1862" t="str">
            <v>女</v>
          </cell>
          <cell r="E1862" t="str">
            <v>汉族</v>
          </cell>
          <cell r="F1862" t="str">
            <v>19990625</v>
          </cell>
          <cell r="G1862">
            <v>22</v>
          </cell>
          <cell r="H1862" t="str">
            <v>四川省仁寿县贵平镇中岗村10组</v>
          </cell>
          <cell r="I1862">
            <v>18382156082</v>
          </cell>
        </row>
        <row r="1863">
          <cell r="C1863" t="str">
            <v>511421200206016739</v>
          </cell>
          <cell r="D1863" t="str">
            <v>男</v>
          </cell>
          <cell r="E1863" t="str">
            <v>汉族</v>
          </cell>
          <cell r="F1863" t="str">
            <v>20020601</v>
          </cell>
          <cell r="G1863">
            <v>19</v>
          </cell>
          <cell r="H1863" t="str">
            <v>四川省仁寿县贵平镇中岗村10组</v>
          </cell>
          <cell r="I1863">
            <v>17364875505</v>
          </cell>
        </row>
        <row r="1864">
          <cell r="C1864" t="str">
            <v>511121197812286949</v>
          </cell>
          <cell r="D1864" t="str">
            <v>女</v>
          </cell>
          <cell r="E1864" t="str">
            <v>汉族</v>
          </cell>
          <cell r="F1864" t="str">
            <v>19781228</v>
          </cell>
          <cell r="G1864">
            <v>43</v>
          </cell>
          <cell r="H1864" t="str">
            <v>四川省仁寿县贵平镇中岗村10组</v>
          </cell>
          <cell r="I1864">
            <v>15682553539</v>
          </cell>
        </row>
        <row r="1865">
          <cell r="C1865" t="str">
            <v>511421200904176887</v>
          </cell>
          <cell r="D1865" t="str">
            <v>女</v>
          </cell>
          <cell r="E1865" t="str">
            <v>汉族</v>
          </cell>
          <cell r="F1865" t="str">
            <v>20090417</v>
          </cell>
          <cell r="G1865">
            <v>12</v>
          </cell>
          <cell r="H1865" t="str">
            <v>四川省仁寿县贵平镇中岗村10组</v>
          </cell>
        </row>
        <row r="1866">
          <cell r="C1866" t="str">
            <v>513822198703176944</v>
          </cell>
          <cell r="D1866" t="str">
            <v>女</v>
          </cell>
          <cell r="E1866" t="str">
            <v>汉族</v>
          </cell>
          <cell r="F1866" t="str">
            <v>19870317</v>
          </cell>
          <cell r="G1866">
            <v>34</v>
          </cell>
          <cell r="H1866" t="str">
            <v>四川省仁寿县贵平镇中岗村10组</v>
          </cell>
          <cell r="I1866">
            <v>15828218961</v>
          </cell>
        </row>
        <row r="1867">
          <cell r="C1867" t="str">
            <v>511421201111076952</v>
          </cell>
          <cell r="D1867" t="str">
            <v>男</v>
          </cell>
          <cell r="E1867" t="str">
            <v>汉族</v>
          </cell>
          <cell r="F1867" t="str">
            <v>20111107</v>
          </cell>
          <cell r="G1867">
            <v>10</v>
          </cell>
          <cell r="H1867" t="str">
            <v>四川省仁寿县贵平镇中岗村10组</v>
          </cell>
        </row>
        <row r="1868">
          <cell r="C1868" t="str">
            <v>510821198608202711</v>
          </cell>
          <cell r="D1868" t="str">
            <v>男</v>
          </cell>
          <cell r="E1868" t="str">
            <v>汉族</v>
          </cell>
          <cell r="F1868" t="str">
            <v>19860820</v>
          </cell>
          <cell r="G1868">
            <v>35</v>
          </cell>
          <cell r="H1868" t="str">
            <v>四川省仁寿县贵平镇中岗村10组</v>
          </cell>
          <cell r="I1868">
            <v>15858218861</v>
          </cell>
        </row>
        <row r="1869">
          <cell r="C1869" t="str">
            <v>51382219870119695X</v>
          </cell>
          <cell r="D1869" t="str">
            <v>男</v>
          </cell>
          <cell r="E1869" t="str">
            <v>汉族</v>
          </cell>
          <cell r="F1869" t="str">
            <v>19870119</v>
          </cell>
          <cell r="G1869">
            <v>34</v>
          </cell>
          <cell r="H1869" t="str">
            <v>四川省仁寿县贵平镇中岗村10组</v>
          </cell>
        </row>
        <row r="1870">
          <cell r="C1870" t="str">
            <v>511421201111246851</v>
          </cell>
          <cell r="D1870" t="str">
            <v>男</v>
          </cell>
          <cell r="E1870" t="str">
            <v>汉族</v>
          </cell>
          <cell r="F1870" t="str">
            <v>20111124</v>
          </cell>
          <cell r="G1870">
            <v>10</v>
          </cell>
          <cell r="H1870" t="str">
            <v>四川省仁寿县贵平镇中岗村10组</v>
          </cell>
        </row>
        <row r="1871">
          <cell r="C1871" t="str">
            <v>513822198407236930</v>
          </cell>
          <cell r="D1871" t="str">
            <v>男</v>
          </cell>
          <cell r="E1871" t="str">
            <v>汉族</v>
          </cell>
          <cell r="F1871" t="str">
            <v>19840723</v>
          </cell>
          <cell r="G1871">
            <v>37</v>
          </cell>
          <cell r="H1871" t="str">
            <v>四川省仁寿县贵平镇中岗村10组</v>
          </cell>
        </row>
        <row r="1872">
          <cell r="C1872" t="str">
            <v>511421201605066869</v>
          </cell>
          <cell r="D1872" t="str">
            <v>女</v>
          </cell>
          <cell r="E1872" t="str">
            <v>汉族</v>
          </cell>
          <cell r="F1872" t="str">
            <v>20160506</v>
          </cell>
          <cell r="G1872">
            <v>5</v>
          </cell>
          <cell r="H1872" t="str">
            <v>四川省仁寿县贵平镇中岗村10组</v>
          </cell>
        </row>
        <row r="1873">
          <cell r="C1873" t="str">
            <v>513822199009026959</v>
          </cell>
          <cell r="D1873" t="str">
            <v>男</v>
          </cell>
          <cell r="E1873" t="str">
            <v>汉族</v>
          </cell>
          <cell r="F1873" t="str">
            <v>19900902</v>
          </cell>
          <cell r="G1873">
            <v>31</v>
          </cell>
          <cell r="H1873" t="str">
            <v>四川省仁寿县贵平镇中岗村10组</v>
          </cell>
        </row>
        <row r="1874">
          <cell r="C1874" t="str">
            <v>511121197009276960</v>
          </cell>
          <cell r="D1874" t="str">
            <v>女</v>
          </cell>
          <cell r="E1874" t="str">
            <v>汉族</v>
          </cell>
          <cell r="F1874" t="str">
            <v>19700927</v>
          </cell>
          <cell r="G1874">
            <v>51</v>
          </cell>
          <cell r="H1874" t="str">
            <v>四川省仁寿县贵平镇中岗村10组</v>
          </cell>
          <cell r="I1874">
            <v>13778847533</v>
          </cell>
        </row>
        <row r="1875">
          <cell r="C1875" t="str">
            <v>510921197202171637</v>
          </cell>
          <cell r="D1875" t="str">
            <v>男</v>
          </cell>
          <cell r="E1875" t="str">
            <v>汉族</v>
          </cell>
          <cell r="F1875" t="str">
            <v>19720217</v>
          </cell>
          <cell r="G1875">
            <v>49</v>
          </cell>
          <cell r="H1875" t="str">
            <v>四川省仁寿县贵平镇中岗村10组</v>
          </cell>
          <cell r="I1875">
            <v>18783358658</v>
          </cell>
        </row>
        <row r="1876">
          <cell r="C1876" t="str">
            <v>511121197810156948</v>
          </cell>
          <cell r="D1876" t="str">
            <v>女</v>
          </cell>
          <cell r="E1876" t="str">
            <v>汉族</v>
          </cell>
          <cell r="F1876" t="str">
            <v>19781015</v>
          </cell>
          <cell r="G1876">
            <v>43</v>
          </cell>
          <cell r="H1876" t="str">
            <v>四川省仁寿县贵平镇中岗村10组</v>
          </cell>
          <cell r="I1876">
            <v>18783358658</v>
          </cell>
        </row>
        <row r="1877">
          <cell r="C1877" t="str">
            <v>513822200310036748</v>
          </cell>
          <cell r="D1877" t="str">
            <v>女</v>
          </cell>
          <cell r="E1877" t="str">
            <v>汉族</v>
          </cell>
          <cell r="F1877" t="str">
            <v>20031003</v>
          </cell>
          <cell r="G1877">
            <v>18</v>
          </cell>
          <cell r="H1877" t="str">
            <v>四川省仁寿县贵平镇中岗村10组</v>
          </cell>
        </row>
        <row r="1878">
          <cell r="C1878" t="str">
            <v>511421201205056880</v>
          </cell>
          <cell r="D1878" t="str">
            <v>女</v>
          </cell>
          <cell r="E1878" t="str">
            <v>汉族</v>
          </cell>
          <cell r="F1878" t="str">
            <v>20120505</v>
          </cell>
          <cell r="G1878">
            <v>9</v>
          </cell>
          <cell r="H1878" t="str">
            <v>四川省仁寿县贵平镇中岗村10组</v>
          </cell>
        </row>
        <row r="1879">
          <cell r="C1879" t="str">
            <v>511121198102096934</v>
          </cell>
          <cell r="D1879" t="str">
            <v>男</v>
          </cell>
          <cell r="E1879" t="str">
            <v>汉族</v>
          </cell>
          <cell r="F1879" t="str">
            <v>19810209</v>
          </cell>
          <cell r="G1879">
            <v>40</v>
          </cell>
          <cell r="H1879" t="str">
            <v>四川省仁寿县贵平镇中岗村10组</v>
          </cell>
          <cell r="I1879">
            <v>15208193879</v>
          </cell>
        </row>
        <row r="1880">
          <cell r="C1880" t="str">
            <v>511421200907096778</v>
          </cell>
          <cell r="D1880" t="str">
            <v>男</v>
          </cell>
          <cell r="E1880" t="str">
            <v>汉族</v>
          </cell>
          <cell r="F1880" t="str">
            <v>20090709</v>
          </cell>
          <cell r="G1880">
            <v>12</v>
          </cell>
          <cell r="H1880" t="str">
            <v>四川省仁寿县贵平镇中岗村10组</v>
          </cell>
        </row>
        <row r="1881">
          <cell r="C1881" t="str">
            <v>511121198211306785</v>
          </cell>
          <cell r="D1881" t="str">
            <v>女</v>
          </cell>
          <cell r="E1881" t="str">
            <v>汉族</v>
          </cell>
          <cell r="F1881" t="str">
            <v>19821130</v>
          </cell>
          <cell r="G1881">
            <v>39</v>
          </cell>
          <cell r="H1881" t="str">
            <v>四川省仁寿县贵平镇中岗村10组</v>
          </cell>
          <cell r="I1881">
            <v>13438039383</v>
          </cell>
        </row>
        <row r="1882">
          <cell r="C1882" t="str">
            <v>511421200607126699</v>
          </cell>
          <cell r="D1882" t="str">
            <v>男</v>
          </cell>
          <cell r="E1882" t="str">
            <v>汉族</v>
          </cell>
          <cell r="F1882" t="str">
            <v>20060712</v>
          </cell>
          <cell r="G1882">
            <v>15</v>
          </cell>
          <cell r="H1882" t="str">
            <v>四川省仁寿县贵平镇中岗村10组</v>
          </cell>
        </row>
        <row r="1883">
          <cell r="C1883" t="str">
            <v>513822198705166934</v>
          </cell>
          <cell r="D1883" t="str">
            <v>男</v>
          </cell>
          <cell r="E1883" t="str">
            <v>汉族</v>
          </cell>
          <cell r="F1883" t="str">
            <v>19870516</v>
          </cell>
          <cell r="G1883">
            <v>34</v>
          </cell>
          <cell r="H1883" t="str">
            <v>四川省仁寿县贵平镇中岗村10组</v>
          </cell>
          <cell r="I1883">
            <v>18089521101</v>
          </cell>
        </row>
        <row r="1884">
          <cell r="C1884" t="str">
            <v>511421201210156886</v>
          </cell>
          <cell r="D1884" t="str">
            <v>女</v>
          </cell>
          <cell r="E1884" t="str">
            <v>汉族</v>
          </cell>
          <cell r="F1884" t="str">
            <v>20121015</v>
          </cell>
          <cell r="G1884">
            <v>9</v>
          </cell>
          <cell r="H1884" t="str">
            <v>四川省仁寿县贵平镇中岗村10组</v>
          </cell>
        </row>
        <row r="1885">
          <cell r="C1885" t="str">
            <v>511421201907310046</v>
          </cell>
          <cell r="D1885" t="str">
            <v>女</v>
          </cell>
          <cell r="E1885" t="str">
            <v>汉族</v>
          </cell>
          <cell r="F1885" t="str">
            <v>20190731</v>
          </cell>
          <cell r="G1885">
            <v>2</v>
          </cell>
          <cell r="H1885" t="str">
            <v>四川省仁寿县贵平镇中岗村10组</v>
          </cell>
        </row>
        <row r="1886">
          <cell r="C1886" t="str">
            <v>513822198306266938</v>
          </cell>
          <cell r="D1886" t="str">
            <v>男</v>
          </cell>
          <cell r="E1886" t="str">
            <v>汉族</v>
          </cell>
          <cell r="F1886" t="str">
            <v>19830626</v>
          </cell>
          <cell r="G1886">
            <v>38</v>
          </cell>
          <cell r="H1886" t="str">
            <v>四川省仁寿县贵平镇中岗村10组</v>
          </cell>
          <cell r="I1886">
            <v>18089521310</v>
          </cell>
        </row>
        <row r="1887">
          <cell r="C1887" t="str">
            <v>513822198906229006</v>
          </cell>
          <cell r="D1887" t="str">
            <v>女</v>
          </cell>
          <cell r="E1887" t="str">
            <v>汉族</v>
          </cell>
          <cell r="F1887" t="str">
            <v>19890622</v>
          </cell>
          <cell r="G1887">
            <v>32</v>
          </cell>
          <cell r="H1887" t="str">
            <v>四川省仁寿县贵平镇中岗村10组</v>
          </cell>
          <cell r="I1887">
            <v>18089521210</v>
          </cell>
        </row>
        <row r="1888">
          <cell r="C1888" t="str">
            <v>511421201203116966</v>
          </cell>
          <cell r="D1888" t="str">
            <v>女</v>
          </cell>
          <cell r="E1888" t="str">
            <v>汉族</v>
          </cell>
          <cell r="F1888" t="str">
            <v>20120311</v>
          </cell>
          <cell r="G1888">
            <v>9</v>
          </cell>
          <cell r="H1888" t="str">
            <v>四川省仁寿县贵平镇中岗村10组</v>
          </cell>
        </row>
        <row r="1889">
          <cell r="C1889" t="str">
            <v>511421201604116860</v>
          </cell>
          <cell r="D1889" t="str">
            <v>女</v>
          </cell>
          <cell r="E1889" t="str">
            <v>汉族</v>
          </cell>
          <cell r="F1889" t="str">
            <v>20160411</v>
          </cell>
          <cell r="G1889">
            <v>5</v>
          </cell>
          <cell r="H1889" t="str">
            <v>四川省仁寿县贵平镇中岗村10组</v>
          </cell>
        </row>
        <row r="1890">
          <cell r="C1890" t="str">
            <v>513822198508066934</v>
          </cell>
          <cell r="D1890" t="str">
            <v>男</v>
          </cell>
          <cell r="E1890" t="str">
            <v>汉族</v>
          </cell>
          <cell r="F1890" t="str">
            <v>19850806</v>
          </cell>
          <cell r="G1890">
            <v>36</v>
          </cell>
          <cell r="H1890" t="str">
            <v>四川省仁寿县贵平镇中岗村10组</v>
          </cell>
          <cell r="I1890">
            <v>18089521061</v>
          </cell>
        </row>
        <row r="1891">
          <cell r="C1891" t="str">
            <v>511421201307186854</v>
          </cell>
          <cell r="D1891" t="str">
            <v>男</v>
          </cell>
          <cell r="E1891" t="str">
            <v>汉族</v>
          </cell>
          <cell r="F1891" t="str">
            <v>20130718</v>
          </cell>
          <cell r="G1891">
            <v>8</v>
          </cell>
          <cell r="H1891" t="str">
            <v>四川省仁寿县贵平镇中岗村10组</v>
          </cell>
        </row>
        <row r="1892">
          <cell r="C1892" t="str">
            <v>511421202002110239</v>
          </cell>
          <cell r="D1892" t="str">
            <v>男</v>
          </cell>
          <cell r="E1892" t="str">
            <v>汉族</v>
          </cell>
          <cell r="F1892" t="str">
            <v>20200211</v>
          </cell>
          <cell r="G1892">
            <v>1</v>
          </cell>
          <cell r="H1892" t="str">
            <v>四川省仁寿县贵平镇中岗村10组</v>
          </cell>
        </row>
        <row r="1893">
          <cell r="C1893" t="str">
            <v>513822199202096932</v>
          </cell>
          <cell r="D1893" t="str">
            <v>男</v>
          </cell>
          <cell r="E1893" t="str">
            <v>汉族</v>
          </cell>
          <cell r="F1893" t="str">
            <v>19920209</v>
          </cell>
          <cell r="G1893">
            <v>29</v>
          </cell>
          <cell r="H1893" t="str">
            <v>四川省仁寿县贵平镇中岗村10组</v>
          </cell>
          <cell r="I1893" t="str">
            <v>13683429597</v>
          </cell>
        </row>
        <row r="1894">
          <cell r="C1894" t="str">
            <v>511421201803070164</v>
          </cell>
          <cell r="D1894" t="str">
            <v>女</v>
          </cell>
          <cell r="E1894" t="str">
            <v>汉族</v>
          </cell>
          <cell r="F1894" t="str">
            <v>20180307</v>
          </cell>
          <cell r="G1894">
            <v>3</v>
          </cell>
          <cell r="H1894" t="str">
            <v>四川省仁寿县贵平镇中岗村10组</v>
          </cell>
        </row>
        <row r="1895">
          <cell r="C1895" t="str">
            <v>513822198711016959</v>
          </cell>
          <cell r="D1895" t="str">
            <v>男</v>
          </cell>
          <cell r="E1895" t="str">
            <v>汉族</v>
          </cell>
          <cell r="F1895" t="str">
            <v>19871101</v>
          </cell>
          <cell r="G1895">
            <v>34</v>
          </cell>
          <cell r="H1895" t="str">
            <v>四川省仁寿县贵平镇中岗村10组</v>
          </cell>
          <cell r="I1895">
            <v>17380526623</v>
          </cell>
        </row>
        <row r="1896">
          <cell r="C1896" t="str">
            <v>51142120110806693X</v>
          </cell>
          <cell r="D1896" t="str">
            <v>男</v>
          </cell>
          <cell r="E1896" t="str">
            <v>汉族</v>
          </cell>
          <cell r="F1896" t="str">
            <v>20110806</v>
          </cell>
          <cell r="G1896">
            <v>10</v>
          </cell>
          <cell r="H1896" t="str">
            <v>四川省仁寿县贵平镇中岗村10组</v>
          </cell>
        </row>
        <row r="1897">
          <cell r="C1897" t="str">
            <v>511421200907256727</v>
          </cell>
          <cell r="D1897" t="str">
            <v>女</v>
          </cell>
          <cell r="E1897" t="str">
            <v>汉族</v>
          </cell>
          <cell r="F1897" t="str">
            <v>20090725</v>
          </cell>
          <cell r="G1897">
            <v>12</v>
          </cell>
          <cell r="H1897" t="str">
            <v>四川省仁寿县贵平镇中岗村10组</v>
          </cell>
        </row>
        <row r="1898">
          <cell r="C1898" t="str">
            <v>511421198811146806</v>
          </cell>
          <cell r="D1898" t="str">
            <v>女</v>
          </cell>
          <cell r="E1898" t="str">
            <v>汉族</v>
          </cell>
          <cell r="F1898" t="str">
            <v>19881114</v>
          </cell>
          <cell r="G1898">
            <v>33</v>
          </cell>
          <cell r="H1898" t="str">
            <v>四川省仁寿县贵平镇中岗村10组</v>
          </cell>
          <cell r="I1898">
            <v>18990018945</v>
          </cell>
        </row>
        <row r="1899">
          <cell r="C1899" t="str">
            <v>513822198703136942</v>
          </cell>
          <cell r="D1899" t="str">
            <v>女</v>
          </cell>
          <cell r="E1899" t="str">
            <v>汉族</v>
          </cell>
          <cell r="F1899" t="str">
            <v>19870313</v>
          </cell>
          <cell r="G1899">
            <v>34</v>
          </cell>
          <cell r="H1899" t="str">
            <v>四川省仁寿县贵平镇中岗村10组</v>
          </cell>
        </row>
        <row r="1900">
          <cell r="C1900" t="str">
            <v>511121197707266954</v>
          </cell>
          <cell r="D1900" t="str">
            <v>男</v>
          </cell>
          <cell r="E1900" t="str">
            <v>汉族</v>
          </cell>
          <cell r="F1900" t="str">
            <v>19770726</v>
          </cell>
          <cell r="G1900">
            <v>44</v>
          </cell>
          <cell r="H1900" t="str">
            <v>四川省仁寿县贵平镇中岗村10组</v>
          </cell>
          <cell r="I1900" t="str">
            <v>15883312018</v>
          </cell>
        </row>
        <row r="1901">
          <cell r="C1901" t="str">
            <v>513822200503176739</v>
          </cell>
          <cell r="D1901" t="str">
            <v>男</v>
          </cell>
          <cell r="E1901" t="str">
            <v>汉族</v>
          </cell>
          <cell r="F1901" t="str">
            <v>20050317</v>
          </cell>
          <cell r="G1901">
            <v>16</v>
          </cell>
          <cell r="H1901" t="str">
            <v>四川省仁寿县贵平镇中岗村10组</v>
          </cell>
          <cell r="I1901">
            <v>15984304189</v>
          </cell>
        </row>
        <row r="1902">
          <cell r="C1902" t="str">
            <v>51382220031218674X</v>
          </cell>
          <cell r="D1902" t="str">
            <v>女</v>
          </cell>
          <cell r="E1902" t="str">
            <v>汉族</v>
          </cell>
          <cell r="F1902" t="str">
            <v>20031218</v>
          </cell>
          <cell r="G1902">
            <v>18</v>
          </cell>
          <cell r="H1902" t="str">
            <v>四川省仁寿县贵平镇中岗村10组</v>
          </cell>
          <cell r="I1902">
            <v>14780178353</v>
          </cell>
        </row>
        <row r="1903">
          <cell r="C1903" t="str">
            <v>511121197206166939</v>
          </cell>
          <cell r="D1903" t="str">
            <v>男</v>
          </cell>
          <cell r="E1903" t="str">
            <v>汉族</v>
          </cell>
          <cell r="F1903" t="str">
            <v>19720616</v>
          </cell>
          <cell r="G1903">
            <v>49</v>
          </cell>
          <cell r="H1903" t="str">
            <v>四川省仁寿县贵平镇中岗村10组</v>
          </cell>
          <cell r="I1903">
            <v>13540864726</v>
          </cell>
        </row>
        <row r="1904">
          <cell r="C1904" t="str">
            <v>511421200906186739</v>
          </cell>
          <cell r="D1904" t="str">
            <v>男 </v>
          </cell>
          <cell r="E1904" t="str">
            <v>汉族</v>
          </cell>
          <cell r="F1904" t="str">
            <v>20090618</v>
          </cell>
          <cell r="G1904">
            <v>12</v>
          </cell>
          <cell r="H1904" t="str">
            <v>四川省仁寿县贵平镇中岗村10组</v>
          </cell>
        </row>
        <row r="1905">
          <cell r="C1905" t="str">
            <v>511121197701016954</v>
          </cell>
          <cell r="D1905" t="str">
            <v>男</v>
          </cell>
          <cell r="E1905" t="str">
            <v>汉族</v>
          </cell>
          <cell r="F1905" t="str">
            <v>19770101</v>
          </cell>
          <cell r="G1905">
            <v>44</v>
          </cell>
          <cell r="H1905" t="str">
            <v>四川省仁寿县贵平镇中岗村10组</v>
          </cell>
          <cell r="I1905">
            <v>18328111153</v>
          </cell>
        </row>
        <row r="1906">
          <cell r="C1906" t="str">
            <v>511121197404026945</v>
          </cell>
          <cell r="D1906" t="str">
            <v>女</v>
          </cell>
          <cell r="E1906" t="str">
            <v>汉族</v>
          </cell>
          <cell r="F1906" t="str">
            <v>19740402</v>
          </cell>
          <cell r="G1906">
            <v>47</v>
          </cell>
          <cell r="H1906" t="str">
            <v>四川省仁寿县贵平镇中岗村10组</v>
          </cell>
          <cell r="I1906">
            <v>15282211691</v>
          </cell>
        </row>
        <row r="1907">
          <cell r="C1907" t="str">
            <v>513822200307196724</v>
          </cell>
          <cell r="D1907" t="str">
            <v>女</v>
          </cell>
          <cell r="E1907" t="str">
            <v>汉族</v>
          </cell>
          <cell r="F1907" t="str">
            <v>20030719</v>
          </cell>
          <cell r="G1907">
            <v>18</v>
          </cell>
          <cell r="H1907" t="str">
            <v>四川省仁寿县贵平镇中岗村10组</v>
          </cell>
          <cell r="I1907">
            <v>18408227132</v>
          </cell>
        </row>
        <row r="1908">
          <cell r="C1908" t="str">
            <v>511121196608126943</v>
          </cell>
          <cell r="D1908" t="str">
            <v>女</v>
          </cell>
          <cell r="E1908" t="str">
            <v>汉族</v>
          </cell>
          <cell r="F1908" t="str">
            <v>19660812</v>
          </cell>
          <cell r="G1908">
            <v>55</v>
          </cell>
          <cell r="H1908" t="str">
            <v>四川省仁寿县贵平镇中岗村10组</v>
          </cell>
          <cell r="I1908">
            <v>18113943719</v>
          </cell>
        </row>
        <row r="1909">
          <cell r="C1909" t="str">
            <v>511121195107226933</v>
          </cell>
          <cell r="D1909" t="str">
            <v>男 </v>
          </cell>
          <cell r="E1909" t="str">
            <v>汉族</v>
          </cell>
          <cell r="F1909" t="str">
            <v>19510722</v>
          </cell>
          <cell r="G1909">
            <v>70</v>
          </cell>
          <cell r="H1909" t="str">
            <v>四川省仁寿县贵平镇中岗村10组</v>
          </cell>
        </row>
        <row r="1910">
          <cell r="C1910" t="str">
            <v>511121195306246961</v>
          </cell>
          <cell r="D1910" t="str">
            <v>女</v>
          </cell>
          <cell r="E1910" t="str">
            <v>汉族</v>
          </cell>
          <cell r="F1910" t="str">
            <v>19530624</v>
          </cell>
          <cell r="G1910">
            <v>68</v>
          </cell>
          <cell r="H1910" t="str">
            <v>四川省仁寿县贵平镇中岗村10组</v>
          </cell>
        </row>
        <row r="1911">
          <cell r="C1911" t="str">
            <v>511121196909159001</v>
          </cell>
          <cell r="D1911" t="str">
            <v>女</v>
          </cell>
          <cell r="E1911" t="str">
            <v>汉族</v>
          </cell>
          <cell r="F1911" t="str">
            <v>19690915</v>
          </cell>
          <cell r="G1911">
            <v>52</v>
          </cell>
          <cell r="H1911" t="str">
            <v>四川省仁寿县贵平镇中岗村10组</v>
          </cell>
        </row>
        <row r="1912">
          <cell r="C1912" t="str">
            <v>511121197010156931</v>
          </cell>
          <cell r="D1912" t="str">
            <v>男 </v>
          </cell>
          <cell r="E1912" t="str">
            <v>汉族</v>
          </cell>
          <cell r="F1912" t="str">
            <v>19701015</v>
          </cell>
          <cell r="G1912">
            <v>51</v>
          </cell>
          <cell r="H1912" t="str">
            <v>四川省仁寿县贵平镇中岗村10组</v>
          </cell>
        </row>
        <row r="1913">
          <cell r="C1913" t="str">
            <v>513822199205106956</v>
          </cell>
          <cell r="D1913" t="str">
            <v>男 </v>
          </cell>
          <cell r="E1913" t="str">
            <v>汉族</v>
          </cell>
          <cell r="F1913" t="str">
            <v>19920510</v>
          </cell>
          <cell r="G1913">
            <v>29</v>
          </cell>
          <cell r="H1913" t="str">
            <v>四川省仁寿县贵平镇中岗村10组</v>
          </cell>
        </row>
        <row r="1914">
          <cell r="C1914" t="str">
            <v>513822199007066930</v>
          </cell>
          <cell r="D1914" t="str">
            <v>男 </v>
          </cell>
          <cell r="E1914" t="str">
            <v>汉族</v>
          </cell>
          <cell r="F1914" t="str">
            <v>19900706</v>
          </cell>
          <cell r="G1914">
            <v>31</v>
          </cell>
          <cell r="H1914" t="str">
            <v>四川省仁寿县贵平镇中岗村10组</v>
          </cell>
          <cell r="I1914">
            <v>13540467182</v>
          </cell>
        </row>
        <row r="1915">
          <cell r="C1915" t="str">
            <v>510113199803067128</v>
          </cell>
          <cell r="D1915" t="str">
            <v>女</v>
          </cell>
          <cell r="E1915" t="str">
            <v>汉族</v>
          </cell>
          <cell r="F1915" t="str">
            <v>19980306</v>
          </cell>
          <cell r="G1915">
            <v>23</v>
          </cell>
          <cell r="H1915" t="str">
            <v>四川省仁寿县贵平镇中岗村10组</v>
          </cell>
          <cell r="I1915">
            <v>13540138930</v>
          </cell>
        </row>
        <row r="1916">
          <cell r="C1916" t="str">
            <v>511421201605026867</v>
          </cell>
          <cell r="D1916" t="str">
            <v>女</v>
          </cell>
          <cell r="E1916" t="str">
            <v>汉族</v>
          </cell>
          <cell r="F1916" t="str">
            <v>20160502</v>
          </cell>
          <cell r="G1916">
            <v>5</v>
          </cell>
          <cell r="H1916" t="str">
            <v>四川省仁寿县贵平镇中岗村10组</v>
          </cell>
        </row>
        <row r="1917">
          <cell r="C1917" t="str">
            <v>511121197308016931</v>
          </cell>
          <cell r="D1917" t="str">
            <v>男 </v>
          </cell>
          <cell r="E1917" t="str">
            <v>汉族</v>
          </cell>
          <cell r="F1917" t="str">
            <v>19730801</v>
          </cell>
          <cell r="G1917">
            <v>48</v>
          </cell>
          <cell r="H1917" t="str">
            <v>四川省仁寿县贵平镇中岗村10组</v>
          </cell>
          <cell r="I1917">
            <v>13994235491</v>
          </cell>
        </row>
        <row r="1918">
          <cell r="C1918" t="str">
            <v>511121195111026942</v>
          </cell>
          <cell r="D1918" t="str">
            <v>女</v>
          </cell>
          <cell r="E1918" t="str">
            <v>汉族</v>
          </cell>
          <cell r="F1918" t="str">
            <v>19511102</v>
          </cell>
          <cell r="G1918">
            <v>70</v>
          </cell>
          <cell r="H1918" t="str">
            <v>四川省仁寿县贵平镇中岗村10组</v>
          </cell>
          <cell r="I1918">
            <v>18228131182</v>
          </cell>
        </row>
        <row r="1919">
          <cell r="C1919" t="str">
            <v>511023197602201414</v>
          </cell>
          <cell r="D1919" t="str">
            <v>男 </v>
          </cell>
          <cell r="E1919" t="str">
            <v>汉族</v>
          </cell>
          <cell r="F1919" t="str">
            <v>19760220</v>
          </cell>
          <cell r="G1919">
            <v>45</v>
          </cell>
          <cell r="H1919" t="str">
            <v>四川省仁寿县贵平镇中岗村10组</v>
          </cell>
          <cell r="I1919">
            <v>13666284760</v>
          </cell>
        </row>
        <row r="1920">
          <cell r="C1920" t="str">
            <v>511121197901296946</v>
          </cell>
          <cell r="D1920" t="str">
            <v>女</v>
          </cell>
          <cell r="E1920" t="str">
            <v>汉族</v>
          </cell>
          <cell r="F1920" t="str">
            <v>19790129</v>
          </cell>
          <cell r="G1920">
            <v>42</v>
          </cell>
          <cell r="H1920" t="str">
            <v>四川省仁寿县贵平镇中岗村10组</v>
          </cell>
          <cell r="I1920">
            <v>13668126075</v>
          </cell>
        </row>
        <row r="1921">
          <cell r="C1921" t="str">
            <v>511421201302236883</v>
          </cell>
          <cell r="D1921" t="str">
            <v>女</v>
          </cell>
          <cell r="E1921" t="str">
            <v>汉族</v>
          </cell>
          <cell r="F1921" t="str">
            <v>20130223</v>
          </cell>
          <cell r="G1921">
            <v>8</v>
          </cell>
          <cell r="H1921" t="str">
            <v>四川省仁寿县贵平镇中岗村10组</v>
          </cell>
        </row>
        <row r="1922">
          <cell r="C1922" t="str">
            <v>511121194007116943</v>
          </cell>
          <cell r="D1922" t="str">
            <v>女</v>
          </cell>
          <cell r="E1922" t="str">
            <v>汉族</v>
          </cell>
          <cell r="F1922" t="str">
            <v>19400711</v>
          </cell>
          <cell r="G1922">
            <v>81</v>
          </cell>
          <cell r="H1922" t="str">
            <v>四川省仁寿县贵平镇中岗村10组</v>
          </cell>
        </row>
        <row r="1923">
          <cell r="C1923" t="str">
            <v>511121196308236964</v>
          </cell>
          <cell r="D1923" t="str">
            <v>女</v>
          </cell>
          <cell r="E1923" t="str">
            <v>汉族</v>
          </cell>
          <cell r="F1923" t="str">
            <v>19630823</v>
          </cell>
          <cell r="G1923">
            <v>58</v>
          </cell>
          <cell r="H1923" t="str">
            <v>四川省仁寿县贵平镇中岗村11组</v>
          </cell>
          <cell r="I1923">
            <v>13696070089</v>
          </cell>
        </row>
        <row r="1924">
          <cell r="C1924" t="str">
            <v>511121195409026961</v>
          </cell>
          <cell r="D1924" t="str">
            <v>女</v>
          </cell>
          <cell r="E1924" t="str">
            <v>汉族</v>
          </cell>
          <cell r="F1924" t="str">
            <v>19540902</v>
          </cell>
          <cell r="G1924">
            <v>67</v>
          </cell>
          <cell r="H1924" t="str">
            <v>四川省仁寿县贵平镇中岗村11组</v>
          </cell>
          <cell r="I1924">
            <v>17380956597</v>
          </cell>
        </row>
        <row r="1925">
          <cell r="C1925" t="str">
            <v>511121195111206935</v>
          </cell>
          <cell r="D1925" t="str">
            <v>男</v>
          </cell>
          <cell r="E1925" t="str">
            <v>汉族</v>
          </cell>
          <cell r="F1925" t="str">
            <v>19511120</v>
          </cell>
          <cell r="G1925">
            <v>70</v>
          </cell>
          <cell r="H1925" t="str">
            <v>四川省仁寿县贵平镇中岗村11组</v>
          </cell>
          <cell r="I1925">
            <v>17381242981</v>
          </cell>
        </row>
        <row r="1926">
          <cell r="C1926" t="str">
            <v>513822199505246942</v>
          </cell>
          <cell r="D1926" t="str">
            <v>女</v>
          </cell>
          <cell r="E1926" t="str">
            <v>汉族</v>
          </cell>
          <cell r="F1926" t="str">
            <v>19950524</v>
          </cell>
          <cell r="G1926">
            <v>26</v>
          </cell>
          <cell r="H1926" t="str">
            <v>四川省仁寿县贵平镇中岗村11组</v>
          </cell>
          <cell r="I1926">
            <v>13697644816</v>
          </cell>
        </row>
        <row r="1927">
          <cell r="C1927" t="str">
            <v>511121197711016966</v>
          </cell>
          <cell r="D1927" t="str">
            <v>女</v>
          </cell>
          <cell r="E1927" t="str">
            <v>汉族</v>
          </cell>
          <cell r="F1927" t="str">
            <v>19771101</v>
          </cell>
          <cell r="G1927">
            <v>44</v>
          </cell>
          <cell r="H1927" t="str">
            <v>四川省仁寿县贵平镇中岗村11组</v>
          </cell>
          <cell r="I1927">
            <v>13668197334</v>
          </cell>
        </row>
        <row r="1928">
          <cell r="C1928" t="str">
            <v>511121195312186934</v>
          </cell>
          <cell r="D1928" t="str">
            <v>男</v>
          </cell>
          <cell r="E1928" t="str">
            <v>汉族</v>
          </cell>
          <cell r="F1928" t="str">
            <v>19531218</v>
          </cell>
          <cell r="G1928">
            <v>68</v>
          </cell>
          <cell r="H1928" t="str">
            <v>四川省仁寿县贵平镇中岗村11组</v>
          </cell>
          <cell r="I1928">
            <v>18280135919</v>
          </cell>
        </row>
        <row r="1929">
          <cell r="C1929" t="str">
            <v>511121195401106940</v>
          </cell>
          <cell r="D1929" t="str">
            <v>女</v>
          </cell>
          <cell r="E1929" t="str">
            <v>汉族</v>
          </cell>
          <cell r="F1929" t="str">
            <v>19540110</v>
          </cell>
          <cell r="G1929">
            <v>67</v>
          </cell>
          <cell r="H1929" t="str">
            <v>四川省仁寿县贵平镇中岗村11组</v>
          </cell>
        </row>
        <row r="1930">
          <cell r="C1930" t="str">
            <v>511121197901106938</v>
          </cell>
          <cell r="D1930" t="str">
            <v>男</v>
          </cell>
          <cell r="E1930" t="str">
            <v>汉族</v>
          </cell>
          <cell r="F1930" t="str">
            <v>19790110</v>
          </cell>
          <cell r="G1930">
            <v>42</v>
          </cell>
          <cell r="H1930" t="str">
            <v>四川省仁寿县贵平镇中岗村11组</v>
          </cell>
          <cell r="I1930">
            <v>13402806793</v>
          </cell>
        </row>
        <row r="1931">
          <cell r="C1931" t="str">
            <v>511121198102056932</v>
          </cell>
          <cell r="D1931" t="str">
            <v>男</v>
          </cell>
          <cell r="E1931" t="str">
            <v>汉族</v>
          </cell>
          <cell r="F1931" t="str">
            <v>19810205</v>
          </cell>
          <cell r="G1931">
            <v>40</v>
          </cell>
          <cell r="H1931" t="str">
            <v>四川省仁寿县贵平镇中岗村11组</v>
          </cell>
        </row>
        <row r="1932">
          <cell r="C1932" t="str">
            <v>51382219900505694X</v>
          </cell>
          <cell r="D1932" t="str">
            <v>女</v>
          </cell>
          <cell r="E1932" t="str">
            <v>汉族</v>
          </cell>
          <cell r="F1932" t="str">
            <v>19900505</v>
          </cell>
          <cell r="G1932">
            <v>31</v>
          </cell>
          <cell r="H1932" t="str">
            <v>四川省仁寿县贵平镇中岗村11组</v>
          </cell>
          <cell r="I1932">
            <v>13987581608</v>
          </cell>
        </row>
        <row r="1933">
          <cell r="C1933" t="str">
            <v>511421201401256855</v>
          </cell>
          <cell r="D1933" t="str">
            <v>男</v>
          </cell>
          <cell r="E1933" t="str">
            <v>汉族</v>
          </cell>
          <cell r="F1933" t="str">
            <v>20140125</v>
          </cell>
          <cell r="G1933">
            <v>7</v>
          </cell>
          <cell r="H1933" t="str">
            <v>四川省仁寿县贵平镇中岗村11组</v>
          </cell>
        </row>
        <row r="1934">
          <cell r="C1934" t="str">
            <v>511121196601036937</v>
          </cell>
          <cell r="D1934" t="str">
            <v>男</v>
          </cell>
          <cell r="E1934" t="str">
            <v>汉族</v>
          </cell>
          <cell r="F1934" t="str">
            <v>19660103</v>
          </cell>
          <cell r="G1934">
            <v>55</v>
          </cell>
          <cell r="H1934" t="str">
            <v>四川省仁寿县贵平镇中岗村11组</v>
          </cell>
          <cell r="I1934">
            <v>18600192905</v>
          </cell>
        </row>
        <row r="1935">
          <cell r="C1935" t="str">
            <v>511121196807186965</v>
          </cell>
          <cell r="D1935" t="str">
            <v>女</v>
          </cell>
          <cell r="E1935" t="str">
            <v>汉族</v>
          </cell>
          <cell r="F1935" t="str">
            <v>19680718</v>
          </cell>
          <cell r="G1935">
            <v>53</v>
          </cell>
          <cell r="H1935" t="str">
            <v>四川省仁寿县贵平镇中岗村11组</v>
          </cell>
          <cell r="I1935">
            <v>15699117238</v>
          </cell>
        </row>
        <row r="1936">
          <cell r="C1936" t="str">
            <v>51382219920625693X</v>
          </cell>
          <cell r="D1936" t="str">
            <v>男</v>
          </cell>
          <cell r="E1936" t="str">
            <v>汉族</v>
          </cell>
          <cell r="F1936" t="str">
            <v>19920625</v>
          </cell>
          <cell r="G1936">
            <v>29</v>
          </cell>
          <cell r="H1936" t="str">
            <v>四川省仁寿县贵平镇中岗村11组</v>
          </cell>
          <cell r="I1936">
            <v>15182224187</v>
          </cell>
        </row>
        <row r="1937">
          <cell r="C1937" t="str">
            <v>513822199012246944</v>
          </cell>
          <cell r="D1937" t="str">
            <v>女</v>
          </cell>
          <cell r="E1937" t="str">
            <v>汉族</v>
          </cell>
          <cell r="F1937" t="str">
            <v>19901224</v>
          </cell>
          <cell r="G1937">
            <v>31</v>
          </cell>
          <cell r="H1937" t="str">
            <v>四川省仁寿县贵平镇中岗村11组</v>
          </cell>
          <cell r="I1937">
            <v>1884216200</v>
          </cell>
        </row>
        <row r="1938">
          <cell r="C1938" t="str">
            <v>513822199608106942</v>
          </cell>
          <cell r="D1938" t="str">
            <v>女</v>
          </cell>
          <cell r="E1938" t="str">
            <v>汉族</v>
          </cell>
          <cell r="F1938" t="str">
            <v>19960810</v>
          </cell>
          <cell r="G1938">
            <v>25</v>
          </cell>
          <cell r="H1938" t="str">
            <v>四川省仁寿县贵平镇中岗村11组</v>
          </cell>
          <cell r="I1938">
            <v>18228560609</v>
          </cell>
        </row>
        <row r="1939">
          <cell r="C1939" t="str">
            <v>511121193003056942</v>
          </cell>
          <cell r="D1939" t="str">
            <v>女</v>
          </cell>
          <cell r="E1939" t="str">
            <v>汉族</v>
          </cell>
          <cell r="F1939" t="str">
            <v>19300305</v>
          </cell>
          <cell r="G1939">
            <v>91</v>
          </cell>
          <cell r="H1939" t="str">
            <v>四川省仁寿县贵平镇中岗村11组</v>
          </cell>
        </row>
        <row r="1940">
          <cell r="C1940" t="str">
            <v>511121195609216938</v>
          </cell>
          <cell r="D1940" t="str">
            <v>男</v>
          </cell>
          <cell r="E1940" t="str">
            <v>汉族</v>
          </cell>
          <cell r="F1940" t="str">
            <v>19560921</v>
          </cell>
          <cell r="G1940">
            <v>65</v>
          </cell>
          <cell r="H1940" t="str">
            <v>四川省仁寿县贵平镇中岗村11组</v>
          </cell>
          <cell r="I1940">
            <v>15378636911</v>
          </cell>
        </row>
        <row r="1941">
          <cell r="C1941" t="str">
            <v>511121196108206947</v>
          </cell>
          <cell r="D1941" t="str">
            <v>女</v>
          </cell>
          <cell r="E1941" t="str">
            <v>汉族</v>
          </cell>
          <cell r="F1941" t="str">
            <v>19610820</v>
          </cell>
          <cell r="G1941">
            <v>60</v>
          </cell>
          <cell r="H1941" t="str">
            <v>四川省仁寿县贵平镇中岗村11组</v>
          </cell>
          <cell r="I1941">
            <v>15396425896</v>
          </cell>
        </row>
        <row r="1942">
          <cell r="C1942" t="str">
            <v>511121198211136958</v>
          </cell>
          <cell r="D1942" t="str">
            <v>男</v>
          </cell>
          <cell r="E1942" t="str">
            <v>汉族</v>
          </cell>
          <cell r="F1942" t="str">
            <v>19821113</v>
          </cell>
          <cell r="G1942">
            <v>39</v>
          </cell>
          <cell r="H1942" t="str">
            <v>四川省仁寿县贵平镇中岗村11组</v>
          </cell>
          <cell r="I1942">
            <v>13716900812</v>
          </cell>
        </row>
        <row r="1943">
          <cell r="C1943" t="str">
            <v>511121197309266932</v>
          </cell>
          <cell r="D1943" t="str">
            <v>男</v>
          </cell>
          <cell r="E1943" t="str">
            <v>汉族</v>
          </cell>
          <cell r="F1943" t="str">
            <v>19730926</v>
          </cell>
          <cell r="G1943">
            <v>48</v>
          </cell>
          <cell r="H1943" t="str">
            <v>四川省仁寿县贵平镇中岗村11组</v>
          </cell>
          <cell r="I1943">
            <v>18708222842</v>
          </cell>
        </row>
        <row r="1944">
          <cell r="C1944" t="str">
            <v>511121198006196935</v>
          </cell>
          <cell r="D1944" t="str">
            <v>男</v>
          </cell>
          <cell r="E1944" t="str">
            <v>汉族</v>
          </cell>
          <cell r="F1944" t="str">
            <v>19800619</v>
          </cell>
          <cell r="G1944">
            <v>41</v>
          </cell>
          <cell r="H1944" t="str">
            <v>四川省仁寿县贵平镇中岗村11组</v>
          </cell>
          <cell r="I1944">
            <v>17381240809</v>
          </cell>
        </row>
        <row r="1945">
          <cell r="C1945" t="str">
            <v>511121193909226936</v>
          </cell>
          <cell r="D1945" t="str">
            <v>男</v>
          </cell>
          <cell r="E1945" t="str">
            <v>汉族</v>
          </cell>
          <cell r="F1945" t="str">
            <v>19390922</v>
          </cell>
          <cell r="G1945">
            <v>82</v>
          </cell>
          <cell r="H1945" t="str">
            <v>四川省仁寿县贵平镇中岗村11组</v>
          </cell>
          <cell r="I1945">
            <v>18481065171</v>
          </cell>
        </row>
        <row r="1946">
          <cell r="C1946" t="str">
            <v>511121194310306942</v>
          </cell>
          <cell r="D1946" t="str">
            <v>女</v>
          </cell>
          <cell r="E1946" t="str">
            <v>汉族</v>
          </cell>
          <cell r="F1946" t="str">
            <v>19431030</v>
          </cell>
          <cell r="G1946">
            <v>78</v>
          </cell>
          <cell r="H1946" t="str">
            <v>四川省仁寿县贵平镇中岗村11组</v>
          </cell>
          <cell r="I1946">
            <v>18728302280</v>
          </cell>
        </row>
        <row r="1947">
          <cell r="C1947" t="str">
            <v>511121198106256931</v>
          </cell>
          <cell r="D1947" t="str">
            <v>男</v>
          </cell>
          <cell r="E1947" t="str">
            <v>汉族</v>
          </cell>
          <cell r="F1947" t="str">
            <v>19810625</v>
          </cell>
          <cell r="G1947">
            <v>40</v>
          </cell>
          <cell r="H1947" t="str">
            <v>四川省仁寿县贵平镇中岗村11组</v>
          </cell>
        </row>
        <row r="1948">
          <cell r="C1948" t="str">
            <v>51382220041024670X</v>
          </cell>
          <cell r="D1948" t="str">
            <v>女</v>
          </cell>
          <cell r="E1948" t="str">
            <v>汉族</v>
          </cell>
          <cell r="F1948" t="str">
            <v>20041024</v>
          </cell>
          <cell r="G1948">
            <v>17</v>
          </cell>
          <cell r="H1948" t="str">
            <v>四川省仁寿县贵平镇中岗村11组</v>
          </cell>
        </row>
        <row r="1949">
          <cell r="C1949" t="str">
            <v>511121197704286933</v>
          </cell>
          <cell r="D1949" t="str">
            <v>男</v>
          </cell>
          <cell r="E1949" t="str">
            <v>汉族</v>
          </cell>
          <cell r="F1949" t="str">
            <v>19770428</v>
          </cell>
          <cell r="G1949">
            <v>44</v>
          </cell>
          <cell r="H1949" t="str">
            <v>四川省仁寿县贵平镇中岗村11组</v>
          </cell>
          <cell r="I1949">
            <v>17828215193</v>
          </cell>
        </row>
        <row r="1950">
          <cell r="C1950" t="str">
            <v>511121195504216931</v>
          </cell>
          <cell r="D1950" t="str">
            <v>男</v>
          </cell>
          <cell r="E1950" t="str">
            <v>汉族</v>
          </cell>
          <cell r="F1950" t="str">
            <v>19550421</v>
          </cell>
          <cell r="G1950">
            <v>66</v>
          </cell>
          <cell r="H1950" t="str">
            <v>四川省仁寿县贵平镇中岗村11组</v>
          </cell>
          <cell r="I1950">
            <v>17052187556</v>
          </cell>
        </row>
        <row r="1951">
          <cell r="C1951" t="str">
            <v>511121198104096938</v>
          </cell>
          <cell r="D1951" t="str">
            <v>男</v>
          </cell>
          <cell r="E1951" t="str">
            <v>汉族</v>
          </cell>
          <cell r="F1951" t="str">
            <v>19810409</v>
          </cell>
          <cell r="G1951">
            <v>40</v>
          </cell>
          <cell r="H1951" t="str">
            <v>四川省仁寿县贵平镇中岗村11组</v>
          </cell>
          <cell r="I1951">
            <v>13547689855</v>
          </cell>
        </row>
        <row r="1952">
          <cell r="C1952" t="str">
            <v>511421201610290144</v>
          </cell>
          <cell r="D1952" t="str">
            <v>女</v>
          </cell>
          <cell r="E1952" t="str">
            <v>汉族</v>
          </cell>
          <cell r="F1952" t="str">
            <v>20161029</v>
          </cell>
          <cell r="G1952">
            <v>5</v>
          </cell>
          <cell r="H1952" t="str">
            <v>四川省仁寿县贵平镇中岗村11组</v>
          </cell>
        </row>
        <row r="1953">
          <cell r="C1953" t="str">
            <v>511121196611156991</v>
          </cell>
          <cell r="D1953" t="str">
            <v>男</v>
          </cell>
          <cell r="E1953" t="str">
            <v>汉族</v>
          </cell>
          <cell r="F1953" t="str">
            <v>19661115</v>
          </cell>
          <cell r="G1953">
            <v>55</v>
          </cell>
          <cell r="H1953" t="str">
            <v>四川省仁寿县贵平镇中岗村11组</v>
          </cell>
        </row>
        <row r="1954">
          <cell r="C1954" t="str">
            <v>511121195109036930</v>
          </cell>
          <cell r="D1954" t="str">
            <v>男</v>
          </cell>
          <cell r="E1954" t="str">
            <v>汉族</v>
          </cell>
          <cell r="F1954" t="str">
            <v>19510903</v>
          </cell>
          <cell r="G1954">
            <v>70</v>
          </cell>
          <cell r="H1954" t="str">
            <v>四川省仁寿县贵平镇中岗村11组</v>
          </cell>
          <cell r="I1954">
            <v>18583864803</v>
          </cell>
        </row>
        <row r="1955">
          <cell r="C1955" t="str">
            <v>511121195108186945</v>
          </cell>
          <cell r="D1955" t="str">
            <v>女</v>
          </cell>
          <cell r="E1955" t="str">
            <v>汉族</v>
          </cell>
          <cell r="F1955" t="str">
            <v>19510818</v>
          </cell>
          <cell r="G1955">
            <v>70</v>
          </cell>
          <cell r="H1955" t="str">
            <v>四川省仁寿县贵平镇中岗村11组</v>
          </cell>
        </row>
        <row r="1956">
          <cell r="C1956" t="str">
            <v>511121197607116932</v>
          </cell>
          <cell r="D1956" t="str">
            <v>男</v>
          </cell>
          <cell r="E1956" t="str">
            <v>汉族</v>
          </cell>
          <cell r="F1956" t="str">
            <v>19760711</v>
          </cell>
          <cell r="G1956">
            <v>45</v>
          </cell>
          <cell r="H1956" t="str">
            <v>四川省仁寿县贵平镇中岗村11组</v>
          </cell>
          <cell r="I1956">
            <v>13248177876</v>
          </cell>
        </row>
        <row r="1957">
          <cell r="C1957" t="str">
            <v>532724198310111525</v>
          </cell>
          <cell r="D1957" t="str">
            <v>女</v>
          </cell>
          <cell r="E1957" t="str">
            <v>汉族</v>
          </cell>
          <cell r="F1957">
            <v>19831011</v>
          </cell>
          <cell r="G1957">
            <v>38</v>
          </cell>
          <cell r="H1957" t="str">
            <v>四川省仁寿县贵平镇中岗村11组</v>
          </cell>
          <cell r="I1957">
            <v>17341956385</v>
          </cell>
        </row>
        <row r="1958">
          <cell r="C1958" t="str">
            <v>511421201712020137</v>
          </cell>
          <cell r="D1958" t="str">
            <v>男</v>
          </cell>
          <cell r="E1958" t="str">
            <v>汉族</v>
          </cell>
          <cell r="F1958" t="str">
            <v>20171202</v>
          </cell>
          <cell r="G1958">
            <v>4</v>
          </cell>
          <cell r="H1958" t="str">
            <v>四川省仁寿县贵平镇中岗村11组</v>
          </cell>
        </row>
        <row r="1959">
          <cell r="C1959" t="str">
            <v>511121197206176934</v>
          </cell>
          <cell r="D1959" t="str">
            <v>男</v>
          </cell>
          <cell r="E1959" t="str">
            <v>汉族</v>
          </cell>
          <cell r="F1959" t="str">
            <v>19720617</v>
          </cell>
          <cell r="G1959">
            <v>49</v>
          </cell>
          <cell r="H1959" t="str">
            <v>四川省仁寿县贵平镇中岗村11组</v>
          </cell>
          <cell r="I1959">
            <v>15881025762</v>
          </cell>
        </row>
        <row r="1960">
          <cell r="C1960" t="str">
            <v>511121197106237066</v>
          </cell>
          <cell r="D1960" t="str">
            <v>女</v>
          </cell>
          <cell r="E1960" t="str">
            <v>汉族</v>
          </cell>
          <cell r="F1960" t="str">
            <v>19710623</v>
          </cell>
          <cell r="G1960">
            <v>50</v>
          </cell>
          <cell r="H1960" t="str">
            <v>四川省仁寿县贵平镇中岗村11组</v>
          </cell>
        </row>
        <row r="1961">
          <cell r="C1961" t="str">
            <v>511121196509026939</v>
          </cell>
          <cell r="D1961" t="str">
            <v>男</v>
          </cell>
          <cell r="E1961" t="str">
            <v>汉族</v>
          </cell>
          <cell r="F1961" t="str">
            <v>19650902</v>
          </cell>
          <cell r="G1961">
            <v>56</v>
          </cell>
          <cell r="H1961" t="str">
            <v>四川省仁寿县贵平镇中岗村11组</v>
          </cell>
          <cell r="I1961">
            <v>13882013893</v>
          </cell>
        </row>
        <row r="1962">
          <cell r="C1962" t="str">
            <v>511121196304126936</v>
          </cell>
          <cell r="D1962" t="str">
            <v>男</v>
          </cell>
          <cell r="E1962" t="str">
            <v>汉族</v>
          </cell>
          <cell r="F1962" t="str">
            <v>19630412</v>
          </cell>
          <cell r="G1962">
            <v>58</v>
          </cell>
          <cell r="H1962" t="str">
            <v>四川省仁寿县贵平镇中岗村11组</v>
          </cell>
          <cell r="I1962">
            <v>15702800194</v>
          </cell>
        </row>
        <row r="1963">
          <cell r="C1963" t="str">
            <v>513822198808086961</v>
          </cell>
          <cell r="D1963" t="str">
            <v>女</v>
          </cell>
          <cell r="E1963" t="str">
            <v>汉族</v>
          </cell>
          <cell r="F1963" t="str">
            <v>19880808</v>
          </cell>
          <cell r="G1963">
            <v>33</v>
          </cell>
          <cell r="H1963" t="str">
            <v>四川省仁寿县贵平镇中岗村11组</v>
          </cell>
          <cell r="I1963">
            <v>13551882583</v>
          </cell>
        </row>
        <row r="1964">
          <cell r="C1964" t="str">
            <v>513822198602286933</v>
          </cell>
          <cell r="D1964" t="str">
            <v>男</v>
          </cell>
          <cell r="E1964" t="str">
            <v>汉族</v>
          </cell>
          <cell r="F1964" t="str">
            <v>19860228</v>
          </cell>
          <cell r="G1964">
            <v>35</v>
          </cell>
          <cell r="H1964" t="str">
            <v>四川省仁寿县贵平镇中岗村11组</v>
          </cell>
          <cell r="I1964">
            <v>13510107740</v>
          </cell>
        </row>
        <row r="1965">
          <cell r="C1965" t="str">
            <v>511121195505256935</v>
          </cell>
          <cell r="D1965" t="str">
            <v>男</v>
          </cell>
          <cell r="E1965" t="str">
            <v>汉族</v>
          </cell>
          <cell r="F1965" t="str">
            <v>19550525</v>
          </cell>
          <cell r="G1965">
            <v>66</v>
          </cell>
          <cell r="H1965" t="str">
            <v>四川省仁寿县贵平镇中岗村11组</v>
          </cell>
          <cell r="I1965">
            <v>18228156591</v>
          </cell>
        </row>
        <row r="1966">
          <cell r="C1966" t="str">
            <v>511121195808306944</v>
          </cell>
          <cell r="D1966" t="str">
            <v>女</v>
          </cell>
          <cell r="E1966" t="str">
            <v>汉族</v>
          </cell>
          <cell r="F1966" t="str">
            <v>19580830</v>
          </cell>
          <cell r="G1966">
            <v>63</v>
          </cell>
          <cell r="H1966" t="str">
            <v>四川省仁寿县贵平镇中岗村11组</v>
          </cell>
          <cell r="I1966">
            <v>15244846738</v>
          </cell>
        </row>
        <row r="1967">
          <cell r="C1967" t="str">
            <v>511121198110056940</v>
          </cell>
          <cell r="D1967" t="str">
            <v>女</v>
          </cell>
          <cell r="E1967" t="str">
            <v>汉族</v>
          </cell>
          <cell r="F1967" t="str">
            <v>19811005</v>
          </cell>
          <cell r="G1967">
            <v>40</v>
          </cell>
          <cell r="H1967" t="str">
            <v>四川省仁寿县贵平镇中岗村11组</v>
          </cell>
          <cell r="I1967">
            <v>13684006992</v>
          </cell>
        </row>
        <row r="1968">
          <cell r="C1968" t="str">
            <v>513822199402016968</v>
          </cell>
          <cell r="D1968" t="str">
            <v>女</v>
          </cell>
          <cell r="E1968" t="str">
            <v>汉族</v>
          </cell>
          <cell r="F1968" t="str">
            <v>19940201</v>
          </cell>
          <cell r="G1968">
            <v>27</v>
          </cell>
          <cell r="H1968" t="str">
            <v>四川省仁寿县贵平镇中岗村11组</v>
          </cell>
          <cell r="I1968">
            <v>15818892981</v>
          </cell>
        </row>
        <row r="1969">
          <cell r="C1969" t="str">
            <v>511121194508146948</v>
          </cell>
          <cell r="D1969" t="str">
            <v>女</v>
          </cell>
          <cell r="E1969" t="str">
            <v>汉族</v>
          </cell>
          <cell r="F1969" t="str">
            <v>19450814</v>
          </cell>
          <cell r="G1969">
            <v>76</v>
          </cell>
          <cell r="H1969" t="str">
            <v>四川省仁寿县贵平镇中岗村11组</v>
          </cell>
          <cell r="I1969">
            <v>18123364861</v>
          </cell>
        </row>
        <row r="1970">
          <cell r="C1970" t="str">
            <v>511121196709286938</v>
          </cell>
          <cell r="D1970" t="str">
            <v>男</v>
          </cell>
          <cell r="E1970" t="str">
            <v>汉族</v>
          </cell>
          <cell r="F1970" t="str">
            <v>19670928</v>
          </cell>
          <cell r="G1970">
            <v>54</v>
          </cell>
          <cell r="H1970" t="str">
            <v>四川省仁寿县贵平镇中岗村11组</v>
          </cell>
          <cell r="I1970">
            <v>13360682598</v>
          </cell>
        </row>
        <row r="1971">
          <cell r="C1971" t="str">
            <v>511421201602246864</v>
          </cell>
          <cell r="D1971" t="str">
            <v>女</v>
          </cell>
          <cell r="E1971" t="str">
            <v>汉族</v>
          </cell>
          <cell r="F1971" t="str">
            <v>20160224</v>
          </cell>
          <cell r="G1971">
            <v>5</v>
          </cell>
          <cell r="H1971" t="str">
            <v>四川省仁寿县贵平镇中岗村11组</v>
          </cell>
        </row>
        <row r="1972">
          <cell r="C1972" t="str">
            <v>511121197912156930</v>
          </cell>
          <cell r="D1972" t="str">
            <v>男</v>
          </cell>
          <cell r="E1972" t="str">
            <v>汉族</v>
          </cell>
          <cell r="F1972" t="str">
            <v>19791215</v>
          </cell>
          <cell r="G1972">
            <v>42</v>
          </cell>
          <cell r="H1972" t="str">
            <v>四川省仁寿县贵平镇中岗村11组</v>
          </cell>
          <cell r="I1972">
            <v>13880319082</v>
          </cell>
        </row>
        <row r="1973">
          <cell r="C1973" t="str">
            <v>511121196904116934</v>
          </cell>
          <cell r="D1973" t="str">
            <v>男</v>
          </cell>
          <cell r="E1973" t="str">
            <v>汉族</v>
          </cell>
          <cell r="F1973" t="str">
            <v>19690411</v>
          </cell>
          <cell r="G1973">
            <v>52</v>
          </cell>
          <cell r="H1973" t="str">
            <v>四川省仁寿县贵平镇中岗村11组</v>
          </cell>
          <cell r="I1973">
            <v>13708338911</v>
          </cell>
        </row>
        <row r="1974">
          <cell r="C1974" t="str">
            <v>511121197004229102</v>
          </cell>
          <cell r="D1974" t="str">
            <v>女</v>
          </cell>
          <cell r="E1974" t="str">
            <v>汉族</v>
          </cell>
          <cell r="F1974" t="str">
            <v>19700422</v>
          </cell>
          <cell r="G1974">
            <v>51</v>
          </cell>
          <cell r="H1974" t="str">
            <v>四川省仁寿县贵平镇中岗村11组</v>
          </cell>
          <cell r="I1974">
            <v>18384116483</v>
          </cell>
        </row>
        <row r="1975">
          <cell r="C1975" t="str">
            <v>513822199105046933</v>
          </cell>
          <cell r="D1975" t="str">
            <v>男</v>
          </cell>
          <cell r="E1975" t="str">
            <v>汉族</v>
          </cell>
          <cell r="F1975" t="str">
            <v>19910504</v>
          </cell>
          <cell r="G1975">
            <v>30</v>
          </cell>
          <cell r="H1975" t="str">
            <v>四川省仁寿县贵平镇中岗村11组</v>
          </cell>
          <cell r="I1975">
            <v>18782979812</v>
          </cell>
        </row>
        <row r="1976">
          <cell r="C1976" t="str">
            <v>513822199603176933</v>
          </cell>
          <cell r="D1976" t="str">
            <v>男</v>
          </cell>
          <cell r="E1976" t="str">
            <v>汉族</v>
          </cell>
          <cell r="F1976" t="str">
            <v>19960317</v>
          </cell>
          <cell r="G1976">
            <v>25</v>
          </cell>
          <cell r="H1976" t="str">
            <v>四川省仁寿县贵平镇中岗村11组</v>
          </cell>
          <cell r="I1976">
            <v>17721881317</v>
          </cell>
        </row>
        <row r="1977">
          <cell r="C1977" t="str">
            <v>511121196310286952</v>
          </cell>
          <cell r="D1977" t="str">
            <v>男</v>
          </cell>
          <cell r="E1977" t="str">
            <v>汉族</v>
          </cell>
          <cell r="F1977" t="str">
            <v>19631028</v>
          </cell>
          <cell r="G1977">
            <v>58</v>
          </cell>
          <cell r="H1977" t="str">
            <v>四川省仁寿县贵平镇中岗村11组</v>
          </cell>
          <cell r="I1977">
            <v>13734919468</v>
          </cell>
        </row>
        <row r="1978">
          <cell r="C1978" t="str">
            <v>511121196909298941</v>
          </cell>
          <cell r="D1978" t="str">
            <v>女</v>
          </cell>
          <cell r="E1978" t="str">
            <v>汉族</v>
          </cell>
          <cell r="F1978" t="str">
            <v>19690929</v>
          </cell>
          <cell r="G1978">
            <v>52</v>
          </cell>
          <cell r="H1978" t="str">
            <v>四川省仁寿县贵平镇中岗村11组</v>
          </cell>
          <cell r="I1978">
            <v>18227818468</v>
          </cell>
        </row>
        <row r="1979">
          <cell r="C1979" t="str">
            <v>513822199412046941</v>
          </cell>
          <cell r="D1979" t="str">
            <v>女</v>
          </cell>
          <cell r="E1979" t="str">
            <v>汉族</v>
          </cell>
          <cell r="F1979" t="str">
            <v>19941204</v>
          </cell>
          <cell r="G1979">
            <v>27</v>
          </cell>
          <cell r="H1979" t="str">
            <v>四川省仁寿县贵平镇中岗村11组</v>
          </cell>
        </row>
        <row r="1980">
          <cell r="C1980" t="str">
            <v>513822198911016937</v>
          </cell>
          <cell r="D1980" t="str">
            <v>男</v>
          </cell>
          <cell r="E1980" t="str">
            <v>汉族</v>
          </cell>
          <cell r="F1980" t="str">
            <v>19891101</v>
          </cell>
          <cell r="G1980">
            <v>32</v>
          </cell>
          <cell r="H1980" t="str">
            <v>四川省仁寿县贵平镇中岗村11组</v>
          </cell>
          <cell r="I1980">
            <v>15984318277</v>
          </cell>
        </row>
        <row r="1981">
          <cell r="C1981" t="str">
            <v>511121196007026939</v>
          </cell>
          <cell r="D1981" t="str">
            <v>男</v>
          </cell>
          <cell r="E1981" t="str">
            <v>汉族</v>
          </cell>
          <cell r="F1981" t="str">
            <v>19600702</v>
          </cell>
          <cell r="G1981">
            <v>61</v>
          </cell>
          <cell r="H1981" t="str">
            <v>四川省仁寿县贵平镇中岗村11组</v>
          </cell>
          <cell r="I1981">
            <v>13398148851</v>
          </cell>
        </row>
        <row r="1982">
          <cell r="C1982" t="str">
            <v>511121196101016948</v>
          </cell>
          <cell r="D1982" t="str">
            <v>女</v>
          </cell>
          <cell r="E1982" t="str">
            <v>汉族</v>
          </cell>
          <cell r="F1982" t="str">
            <v>19610101</v>
          </cell>
          <cell r="G1982">
            <v>60</v>
          </cell>
          <cell r="H1982" t="str">
            <v>四川省仁寿县贵平镇中岗村11组</v>
          </cell>
        </row>
        <row r="1983">
          <cell r="C1983" t="str">
            <v>511121194010276948</v>
          </cell>
          <cell r="D1983" t="str">
            <v>女</v>
          </cell>
          <cell r="E1983" t="str">
            <v>汉族</v>
          </cell>
          <cell r="F1983" t="str">
            <v>19401027</v>
          </cell>
          <cell r="G1983">
            <v>81</v>
          </cell>
          <cell r="H1983" t="str">
            <v>四川省仁寿县贵平镇中岗村11组</v>
          </cell>
        </row>
        <row r="1984">
          <cell r="C1984" t="str">
            <v>511121196307146959</v>
          </cell>
          <cell r="D1984" t="str">
            <v>男</v>
          </cell>
          <cell r="E1984" t="str">
            <v>汉族</v>
          </cell>
          <cell r="F1984" t="str">
            <v>19630714</v>
          </cell>
          <cell r="G1984">
            <v>58</v>
          </cell>
          <cell r="H1984" t="str">
            <v>四川省仁寿县贵平镇中岗村11组</v>
          </cell>
          <cell r="I1984">
            <v>13438425677</v>
          </cell>
        </row>
        <row r="1985">
          <cell r="C1985" t="str">
            <v>511121196909269147</v>
          </cell>
          <cell r="D1985" t="str">
            <v>女</v>
          </cell>
          <cell r="E1985" t="str">
            <v>汉族</v>
          </cell>
          <cell r="F1985" t="str">
            <v>19690926</v>
          </cell>
          <cell r="G1985">
            <v>52</v>
          </cell>
          <cell r="H1985" t="str">
            <v>四川省仁寿县贵平镇中岗村11组</v>
          </cell>
          <cell r="I1985">
            <v>13438425677</v>
          </cell>
        </row>
        <row r="1986">
          <cell r="C1986" t="str">
            <v>511121193709236937</v>
          </cell>
          <cell r="D1986" t="str">
            <v>男</v>
          </cell>
          <cell r="E1986" t="str">
            <v>汉族</v>
          </cell>
          <cell r="F1986" t="str">
            <v>19370923</v>
          </cell>
          <cell r="G1986">
            <v>84</v>
          </cell>
          <cell r="H1986" t="str">
            <v>四川省仁寿县贵平镇中岗村11组</v>
          </cell>
          <cell r="I1986">
            <v>18228210765</v>
          </cell>
        </row>
        <row r="1987">
          <cell r="C1987" t="str">
            <v>513822199011076939</v>
          </cell>
          <cell r="D1987" t="str">
            <v>男</v>
          </cell>
          <cell r="E1987" t="str">
            <v>汉族</v>
          </cell>
          <cell r="F1987" t="str">
            <v>19901107</v>
          </cell>
          <cell r="G1987">
            <v>31</v>
          </cell>
          <cell r="H1987" t="str">
            <v>四川省仁寿县贵平镇中岗村11组</v>
          </cell>
          <cell r="I1987">
            <v>18381586632</v>
          </cell>
        </row>
        <row r="1988">
          <cell r="C1988" t="str">
            <v>513822199406156933</v>
          </cell>
          <cell r="D1988" t="str">
            <v>男</v>
          </cell>
          <cell r="E1988" t="str">
            <v>汉族</v>
          </cell>
          <cell r="F1988" t="str">
            <v>19940615</v>
          </cell>
          <cell r="G1988">
            <v>27</v>
          </cell>
          <cell r="H1988" t="str">
            <v>四川省仁寿县贵平镇中岗村11组</v>
          </cell>
          <cell r="I1988">
            <v>15282230637</v>
          </cell>
        </row>
        <row r="1989">
          <cell r="C1989" t="str">
            <v>511421201612250357</v>
          </cell>
          <cell r="D1989" t="str">
            <v>男</v>
          </cell>
          <cell r="E1989" t="str">
            <v>汉族</v>
          </cell>
          <cell r="F1989" t="str">
            <v>20161225</v>
          </cell>
          <cell r="G1989">
            <v>5</v>
          </cell>
          <cell r="H1989" t="str">
            <v>四川省仁寿县贵平镇中岗村11组</v>
          </cell>
        </row>
        <row r="1990">
          <cell r="C1990" t="str">
            <v>511421202008010212</v>
          </cell>
          <cell r="D1990" t="str">
            <v>男</v>
          </cell>
          <cell r="E1990" t="str">
            <v>汉族</v>
          </cell>
          <cell r="F1990" t="str">
            <v>20200801</v>
          </cell>
          <cell r="G1990">
            <v>1</v>
          </cell>
          <cell r="H1990" t="str">
            <v>四川省仁寿县贵平镇中岗村11组</v>
          </cell>
        </row>
        <row r="1991">
          <cell r="C1991" t="str">
            <v>513822199010216936</v>
          </cell>
          <cell r="D1991" t="str">
            <v>男</v>
          </cell>
          <cell r="E1991" t="str">
            <v>汉族</v>
          </cell>
          <cell r="F1991" t="str">
            <v>19901021</v>
          </cell>
          <cell r="G1991">
            <v>31</v>
          </cell>
          <cell r="H1991" t="str">
            <v>四川省仁寿县贵平镇中岗村11组</v>
          </cell>
        </row>
        <row r="1992">
          <cell r="C1992" t="str">
            <v>511121196707076937</v>
          </cell>
          <cell r="D1992" t="str">
            <v>男</v>
          </cell>
          <cell r="E1992" t="str">
            <v>汉族</v>
          </cell>
          <cell r="F1992" t="str">
            <v>19670707</v>
          </cell>
          <cell r="G1992">
            <v>54</v>
          </cell>
          <cell r="H1992" t="str">
            <v>四川省仁寿县贵平镇中岗村11组</v>
          </cell>
          <cell r="I1992">
            <v>18328691381</v>
          </cell>
        </row>
        <row r="1993">
          <cell r="C1993" t="str">
            <v>511121196908236941</v>
          </cell>
          <cell r="D1993" t="str">
            <v>女</v>
          </cell>
          <cell r="E1993" t="str">
            <v>汉族</v>
          </cell>
          <cell r="F1993" t="str">
            <v>19690823</v>
          </cell>
          <cell r="G1993">
            <v>52</v>
          </cell>
          <cell r="H1993" t="str">
            <v>四川省仁寿县贵平镇中岗村11组</v>
          </cell>
          <cell r="I1993">
            <v>18308163811</v>
          </cell>
        </row>
        <row r="1994">
          <cell r="C1994" t="str">
            <v>511121193901216936</v>
          </cell>
          <cell r="D1994" t="str">
            <v>男</v>
          </cell>
          <cell r="E1994" t="str">
            <v>汉族</v>
          </cell>
          <cell r="F1994" t="str">
            <v>19390121</v>
          </cell>
          <cell r="G1994">
            <v>82</v>
          </cell>
          <cell r="H1994" t="str">
            <v>四川省仁寿县贵平镇中岗村11组</v>
          </cell>
          <cell r="I1994">
            <v>18982294216</v>
          </cell>
        </row>
        <row r="1995">
          <cell r="C1995" t="str">
            <v>511121198105236939</v>
          </cell>
          <cell r="D1995" t="str">
            <v>男</v>
          </cell>
          <cell r="E1995" t="str">
            <v>汉族</v>
          </cell>
          <cell r="F1995" t="str">
            <v>19810523</v>
          </cell>
          <cell r="G1995">
            <v>40</v>
          </cell>
          <cell r="H1995" t="str">
            <v>四川省仁寿县贵平镇中岗村11组</v>
          </cell>
          <cell r="I1995">
            <v>13608085838</v>
          </cell>
        </row>
        <row r="1996">
          <cell r="C1996" t="str">
            <v>513822198601026945</v>
          </cell>
          <cell r="D1996" t="str">
            <v>女</v>
          </cell>
          <cell r="E1996" t="str">
            <v>汉族</v>
          </cell>
          <cell r="F1996" t="str">
            <v>19860102</v>
          </cell>
          <cell r="G1996">
            <v>35</v>
          </cell>
          <cell r="H1996" t="str">
            <v>四川省仁寿县贵平镇中岗村11组</v>
          </cell>
          <cell r="I1996">
            <v>13689093909</v>
          </cell>
        </row>
        <row r="1997">
          <cell r="C1997" t="str">
            <v>511421200807316729</v>
          </cell>
          <cell r="D1997" t="str">
            <v>女</v>
          </cell>
          <cell r="E1997" t="str">
            <v>汉族</v>
          </cell>
          <cell r="F1997" t="str">
            <v>20080731</v>
          </cell>
          <cell r="G1997">
            <v>13</v>
          </cell>
          <cell r="H1997" t="str">
            <v>四川省仁寿县贵平镇中岗村11组</v>
          </cell>
        </row>
        <row r="1998">
          <cell r="C1998" t="str">
            <v>511421201208156772</v>
          </cell>
          <cell r="D1998" t="str">
            <v>男</v>
          </cell>
          <cell r="E1998" t="str">
            <v>汉族</v>
          </cell>
          <cell r="F1998" t="str">
            <v>20120815</v>
          </cell>
          <cell r="G1998">
            <v>9</v>
          </cell>
          <cell r="H1998" t="str">
            <v>四川省仁寿县贵平镇中岗村11组</v>
          </cell>
        </row>
        <row r="1999">
          <cell r="C1999" t="str">
            <v>511121196810056950</v>
          </cell>
          <cell r="D1999" t="str">
            <v>男</v>
          </cell>
          <cell r="E1999" t="str">
            <v>汉族</v>
          </cell>
          <cell r="F1999" t="str">
            <v>19681005</v>
          </cell>
          <cell r="G1999">
            <v>53</v>
          </cell>
          <cell r="H1999" t="str">
            <v>四川省仁寿县贵平镇中岗村11组</v>
          </cell>
          <cell r="I1999">
            <v>15208260279</v>
          </cell>
        </row>
        <row r="2000">
          <cell r="C2000" t="str">
            <v>511121197010106942</v>
          </cell>
          <cell r="D2000" t="str">
            <v>女</v>
          </cell>
          <cell r="E2000" t="str">
            <v>汉族</v>
          </cell>
          <cell r="F2000" t="str">
            <v>19701010</v>
          </cell>
          <cell r="G2000">
            <v>51</v>
          </cell>
          <cell r="H2000" t="str">
            <v>四川省仁寿县贵平镇中岗村11组</v>
          </cell>
          <cell r="I2000">
            <v>13880595159</v>
          </cell>
        </row>
        <row r="2001">
          <cell r="C2001" t="str">
            <v>511421201108246957</v>
          </cell>
          <cell r="D2001" t="str">
            <v>男</v>
          </cell>
          <cell r="E2001" t="str">
            <v>汉族</v>
          </cell>
          <cell r="F2001" t="str">
            <v>20110824</v>
          </cell>
          <cell r="G2001">
            <v>10</v>
          </cell>
          <cell r="H2001" t="str">
            <v>四川省仁寿县贵平镇中岗村11组</v>
          </cell>
        </row>
        <row r="2002">
          <cell r="C2002" t="str">
            <v>513822199112116944</v>
          </cell>
          <cell r="D2002" t="str">
            <v>女</v>
          </cell>
          <cell r="E2002" t="str">
            <v>汉族</v>
          </cell>
          <cell r="F2002" t="str">
            <v>19911211</v>
          </cell>
          <cell r="G2002">
            <v>30</v>
          </cell>
          <cell r="H2002" t="str">
            <v>四川省仁寿县贵平镇中岗村11组</v>
          </cell>
        </row>
        <row r="2003">
          <cell r="C2003" t="str">
            <v>511421201312106863</v>
          </cell>
          <cell r="D2003" t="str">
            <v>女</v>
          </cell>
          <cell r="E2003" t="str">
            <v>汉族</v>
          </cell>
          <cell r="F2003" t="str">
            <v>20131210</v>
          </cell>
          <cell r="G2003">
            <v>8</v>
          </cell>
          <cell r="H2003" t="str">
            <v>四川省仁寿县贵平镇中岗村11组</v>
          </cell>
        </row>
        <row r="2004">
          <cell r="C2004" t="str">
            <v>511121197112246938</v>
          </cell>
          <cell r="D2004" t="str">
            <v>男</v>
          </cell>
          <cell r="E2004" t="str">
            <v>汉族</v>
          </cell>
          <cell r="F2004" t="str">
            <v>19711224</v>
          </cell>
          <cell r="G2004">
            <v>50</v>
          </cell>
          <cell r="H2004" t="str">
            <v>四川省仁寿县贵平镇中岗村11组</v>
          </cell>
          <cell r="I2004">
            <v>18089514951</v>
          </cell>
        </row>
        <row r="2005">
          <cell r="C2005" t="str">
            <v>511421199905166693</v>
          </cell>
          <cell r="D2005" t="str">
            <v>男</v>
          </cell>
          <cell r="E2005" t="str">
            <v>汉族</v>
          </cell>
          <cell r="F2005" t="str">
            <v>19990516</v>
          </cell>
          <cell r="G2005">
            <v>22</v>
          </cell>
          <cell r="H2005" t="str">
            <v>四川省仁寿县贵平镇中岗村11组</v>
          </cell>
          <cell r="I2005">
            <v>18583823592</v>
          </cell>
        </row>
        <row r="2006">
          <cell r="C2006" t="str">
            <v>511421199905166706</v>
          </cell>
          <cell r="D2006" t="str">
            <v>女</v>
          </cell>
          <cell r="E2006" t="str">
            <v>汉族</v>
          </cell>
          <cell r="F2006" t="str">
            <v>19990516</v>
          </cell>
          <cell r="G2006">
            <v>22</v>
          </cell>
          <cell r="H2006" t="str">
            <v>四川省仁寿县贵平镇中岗村11组</v>
          </cell>
          <cell r="I2006">
            <v>17172880595</v>
          </cell>
        </row>
        <row r="2007">
          <cell r="C2007" t="str">
            <v>511121197212146942</v>
          </cell>
          <cell r="D2007" t="str">
            <v>女</v>
          </cell>
          <cell r="E2007" t="str">
            <v>汉族</v>
          </cell>
          <cell r="F2007" t="str">
            <v>19721214</v>
          </cell>
          <cell r="G2007">
            <v>49</v>
          </cell>
          <cell r="H2007" t="str">
            <v>四川省仁寿县贵平镇中岗村11组</v>
          </cell>
          <cell r="I2007">
            <v>18089512871</v>
          </cell>
        </row>
        <row r="2008">
          <cell r="C2008" t="str">
            <v>511421201308050086</v>
          </cell>
          <cell r="D2008" t="str">
            <v>女</v>
          </cell>
          <cell r="E2008" t="str">
            <v>汉族</v>
          </cell>
          <cell r="F2008" t="str">
            <v>20130805</v>
          </cell>
          <cell r="G2008">
            <v>8</v>
          </cell>
          <cell r="H2008" t="str">
            <v>四川省仁寿县贵平镇中岗村11组</v>
          </cell>
        </row>
        <row r="2009">
          <cell r="C2009" t="str">
            <v>513822199607246943</v>
          </cell>
          <cell r="D2009" t="str">
            <v>女</v>
          </cell>
          <cell r="E2009" t="str">
            <v>汉族</v>
          </cell>
          <cell r="F2009" t="str">
            <v>19960724</v>
          </cell>
          <cell r="G2009">
            <v>25</v>
          </cell>
          <cell r="H2009" t="str">
            <v>四川省仁寿县贵平镇中岗村11组</v>
          </cell>
        </row>
        <row r="2010">
          <cell r="C2010" t="str">
            <v>511121193410126952</v>
          </cell>
          <cell r="D2010" t="str">
            <v>男</v>
          </cell>
          <cell r="E2010" t="str">
            <v>汉族</v>
          </cell>
          <cell r="F2010" t="str">
            <v>19341012</v>
          </cell>
          <cell r="G2010">
            <v>87</v>
          </cell>
          <cell r="H2010" t="str">
            <v>四川省仁寿县贵平镇中岗村11组</v>
          </cell>
        </row>
        <row r="2011">
          <cell r="C2011" t="str">
            <v>513822199510266948</v>
          </cell>
          <cell r="D2011" t="str">
            <v>女</v>
          </cell>
          <cell r="E2011" t="str">
            <v>汉族</v>
          </cell>
          <cell r="F2011" t="str">
            <v>19951026</v>
          </cell>
          <cell r="G2011">
            <v>26</v>
          </cell>
          <cell r="H2011" t="str">
            <v>四川省仁寿县贵平镇中岗村11组</v>
          </cell>
        </row>
        <row r="2012">
          <cell r="C2012" t="str">
            <v>51112119670208695X</v>
          </cell>
          <cell r="D2012" t="str">
            <v>男</v>
          </cell>
          <cell r="E2012" t="str">
            <v>汉族</v>
          </cell>
          <cell r="F2012" t="str">
            <v>19670208</v>
          </cell>
          <cell r="G2012">
            <v>54</v>
          </cell>
          <cell r="H2012" t="str">
            <v>四川省仁寿县贵平镇中岗村11组</v>
          </cell>
          <cell r="I2012">
            <v>13625838841</v>
          </cell>
        </row>
        <row r="2013">
          <cell r="C2013" t="str">
            <v>511121197510056945</v>
          </cell>
          <cell r="D2013" t="str">
            <v>女</v>
          </cell>
          <cell r="E2013" t="str">
            <v>汉族</v>
          </cell>
          <cell r="F2013" t="str">
            <v>19751005</v>
          </cell>
          <cell r="G2013">
            <v>46</v>
          </cell>
          <cell r="H2013" t="str">
            <v>四川省仁寿县贵平镇中岗村11组</v>
          </cell>
        </row>
        <row r="2014">
          <cell r="C2014" t="str">
            <v>511121195403126945</v>
          </cell>
          <cell r="D2014" t="str">
            <v>女</v>
          </cell>
          <cell r="E2014" t="str">
            <v>汉族</v>
          </cell>
          <cell r="F2014" t="str">
            <v>19540312</v>
          </cell>
          <cell r="G2014">
            <v>67</v>
          </cell>
          <cell r="H2014" t="str">
            <v>四川省仁寿县贵平镇中岗村11组</v>
          </cell>
          <cell r="I2014">
            <v>13778845705</v>
          </cell>
        </row>
        <row r="2015">
          <cell r="C2015" t="str">
            <v>513822199102256935</v>
          </cell>
          <cell r="D2015" t="str">
            <v>男</v>
          </cell>
          <cell r="E2015" t="str">
            <v>汉族</v>
          </cell>
          <cell r="F2015" t="str">
            <v>19910225</v>
          </cell>
          <cell r="G2015">
            <v>30</v>
          </cell>
          <cell r="H2015" t="str">
            <v>四川省仁寿县贵平镇中岗村11组</v>
          </cell>
          <cell r="I2015">
            <v>13376618026</v>
          </cell>
        </row>
        <row r="2016">
          <cell r="C2016" t="str">
            <v>513822198601306947</v>
          </cell>
          <cell r="D2016" t="str">
            <v>女</v>
          </cell>
          <cell r="E2016" t="str">
            <v>汉族</v>
          </cell>
          <cell r="F2016" t="str">
            <v>19860130</v>
          </cell>
          <cell r="G2016">
            <v>35</v>
          </cell>
          <cell r="H2016" t="str">
            <v>四川省仁寿县贵平镇中岗村11组</v>
          </cell>
          <cell r="I2016">
            <v>18647999481</v>
          </cell>
        </row>
        <row r="2017">
          <cell r="C2017" t="str">
            <v>511121195302176935</v>
          </cell>
          <cell r="D2017" t="str">
            <v>男</v>
          </cell>
          <cell r="E2017" t="str">
            <v>汉族</v>
          </cell>
          <cell r="F2017" t="str">
            <v>19530217</v>
          </cell>
          <cell r="G2017">
            <v>68</v>
          </cell>
          <cell r="H2017" t="str">
            <v>四川省仁寿县贵平镇中岗村11组</v>
          </cell>
          <cell r="I2017">
            <v>14780189909</v>
          </cell>
        </row>
        <row r="2018">
          <cell r="C2018" t="str">
            <v>511121195711146948</v>
          </cell>
          <cell r="D2018" t="str">
            <v>女</v>
          </cell>
          <cell r="E2018" t="str">
            <v>汉族</v>
          </cell>
          <cell r="F2018" t="str">
            <v>19571114</v>
          </cell>
          <cell r="G2018">
            <v>64</v>
          </cell>
          <cell r="H2018" t="str">
            <v>四川省仁寿县贵平镇中岗村11组</v>
          </cell>
          <cell r="I2018">
            <v>14780159483</v>
          </cell>
        </row>
        <row r="2019">
          <cell r="C2019" t="str">
            <v>511121198107266939</v>
          </cell>
          <cell r="D2019" t="str">
            <v>男</v>
          </cell>
          <cell r="E2019" t="str">
            <v>汉族</v>
          </cell>
          <cell r="F2019" t="str">
            <v>19810726</v>
          </cell>
          <cell r="G2019">
            <v>40</v>
          </cell>
          <cell r="H2019" t="str">
            <v>四川省仁寿县贵平镇中岗村11组</v>
          </cell>
          <cell r="I2019">
            <v>13568248775</v>
          </cell>
        </row>
        <row r="2020">
          <cell r="C2020" t="str">
            <v>511421201004126862</v>
          </cell>
          <cell r="D2020" t="str">
            <v>女</v>
          </cell>
          <cell r="E2020" t="str">
            <v>汉族</v>
          </cell>
          <cell r="F2020" t="str">
            <v>20100412</v>
          </cell>
          <cell r="G2020">
            <v>11</v>
          </cell>
          <cell r="H2020" t="str">
            <v>四川省仁寿县贵平镇中岗村11组</v>
          </cell>
        </row>
        <row r="2021">
          <cell r="C2021" t="str">
            <v>500101198609086147</v>
          </cell>
          <cell r="D2021" t="str">
            <v>女</v>
          </cell>
          <cell r="E2021" t="str">
            <v>汉族</v>
          </cell>
          <cell r="F2021" t="str">
            <v>19860908</v>
          </cell>
          <cell r="G2021">
            <v>35</v>
          </cell>
          <cell r="H2021" t="str">
            <v>四川省仁寿县贵平镇中岗村11组</v>
          </cell>
          <cell r="I2021">
            <v>15196456905</v>
          </cell>
        </row>
        <row r="2022">
          <cell r="C2022" t="str">
            <v>511121197312076961</v>
          </cell>
          <cell r="D2022" t="str">
            <v>女</v>
          </cell>
          <cell r="E2022" t="str">
            <v>汉族</v>
          </cell>
          <cell r="F2022" t="str">
            <v>19731207</v>
          </cell>
          <cell r="G2022">
            <v>48</v>
          </cell>
          <cell r="H2022" t="str">
            <v>四川省仁寿县贵平镇中岗村11组</v>
          </cell>
          <cell r="I2022">
            <v>18180619217</v>
          </cell>
        </row>
        <row r="2023">
          <cell r="C2023" t="str">
            <v>511121197310066938</v>
          </cell>
          <cell r="D2023" t="str">
            <v>男</v>
          </cell>
          <cell r="E2023" t="str">
            <v>汉族</v>
          </cell>
          <cell r="F2023" t="str">
            <v>19731006</v>
          </cell>
          <cell r="G2023">
            <v>48</v>
          </cell>
          <cell r="H2023" t="str">
            <v>四川省仁寿县贵平镇中岗村11组</v>
          </cell>
          <cell r="I2023">
            <v>15182249835</v>
          </cell>
        </row>
        <row r="2024">
          <cell r="C2024" t="str">
            <v>513822199802036941</v>
          </cell>
          <cell r="D2024" t="str">
            <v>女</v>
          </cell>
          <cell r="E2024" t="str">
            <v>汉族</v>
          </cell>
          <cell r="F2024" t="str">
            <v>19980203</v>
          </cell>
          <cell r="G2024">
            <v>23</v>
          </cell>
          <cell r="H2024" t="str">
            <v>四川省仁寿县贵平镇中岗村11组</v>
          </cell>
          <cell r="I2024">
            <v>15108204222</v>
          </cell>
        </row>
        <row r="2025">
          <cell r="C2025" t="str">
            <v>511121194009246936</v>
          </cell>
          <cell r="D2025" t="str">
            <v>男</v>
          </cell>
          <cell r="E2025" t="str">
            <v>汉族</v>
          </cell>
          <cell r="F2025" t="str">
            <v>19400924</v>
          </cell>
          <cell r="G2025">
            <v>81</v>
          </cell>
          <cell r="H2025" t="str">
            <v>四川省仁寿县贵平镇中岗村11组</v>
          </cell>
          <cell r="I2025" t="str">
            <v>耳聋</v>
          </cell>
        </row>
        <row r="2026">
          <cell r="C2026" t="str">
            <v>511121194605106964</v>
          </cell>
          <cell r="D2026" t="str">
            <v>女</v>
          </cell>
          <cell r="E2026" t="str">
            <v>汉族</v>
          </cell>
          <cell r="F2026" t="str">
            <v>19460510</v>
          </cell>
          <cell r="G2026">
            <v>75</v>
          </cell>
          <cell r="H2026" t="str">
            <v>四川省仁寿县贵平镇中岗村11组</v>
          </cell>
          <cell r="I2026" t="str">
            <v>哑巴</v>
          </cell>
        </row>
        <row r="2027">
          <cell r="C2027" t="str">
            <v>511121196505226933</v>
          </cell>
          <cell r="D2027" t="str">
            <v>男</v>
          </cell>
          <cell r="E2027" t="str">
            <v>汉族</v>
          </cell>
          <cell r="F2027" t="str">
            <v>19650522</v>
          </cell>
          <cell r="G2027">
            <v>56</v>
          </cell>
          <cell r="H2027" t="str">
            <v>四川省仁寿县贵平镇中岗村11组</v>
          </cell>
          <cell r="I2027">
            <v>15818892981</v>
          </cell>
        </row>
        <row r="2028">
          <cell r="C2028" t="str">
            <v>511121196507166946</v>
          </cell>
          <cell r="D2028" t="str">
            <v>女</v>
          </cell>
          <cell r="E2028" t="str">
            <v>汉族</v>
          </cell>
          <cell r="F2028" t="str">
            <v>19650716</v>
          </cell>
          <cell r="G2028">
            <v>56</v>
          </cell>
          <cell r="H2028" t="str">
            <v>四川省仁寿县贵平镇中岗村11组</v>
          </cell>
          <cell r="I2028">
            <v>15818892981</v>
          </cell>
        </row>
        <row r="2029">
          <cell r="C2029" t="str">
            <v>513822198801086942</v>
          </cell>
          <cell r="D2029" t="str">
            <v>女</v>
          </cell>
          <cell r="E2029" t="str">
            <v>汉族</v>
          </cell>
          <cell r="F2029" t="str">
            <v>19880108</v>
          </cell>
          <cell r="G2029">
            <v>33</v>
          </cell>
          <cell r="H2029" t="str">
            <v>四川省仁寿县贵平镇中岗村11组</v>
          </cell>
        </row>
        <row r="2030">
          <cell r="C2030" t="str">
            <v>513822199011126932</v>
          </cell>
          <cell r="D2030" t="str">
            <v>男</v>
          </cell>
          <cell r="E2030" t="str">
            <v>汉族</v>
          </cell>
          <cell r="F2030" t="str">
            <v>19901112</v>
          </cell>
          <cell r="G2030">
            <v>31</v>
          </cell>
          <cell r="H2030" t="str">
            <v>四川省仁寿县贵平镇中岗村11组</v>
          </cell>
          <cell r="I2030">
            <v>15715956195</v>
          </cell>
        </row>
        <row r="2031">
          <cell r="C2031" t="str">
            <v>511121195709296939</v>
          </cell>
          <cell r="D2031" t="str">
            <v>男</v>
          </cell>
          <cell r="E2031" t="str">
            <v>汉族</v>
          </cell>
          <cell r="F2031" t="str">
            <v>19570929</v>
          </cell>
          <cell r="G2031">
            <v>64</v>
          </cell>
          <cell r="H2031" t="str">
            <v>四川省仁寿县贵平镇中岗村11组</v>
          </cell>
          <cell r="I2031">
            <v>18908004434</v>
          </cell>
        </row>
        <row r="2032">
          <cell r="C2032" t="str">
            <v>511121195511016946</v>
          </cell>
          <cell r="D2032" t="str">
            <v>女</v>
          </cell>
          <cell r="E2032" t="str">
            <v>汉族</v>
          </cell>
          <cell r="F2032" t="str">
            <v>19551101</v>
          </cell>
          <cell r="G2032">
            <v>66</v>
          </cell>
          <cell r="H2032" t="str">
            <v>四川省仁寿县贵平镇中岗村11组</v>
          </cell>
        </row>
        <row r="2033">
          <cell r="C2033" t="str">
            <v>511121198201156939</v>
          </cell>
          <cell r="D2033" t="str">
            <v>男</v>
          </cell>
          <cell r="E2033" t="str">
            <v>汉族</v>
          </cell>
          <cell r="F2033" t="str">
            <v>19820115</v>
          </cell>
          <cell r="G2033">
            <v>39</v>
          </cell>
          <cell r="H2033" t="str">
            <v>四川省仁寿县贵平镇中岗村11组</v>
          </cell>
        </row>
        <row r="2034">
          <cell r="C2034" t="str">
            <v>511121193202246941</v>
          </cell>
          <cell r="D2034" t="str">
            <v>女</v>
          </cell>
          <cell r="E2034" t="str">
            <v>汉族</v>
          </cell>
          <cell r="F2034" t="str">
            <v>19320224</v>
          </cell>
          <cell r="G2034">
            <v>89</v>
          </cell>
          <cell r="H2034" t="str">
            <v>四川省仁寿县贵平镇中岗村11组</v>
          </cell>
        </row>
        <row r="2035">
          <cell r="C2035" t="str">
            <v>511121195304246933</v>
          </cell>
          <cell r="D2035" t="str">
            <v>男</v>
          </cell>
          <cell r="E2035" t="str">
            <v>汉族</v>
          </cell>
          <cell r="F2035" t="str">
            <v>19530424</v>
          </cell>
          <cell r="G2035">
            <v>68</v>
          </cell>
          <cell r="H2035" t="str">
            <v>四川省仁寿县贵平镇中岗村11组</v>
          </cell>
          <cell r="I2035">
            <v>13734913783</v>
          </cell>
        </row>
        <row r="2036">
          <cell r="C2036" t="str">
            <v>511121195107296966</v>
          </cell>
          <cell r="D2036" t="str">
            <v>女</v>
          </cell>
          <cell r="E2036" t="str">
            <v>汉族</v>
          </cell>
          <cell r="F2036" t="str">
            <v>19510729</v>
          </cell>
          <cell r="G2036">
            <v>70</v>
          </cell>
          <cell r="H2036" t="str">
            <v>四川省仁寿县贵平镇中岗村11组</v>
          </cell>
        </row>
        <row r="2037">
          <cell r="C2037" t="str">
            <v>511121196810026938</v>
          </cell>
          <cell r="D2037" t="str">
            <v>男</v>
          </cell>
          <cell r="E2037" t="str">
            <v>汉族</v>
          </cell>
          <cell r="F2037" t="str">
            <v>19681002</v>
          </cell>
          <cell r="G2037">
            <v>53</v>
          </cell>
          <cell r="H2037" t="str">
            <v>四川省仁寿县贵平镇中岗村11组</v>
          </cell>
          <cell r="I2037">
            <v>13982181908</v>
          </cell>
        </row>
        <row r="2038">
          <cell r="C2038" t="str">
            <v>510321196911087262</v>
          </cell>
          <cell r="D2038" t="str">
            <v>女</v>
          </cell>
          <cell r="E2038" t="str">
            <v>汉族</v>
          </cell>
          <cell r="F2038" t="str">
            <v>19691108</v>
          </cell>
          <cell r="G2038">
            <v>52</v>
          </cell>
          <cell r="H2038" t="str">
            <v>四川省仁寿县贵平镇中岗村11组</v>
          </cell>
          <cell r="I2038">
            <v>13551319779</v>
          </cell>
        </row>
        <row r="2039">
          <cell r="C2039" t="str">
            <v>513822199812036937</v>
          </cell>
          <cell r="D2039" t="str">
            <v>男</v>
          </cell>
          <cell r="E2039" t="str">
            <v>汉族</v>
          </cell>
          <cell r="F2039" t="str">
            <v>19981203</v>
          </cell>
          <cell r="G2039">
            <v>23</v>
          </cell>
          <cell r="H2039" t="str">
            <v>四川省仁寿县贵平镇中岗村11组</v>
          </cell>
          <cell r="I2039">
            <v>17321916053</v>
          </cell>
        </row>
        <row r="2040">
          <cell r="C2040" t="str">
            <v>511121193309106949</v>
          </cell>
          <cell r="D2040" t="str">
            <v>女</v>
          </cell>
          <cell r="E2040" t="str">
            <v>汉族</v>
          </cell>
          <cell r="F2040" t="str">
            <v>19330910</v>
          </cell>
          <cell r="G2040">
            <v>88</v>
          </cell>
          <cell r="H2040" t="str">
            <v>四川省仁寿县贵平镇中岗村11组</v>
          </cell>
        </row>
        <row r="2041">
          <cell r="C2041" t="str">
            <v>511121195512126936</v>
          </cell>
          <cell r="D2041" t="str">
            <v>男</v>
          </cell>
          <cell r="E2041" t="str">
            <v>汉族</v>
          </cell>
          <cell r="F2041" t="str">
            <v>19551212</v>
          </cell>
          <cell r="G2041">
            <v>66</v>
          </cell>
          <cell r="H2041" t="str">
            <v>四川省仁寿县贵平镇中岗村11组</v>
          </cell>
          <cell r="I2041">
            <v>13158769597</v>
          </cell>
        </row>
        <row r="2042">
          <cell r="C2042" t="str">
            <v>51112119531001694X</v>
          </cell>
          <cell r="D2042" t="str">
            <v>女</v>
          </cell>
          <cell r="E2042" t="str">
            <v>汉族</v>
          </cell>
          <cell r="F2042" t="str">
            <v>19531001</v>
          </cell>
          <cell r="G2042">
            <v>68</v>
          </cell>
          <cell r="H2042" t="str">
            <v>四川省仁寿县贵平镇中岗村11组</v>
          </cell>
        </row>
        <row r="2043">
          <cell r="C2043" t="str">
            <v>511121197810066950</v>
          </cell>
          <cell r="D2043" t="str">
            <v>男</v>
          </cell>
          <cell r="E2043" t="str">
            <v>汉族</v>
          </cell>
          <cell r="F2043" t="str">
            <v>19781006</v>
          </cell>
          <cell r="G2043">
            <v>43</v>
          </cell>
          <cell r="H2043" t="str">
            <v>四川省仁寿县贵平镇中岗村11组</v>
          </cell>
          <cell r="I2043">
            <v>18381458880</v>
          </cell>
        </row>
        <row r="2044">
          <cell r="C2044" t="str">
            <v>511121195009096952</v>
          </cell>
          <cell r="D2044" t="str">
            <v>男</v>
          </cell>
          <cell r="E2044" t="str">
            <v>汉族</v>
          </cell>
          <cell r="F2044" t="str">
            <v>19500909</v>
          </cell>
          <cell r="G2044">
            <v>71</v>
          </cell>
          <cell r="H2044" t="str">
            <v>四川省仁寿县贵平镇中岗村11组</v>
          </cell>
          <cell r="I2044">
            <v>15390916834</v>
          </cell>
        </row>
        <row r="2045">
          <cell r="C2045" t="str">
            <v>511121194908206946</v>
          </cell>
          <cell r="D2045" t="str">
            <v>女</v>
          </cell>
          <cell r="E2045" t="str">
            <v>汉族</v>
          </cell>
          <cell r="F2045" t="str">
            <v>19490820</v>
          </cell>
          <cell r="G2045">
            <v>72</v>
          </cell>
          <cell r="H2045" t="str">
            <v>四川省仁寿县贵平镇中岗村11组</v>
          </cell>
        </row>
        <row r="2046">
          <cell r="C2046" t="str">
            <v>511121198005066944</v>
          </cell>
          <cell r="D2046" t="str">
            <v>女</v>
          </cell>
          <cell r="E2046" t="str">
            <v>汉族</v>
          </cell>
          <cell r="F2046" t="str">
            <v>19800506</v>
          </cell>
          <cell r="G2046">
            <v>41</v>
          </cell>
          <cell r="H2046" t="str">
            <v>四川省仁寿县贵平镇中岗村11组</v>
          </cell>
          <cell r="I2046">
            <v>18180716751</v>
          </cell>
        </row>
        <row r="2047">
          <cell r="C2047" t="str">
            <v>511121197208056936</v>
          </cell>
          <cell r="D2047" t="str">
            <v>男</v>
          </cell>
          <cell r="E2047" t="str">
            <v>汉族</v>
          </cell>
          <cell r="F2047" t="str">
            <v>19720805</v>
          </cell>
          <cell r="G2047">
            <v>49</v>
          </cell>
          <cell r="H2047" t="str">
            <v>四川省仁寿县贵平镇中岗村11组</v>
          </cell>
          <cell r="I2047">
            <v>18180067956</v>
          </cell>
        </row>
        <row r="2048">
          <cell r="C2048" t="str">
            <v>511121197402056948</v>
          </cell>
          <cell r="D2048" t="str">
            <v>女</v>
          </cell>
          <cell r="E2048" t="str">
            <v>汉族</v>
          </cell>
          <cell r="F2048" t="str">
            <v>19740205</v>
          </cell>
          <cell r="G2048">
            <v>47</v>
          </cell>
          <cell r="H2048" t="str">
            <v>四川省仁寿县贵平镇中岗村11组</v>
          </cell>
          <cell r="I2048">
            <v>18990367296</v>
          </cell>
        </row>
        <row r="2049">
          <cell r="C2049" t="str">
            <v>513822199710286943</v>
          </cell>
          <cell r="D2049" t="str">
            <v>女</v>
          </cell>
          <cell r="E2049" t="str">
            <v>汉族</v>
          </cell>
          <cell r="F2049" t="str">
            <v>19971028</v>
          </cell>
          <cell r="G2049">
            <v>24</v>
          </cell>
          <cell r="H2049" t="str">
            <v>四川省仁寿县贵平镇中岗村11组</v>
          </cell>
          <cell r="I2049">
            <v>18090478336</v>
          </cell>
        </row>
        <row r="2050">
          <cell r="C2050" t="str">
            <v>513822199609106936</v>
          </cell>
          <cell r="D2050" t="str">
            <v>男</v>
          </cell>
          <cell r="E2050" t="str">
            <v>汉族</v>
          </cell>
          <cell r="F2050" t="str">
            <v>19960910</v>
          </cell>
          <cell r="G2050">
            <v>25</v>
          </cell>
          <cell r="H2050" t="str">
            <v>四川省仁寿县贵平镇中岗村11组</v>
          </cell>
          <cell r="I2050">
            <v>17360698988</v>
          </cell>
        </row>
        <row r="2051">
          <cell r="C2051" t="str">
            <v>511421201711070263</v>
          </cell>
          <cell r="D2051" t="str">
            <v>女</v>
          </cell>
          <cell r="E2051" t="str">
            <v>汉族</v>
          </cell>
          <cell r="F2051" t="str">
            <v>20171107</v>
          </cell>
          <cell r="G2051">
            <v>4</v>
          </cell>
          <cell r="H2051" t="str">
            <v>四川省仁寿县贵平镇中岗村11组</v>
          </cell>
        </row>
        <row r="2052">
          <cell r="C2052" t="str">
            <v>511421201909270025</v>
          </cell>
          <cell r="D2052" t="str">
            <v>女</v>
          </cell>
          <cell r="E2052" t="str">
            <v>汉族</v>
          </cell>
          <cell r="F2052" t="str">
            <v>20190927</v>
          </cell>
          <cell r="G2052">
            <v>2</v>
          </cell>
          <cell r="H2052" t="str">
            <v>四川省仁寿县贵平镇中岗村11组</v>
          </cell>
        </row>
        <row r="2053">
          <cell r="C2053" t="str">
            <v>511121196210086937</v>
          </cell>
          <cell r="D2053" t="str">
            <v>男</v>
          </cell>
          <cell r="E2053" t="str">
            <v>汉族</v>
          </cell>
          <cell r="F2053" t="str">
            <v>19621008</v>
          </cell>
          <cell r="G2053">
            <v>59</v>
          </cell>
          <cell r="H2053" t="str">
            <v>四川省仁寿县贵平镇中岗村11组</v>
          </cell>
          <cell r="I2053">
            <v>17381758994</v>
          </cell>
        </row>
        <row r="2054">
          <cell r="C2054" t="str">
            <v>511121196802206947</v>
          </cell>
          <cell r="D2054" t="str">
            <v>女</v>
          </cell>
          <cell r="E2054" t="str">
            <v>汉族</v>
          </cell>
          <cell r="F2054" t="str">
            <v>19680220</v>
          </cell>
          <cell r="G2054">
            <v>53</v>
          </cell>
          <cell r="H2054" t="str">
            <v>四川省仁寿县贵平镇中岗村11组</v>
          </cell>
          <cell r="I2054">
            <v>15328785803</v>
          </cell>
        </row>
        <row r="2055">
          <cell r="C2055" t="str">
            <v>513822199112286935</v>
          </cell>
          <cell r="D2055" t="str">
            <v>男</v>
          </cell>
          <cell r="E2055" t="str">
            <v>汉族</v>
          </cell>
          <cell r="F2055" t="str">
            <v>19911228</v>
          </cell>
          <cell r="G2055">
            <v>30</v>
          </cell>
          <cell r="H2055" t="str">
            <v>四川省仁寿县贵平镇中岗村11组</v>
          </cell>
          <cell r="I2055">
            <v>18011282087</v>
          </cell>
        </row>
        <row r="2056">
          <cell r="C2056" t="str">
            <v>513822200009176717</v>
          </cell>
          <cell r="D2056" t="str">
            <v>男</v>
          </cell>
          <cell r="E2056" t="str">
            <v>汉族</v>
          </cell>
          <cell r="F2056" t="str">
            <v>20000917</v>
          </cell>
          <cell r="G2056">
            <v>21</v>
          </cell>
          <cell r="H2056" t="str">
            <v>四川省仁寿县贵平镇中岗村11组</v>
          </cell>
          <cell r="I2056">
            <v>15378649153</v>
          </cell>
        </row>
        <row r="2057">
          <cell r="C2057" t="str">
            <v>511421201810080168</v>
          </cell>
          <cell r="D2057" t="str">
            <v>女</v>
          </cell>
          <cell r="E2057" t="str">
            <v>汉族</v>
          </cell>
          <cell r="F2057">
            <v>20181008</v>
          </cell>
          <cell r="G2057">
            <v>3</v>
          </cell>
          <cell r="H2057" t="str">
            <v>四川省仁寿县贵平镇中岗村11组</v>
          </cell>
        </row>
        <row r="2058">
          <cell r="C2058" t="str">
            <v>513822198908136938</v>
          </cell>
          <cell r="D2058" t="str">
            <v>男</v>
          </cell>
          <cell r="E2058" t="str">
            <v>汉族</v>
          </cell>
          <cell r="F2058" t="str">
            <v>19890813</v>
          </cell>
          <cell r="G2058">
            <v>32</v>
          </cell>
          <cell r="H2058" t="str">
            <v>四川省仁寿县贵平镇中岗村11组</v>
          </cell>
          <cell r="I2058">
            <v>17341956320</v>
          </cell>
        </row>
        <row r="2059">
          <cell r="C2059" t="str">
            <v>510129199412254648</v>
          </cell>
          <cell r="D2059" t="str">
            <v>女</v>
          </cell>
          <cell r="E2059" t="str">
            <v>汉族</v>
          </cell>
          <cell r="F2059" t="str">
            <v>19941225</v>
          </cell>
          <cell r="G2059">
            <v>27</v>
          </cell>
          <cell r="H2059" t="str">
            <v>四川省仁寿县贵平镇中岗村11组</v>
          </cell>
          <cell r="I2059">
            <v>18224404946</v>
          </cell>
        </row>
        <row r="2060">
          <cell r="C2060" t="str">
            <v>511421201510136860</v>
          </cell>
          <cell r="D2060" t="str">
            <v>女</v>
          </cell>
          <cell r="E2060" t="str">
            <v>汉族</v>
          </cell>
          <cell r="F2060" t="str">
            <v>20151013</v>
          </cell>
          <cell r="G2060">
            <v>6</v>
          </cell>
          <cell r="H2060" t="str">
            <v>四川省仁寿县贵平镇中岗村11组</v>
          </cell>
        </row>
        <row r="2061">
          <cell r="C2061" t="str">
            <v>511121196602246936</v>
          </cell>
          <cell r="D2061" t="str">
            <v>男</v>
          </cell>
          <cell r="E2061" t="str">
            <v>汉族</v>
          </cell>
          <cell r="F2061" t="str">
            <v>19660224</v>
          </cell>
          <cell r="G2061">
            <v>55</v>
          </cell>
          <cell r="H2061" t="str">
            <v>四川省仁寿县贵平镇中岗村11组</v>
          </cell>
          <cell r="I2061">
            <v>18141390436</v>
          </cell>
        </row>
        <row r="2062">
          <cell r="C2062" t="str">
            <v>511121196803176962</v>
          </cell>
          <cell r="D2062" t="str">
            <v>女</v>
          </cell>
          <cell r="E2062" t="str">
            <v>汉族</v>
          </cell>
          <cell r="F2062" t="str">
            <v>19680317</v>
          </cell>
          <cell r="G2062">
            <v>53</v>
          </cell>
          <cell r="H2062" t="str">
            <v>四川省仁寿县贵平镇中岗村11组</v>
          </cell>
          <cell r="I2062">
            <v>15328745021</v>
          </cell>
        </row>
        <row r="2063">
          <cell r="C2063" t="str">
            <v>513822199111246931</v>
          </cell>
          <cell r="D2063" t="str">
            <v>男</v>
          </cell>
          <cell r="E2063" t="str">
            <v>汉族</v>
          </cell>
          <cell r="F2063" t="str">
            <v>19911124</v>
          </cell>
          <cell r="G2063">
            <v>30</v>
          </cell>
          <cell r="H2063" t="str">
            <v>四川省仁寿县贵平镇中岗村11组</v>
          </cell>
          <cell r="I2063">
            <v>15828671970</v>
          </cell>
        </row>
        <row r="2064">
          <cell r="C2064" t="str">
            <v>51142120170824009X</v>
          </cell>
          <cell r="D2064" t="str">
            <v>男</v>
          </cell>
          <cell r="E2064" t="str">
            <v>汉族</v>
          </cell>
          <cell r="F2064" t="str">
            <v>20170824</v>
          </cell>
          <cell r="G2064">
            <v>4</v>
          </cell>
          <cell r="H2064" t="str">
            <v>四川省仁寿县贵平镇中岗村11组</v>
          </cell>
        </row>
        <row r="2065">
          <cell r="C2065" t="str">
            <v>511121193603186935</v>
          </cell>
          <cell r="D2065" t="str">
            <v>男</v>
          </cell>
          <cell r="E2065" t="str">
            <v>汉族</v>
          </cell>
          <cell r="F2065" t="str">
            <v>19360318</v>
          </cell>
          <cell r="G2065">
            <v>85</v>
          </cell>
          <cell r="H2065" t="str">
            <v>四川省仁寿县贵平镇中岗村11组</v>
          </cell>
          <cell r="I2065">
            <v>18583824091</v>
          </cell>
        </row>
        <row r="2066">
          <cell r="C2066" t="str">
            <v>511121193901246940</v>
          </cell>
          <cell r="D2066" t="str">
            <v>女</v>
          </cell>
          <cell r="E2066" t="str">
            <v>汉族</v>
          </cell>
          <cell r="F2066" t="str">
            <v>19390124</v>
          </cell>
          <cell r="G2066">
            <v>82</v>
          </cell>
          <cell r="H2066" t="str">
            <v>四川省仁寿县贵平镇中岗村11组</v>
          </cell>
        </row>
        <row r="2067">
          <cell r="C2067" t="str">
            <v>511121196405106934</v>
          </cell>
          <cell r="D2067" t="str">
            <v>男</v>
          </cell>
          <cell r="E2067" t="str">
            <v>汉族</v>
          </cell>
          <cell r="F2067" t="str">
            <v>19640510</v>
          </cell>
          <cell r="G2067">
            <v>57</v>
          </cell>
          <cell r="H2067" t="str">
            <v>四川省仁寿县贵平镇中岗村11组</v>
          </cell>
        </row>
        <row r="2068">
          <cell r="C2068" t="str">
            <v>511421201504076873</v>
          </cell>
          <cell r="D2068" t="str">
            <v>男</v>
          </cell>
          <cell r="E2068" t="str">
            <v>汉族</v>
          </cell>
          <cell r="F2068" t="str">
            <v>20150407</v>
          </cell>
          <cell r="G2068">
            <v>6</v>
          </cell>
          <cell r="H2068" t="str">
            <v>四川省仁寿县贵平镇中岗村11组</v>
          </cell>
        </row>
        <row r="2069">
          <cell r="C2069" t="str">
            <v>511121197005206965</v>
          </cell>
          <cell r="D2069" t="str">
            <v>女</v>
          </cell>
          <cell r="E2069" t="str">
            <v>汉族</v>
          </cell>
          <cell r="F2069" t="str">
            <v>19700520</v>
          </cell>
          <cell r="G2069">
            <v>51</v>
          </cell>
          <cell r="H2069" t="str">
            <v>四川省仁寿县贵平镇中岗村11组</v>
          </cell>
        </row>
        <row r="2070">
          <cell r="C2070" t="str">
            <v>51382219911220694X</v>
          </cell>
          <cell r="D2070" t="str">
            <v>女</v>
          </cell>
          <cell r="E2070" t="str">
            <v>汉族</v>
          </cell>
          <cell r="F2070" t="str">
            <v>19911220</v>
          </cell>
          <cell r="G2070">
            <v>30</v>
          </cell>
          <cell r="H2070" t="str">
            <v>四川省仁寿县贵平镇中岗村11组</v>
          </cell>
        </row>
        <row r="2071">
          <cell r="C2071" t="str">
            <v>511121196710286935</v>
          </cell>
          <cell r="D2071" t="str">
            <v>男</v>
          </cell>
          <cell r="E2071" t="str">
            <v>汉族</v>
          </cell>
          <cell r="F2071" t="str">
            <v>19671028</v>
          </cell>
          <cell r="G2071">
            <v>54</v>
          </cell>
          <cell r="H2071" t="str">
            <v>四川省仁寿县贵平镇中岗村11组</v>
          </cell>
          <cell r="I2071">
            <v>13551316390</v>
          </cell>
        </row>
        <row r="2072">
          <cell r="C2072" t="str">
            <v>513822199212106938</v>
          </cell>
          <cell r="D2072" t="str">
            <v>男</v>
          </cell>
          <cell r="E2072" t="str">
            <v>汉族</v>
          </cell>
          <cell r="F2072" t="str">
            <v>19921210</v>
          </cell>
          <cell r="G2072">
            <v>29</v>
          </cell>
          <cell r="H2072" t="str">
            <v>四川省仁寿县贵平镇中岗村11组</v>
          </cell>
          <cell r="I2072">
            <v>18215505725</v>
          </cell>
        </row>
        <row r="2073">
          <cell r="C2073" t="str">
            <v>51112119740208675X</v>
          </cell>
          <cell r="D2073" t="str">
            <v>男</v>
          </cell>
          <cell r="E2073" t="str">
            <v>汉族</v>
          </cell>
          <cell r="F2073" t="str">
            <v>19740208</v>
          </cell>
          <cell r="G2073">
            <v>47</v>
          </cell>
          <cell r="H2073" t="str">
            <v>四川省仁寿县贵平镇中岗村11组</v>
          </cell>
          <cell r="I2073">
            <v>13540467341</v>
          </cell>
        </row>
        <row r="2074">
          <cell r="C2074" t="str">
            <v>511121197601206961</v>
          </cell>
          <cell r="D2074" t="str">
            <v>女</v>
          </cell>
          <cell r="E2074" t="str">
            <v>汉族</v>
          </cell>
          <cell r="F2074" t="str">
            <v>19760120</v>
          </cell>
          <cell r="G2074">
            <v>45</v>
          </cell>
          <cell r="H2074" t="str">
            <v>四川省仁寿县贵平镇中岗村11组</v>
          </cell>
          <cell r="I2074">
            <v>13540467341</v>
          </cell>
        </row>
        <row r="2075">
          <cell r="C2075" t="str">
            <v>513822199712126935</v>
          </cell>
          <cell r="D2075" t="str">
            <v>男</v>
          </cell>
          <cell r="E2075" t="str">
            <v>汉族</v>
          </cell>
          <cell r="F2075" t="str">
            <v>19971212</v>
          </cell>
          <cell r="G2075">
            <v>24</v>
          </cell>
          <cell r="H2075" t="str">
            <v>四川省仁寿县贵平镇中岗村11组</v>
          </cell>
          <cell r="I2075">
            <v>17891924854</v>
          </cell>
        </row>
        <row r="2076">
          <cell r="C2076" t="str">
            <v>513822199704186946</v>
          </cell>
          <cell r="D2076" t="str">
            <v>女</v>
          </cell>
          <cell r="E2076" t="str">
            <v>汉族</v>
          </cell>
          <cell r="F2076" t="str">
            <v>19970418</v>
          </cell>
          <cell r="G2076">
            <v>24</v>
          </cell>
          <cell r="H2076" t="str">
            <v>四川省仁寿县贵平镇中岗村11组</v>
          </cell>
          <cell r="I2076">
            <v>13882031562</v>
          </cell>
        </row>
        <row r="2077">
          <cell r="C2077" t="str">
            <v>511121195005256939</v>
          </cell>
          <cell r="D2077" t="str">
            <v>男</v>
          </cell>
          <cell r="E2077" t="str">
            <v>汉族</v>
          </cell>
          <cell r="F2077" t="str">
            <v>19500525</v>
          </cell>
          <cell r="G2077">
            <v>71</v>
          </cell>
          <cell r="H2077" t="str">
            <v>四川省仁寿县贵平镇中岗村11组</v>
          </cell>
        </row>
        <row r="2078">
          <cell r="C2078" t="str">
            <v>511121195209216971</v>
          </cell>
          <cell r="D2078" t="str">
            <v>男</v>
          </cell>
          <cell r="E2078" t="str">
            <v>汉族</v>
          </cell>
          <cell r="F2078" t="str">
            <v>19520921</v>
          </cell>
          <cell r="G2078">
            <v>69</v>
          </cell>
          <cell r="H2078" t="str">
            <v>四川省仁寿县贵平镇中岗村11组</v>
          </cell>
          <cell r="I2078">
            <v>13198341633</v>
          </cell>
        </row>
        <row r="2079">
          <cell r="C2079" t="str">
            <v>511121195111116948</v>
          </cell>
          <cell r="D2079" t="str">
            <v>女</v>
          </cell>
          <cell r="E2079" t="str">
            <v>汉族</v>
          </cell>
          <cell r="F2079" t="str">
            <v>19511111</v>
          </cell>
          <cell r="G2079">
            <v>70</v>
          </cell>
          <cell r="H2079" t="str">
            <v>四川省仁寿县贵平镇中岗村11组</v>
          </cell>
          <cell r="I2079">
            <v>18384772004</v>
          </cell>
        </row>
        <row r="2080">
          <cell r="C2080" t="str">
            <v>511121196408096938</v>
          </cell>
          <cell r="D2080" t="str">
            <v>男</v>
          </cell>
          <cell r="E2080" t="str">
            <v>汉族</v>
          </cell>
          <cell r="F2080" t="str">
            <v>19640809</v>
          </cell>
          <cell r="G2080">
            <v>57</v>
          </cell>
          <cell r="H2080" t="str">
            <v>四川省仁寿县贵平镇中岗村11组</v>
          </cell>
          <cell r="I2080">
            <v>15228939055</v>
          </cell>
        </row>
        <row r="2081">
          <cell r="C2081" t="str">
            <v>511121196504266941</v>
          </cell>
          <cell r="D2081" t="str">
            <v>女</v>
          </cell>
          <cell r="E2081" t="str">
            <v>汉族</v>
          </cell>
          <cell r="F2081" t="str">
            <v>19650426</v>
          </cell>
          <cell r="G2081">
            <v>56</v>
          </cell>
          <cell r="H2081" t="str">
            <v>四川省仁寿县贵平镇中岗村11组</v>
          </cell>
        </row>
        <row r="2082">
          <cell r="C2082" t="str">
            <v>511121193006166944</v>
          </cell>
          <cell r="D2082" t="str">
            <v>女</v>
          </cell>
          <cell r="E2082" t="str">
            <v>汉族</v>
          </cell>
          <cell r="F2082" t="str">
            <v>19300616</v>
          </cell>
          <cell r="G2082">
            <v>91</v>
          </cell>
          <cell r="H2082" t="str">
            <v>四川省仁寿县贵平镇中岗村11组</v>
          </cell>
        </row>
        <row r="2083">
          <cell r="C2083" t="str">
            <v>513822199404256957</v>
          </cell>
          <cell r="D2083" t="str">
            <v>男</v>
          </cell>
          <cell r="E2083" t="str">
            <v>汉族</v>
          </cell>
          <cell r="F2083" t="str">
            <v>19940425</v>
          </cell>
          <cell r="G2083">
            <v>27</v>
          </cell>
          <cell r="H2083" t="str">
            <v>四川省仁寿县贵平镇中岗村11组</v>
          </cell>
          <cell r="I2083">
            <v>15528453612</v>
          </cell>
        </row>
        <row r="2084">
          <cell r="C2084" t="str">
            <v>511121196606066932</v>
          </cell>
          <cell r="D2084" t="str">
            <v>男</v>
          </cell>
          <cell r="E2084" t="str">
            <v>汉族</v>
          </cell>
          <cell r="F2084" t="str">
            <v>19660606</v>
          </cell>
          <cell r="G2084">
            <v>55</v>
          </cell>
          <cell r="H2084" t="str">
            <v>四川省仁寿县贵平镇中岗村11组</v>
          </cell>
          <cell r="I2084">
            <v>18783382489</v>
          </cell>
        </row>
        <row r="2085">
          <cell r="C2085" t="str">
            <v>511121196606216945</v>
          </cell>
          <cell r="D2085" t="str">
            <v>女</v>
          </cell>
          <cell r="E2085" t="str">
            <v>汉族</v>
          </cell>
          <cell r="F2085" t="str">
            <v>19660621</v>
          </cell>
          <cell r="G2085">
            <v>55</v>
          </cell>
          <cell r="H2085" t="str">
            <v>四川省仁寿县贵平镇中岗村11组</v>
          </cell>
        </row>
        <row r="2086">
          <cell r="C2086" t="str">
            <v>513822198809266948</v>
          </cell>
          <cell r="D2086" t="str">
            <v>女</v>
          </cell>
          <cell r="E2086" t="str">
            <v>汉族</v>
          </cell>
          <cell r="F2086" t="str">
            <v>19880926</v>
          </cell>
          <cell r="G2086">
            <v>33</v>
          </cell>
          <cell r="H2086" t="str">
            <v>四川省仁寿县贵平镇中岗村11组</v>
          </cell>
          <cell r="I2086">
            <v>18782325893</v>
          </cell>
        </row>
        <row r="2087">
          <cell r="C2087" t="str">
            <v>513822199412086935</v>
          </cell>
          <cell r="D2087" t="str">
            <v>男</v>
          </cell>
          <cell r="E2087" t="str">
            <v>汉族</v>
          </cell>
          <cell r="F2087" t="str">
            <v>19941208</v>
          </cell>
          <cell r="G2087">
            <v>27</v>
          </cell>
          <cell r="H2087" t="str">
            <v>四川省仁寿县贵平镇中岗村11组</v>
          </cell>
          <cell r="I2087">
            <v>18783382488</v>
          </cell>
        </row>
        <row r="2088">
          <cell r="C2088" t="str">
            <v>51142120080109677X</v>
          </cell>
          <cell r="D2088" t="str">
            <v>男</v>
          </cell>
          <cell r="E2088" t="str">
            <v>汉族</v>
          </cell>
          <cell r="F2088" t="str">
            <v>20080109</v>
          </cell>
          <cell r="G2088">
            <v>13</v>
          </cell>
          <cell r="H2088" t="str">
            <v>四川省仁寿县贵平镇中岗村11组</v>
          </cell>
        </row>
        <row r="2089">
          <cell r="C2089" t="str">
            <v>511121197108116938</v>
          </cell>
          <cell r="D2089" t="str">
            <v>男</v>
          </cell>
          <cell r="E2089" t="str">
            <v>汉族</v>
          </cell>
          <cell r="F2089" t="str">
            <v>19710811</v>
          </cell>
          <cell r="G2089">
            <v>50</v>
          </cell>
          <cell r="H2089" t="str">
            <v>四川省仁寿县贵平镇中岗村11组</v>
          </cell>
          <cell r="I2089">
            <v>13990328368</v>
          </cell>
        </row>
        <row r="2090">
          <cell r="C2090" t="str">
            <v>511121197201246948</v>
          </cell>
          <cell r="D2090" t="str">
            <v>女</v>
          </cell>
          <cell r="E2090" t="str">
            <v>汉族</v>
          </cell>
          <cell r="F2090" t="str">
            <v>19720124</v>
          </cell>
          <cell r="G2090">
            <v>49</v>
          </cell>
          <cell r="H2090" t="str">
            <v>四川省仁寿县贵平镇中岗村11组</v>
          </cell>
          <cell r="I2090">
            <v>15184404395</v>
          </cell>
        </row>
        <row r="2091">
          <cell r="C2091" t="str">
            <v>513822199502126945</v>
          </cell>
          <cell r="D2091" t="str">
            <v>女</v>
          </cell>
          <cell r="E2091" t="str">
            <v>汉族</v>
          </cell>
          <cell r="F2091" t="str">
            <v>19950212</v>
          </cell>
          <cell r="G2091">
            <v>26</v>
          </cell>
          <cell r="H2091" t="str">
            <v>四川省仁寿县贵平镇中岗村11组</v>
          </cell>
          <cell r="I2091">
            <v>18328078641</v>
          </cell>
        </row>
        <row r="2092">
          <cell r="C2092" t="str">
            <v>513822199711176930</v>
          </cell>
          <cell r="D2092" t="str">
            <v>男</v>
          </cell>
          <cell r="E2092" t="str">
            <v>汉族</v>
          </cell>
          <cell r="F2092" t="str">
            <v>19971117</v>
          </cell>
          <cell r="G2092">
            <v>24</v>
          </cell>
          <cell r="H2092" t="str">
            <v>四川省仁寿县贵平镇中岗村11组</v>
          </cell>
        </row>
        <row r="2093">
          <cell r="C2093" t="str">
            <v>51142020191008035X</v>
          </cell>
          <cell r="D2093" t="str">
            <v>男</v>
          </cell>
          <cell r="E2093" t="str">
            <v>汉族</v>
          </cell>
          <cell r="F2093" t="str">
            <v>20191008</v>
          </cell>
          <cell r="G2093">
            <v>2</v>
          </cell>
          <cell r="H2093" t="str">
            <v>四川省仁寿县贵平镇中岗村11组</v>
          </cell>
        </row>
        <row r="2094">
          <cell r="C2094" t="str">
            <v>511121194904126930</v>
          </cell>
          <cell r="D2094" t="str">
            <v>男</v>
          </cell>
          <cell r="E2094" t="str">
            <v>汉族</v>
          </cell>
          <cell r="F2094" t="str">
            <v>19490412</v>
          </cell>
          <cell r="G2094">
            <v>72</v>
          </cell>
          <cell r="H2094" t="str">
            <v>四川省仁寿县贵平镇中岗村11组</v>
          </cell>
          <cell r="I2094">
            <v>36850285</v>
          </cell>
        </row>
        <row r="2095">
          <cell r="C2095" t="str">
            <v>511121195010236940</v>
          </cell>
          <cell r="D2095" t="str">
            <v>女</v>
          </cell>
          <cell r="E2095" t="str">
            <v>汉族</v>
          </cell>
          <cell r="F2095" t="str">
            <v>19501023</v>
          </cell>
          <cell r="G2095">
            <v>71</v>
          </cell>
          <cell r="H2095" t="str">
            <v>四川省仁寿县贵平镇中岗村11组</v>
          </cell>
        </row>
        <row r="2096">
          <cell r="C2096" t="str">
            <v>511121197612036937</v>
          </cell>
          <cell r="D2096" t="str">
            <v>男</v>
          </cell>
          <cell r="E2096" t="str">
            <v>汉族</v>
          </cell>
          <cell r="F2096" t="str">
            <v>19761203</v>
          </cell>
          <cell r="G2096">
            <v>45</v>
          </cell>
          <cell r="H2096" t="str">
            <v>四川省仁寿县贵平镇中岗村11组</v>
          </cell>
          <cell r="I2096">
            <v>19982638681</v>
          </cell>
        </row>
        <row r="2097">
          <cell r="C2097" t="str">
            <v>511121197510236946</v>
          </cell>
          <cell r="D2097" t="str">
            <v>女</v>
          </cell>
          <cell r="E2097" t="str">
            <v>汉族</v>
          </cell>
          <cell r="F2097" t="str">
            <v>19751023</v>
          </cell>
          <cell r="G2097">
            <v>46</v>
          </cell>
          <cell r="H2097" t="str">
            <v>四川省仁寿县贵平镇中岗村11组</v>
          </cell>
          <cell r="I2097">
            <v>15883301636</v>
          </cell>
        </row>
        <row r="2098">
          <cell r="C2098" t="str">
            <v>511421201208126880</v>
          </cell>
          <cell r="D2098" t="str">
            <v>女</v>
          </cell>
          <cell r="E2098" t="str">
            <v>汉族</v>
          </cell>
          <cell r="F2098" t="str">
            <v>20120812</v>
          </cell>
          <cell r="G2098">
            <v>9</v>
          </cell>
          <cell r="H2098" t="str">
            <v>四川省仁寿县贵平镇中岗村11组</v>
          </cell>
        </row>
        <row r="2099">
          <cell r="C2099" t="str">
            <v>511421200307166728</v>
          </cell>
          <cell r="D2099" t="str">
            <v>女</v>
          </cell>
          <cell r="E2099" t="str">
            <v>汉族</v>
          </cell>
          <cell r="F2099" t="str">
            <v>20030716</v>
          </cell>
          <cell r="G2099">
            <v>18</v>
          </cell>
          <cell r="H2099" t="str">
            <v>四川省仁寿县贵平镇中岗村11组</v>
          </cell>
          <cell r="I2099">
            <v>19982647891</v>
          </cell>
        </row>
        <row r="2100">
          <cell r="C2100" t="str">
            <v>511121196709126950</v>
          </cell>
          <cell r="D2100" t="str">
            <v>男</v>
          </cell>
          <cell r="E2100" t="str">
            <v>汉族</v>
          </cell>
          <cell r="F2100" t="str">
            <v>19670912</v>
          </cell>
          <cell r="G2100">
            <v>54</v>
          </cell>
          <cell r="H2100" t="str">
            <v>四川省仁寿县贵平镇中岗村11组</v>
          </cell>
          <cell r="I2100">
            <v>13970808103</v>
          </cell>
        </row>
        <row r="2101">
          <cell r="C2101" t="str">
            <v>51142119990601670X</v>
          </cell>
          <cell r="D2101" t="str">
            <v>女</v>
          </cell>
          <cell r="E2101" t="str">
            <v>汉族</v>
          </cell>
          <cell r="F2101" t="str">
            <v>19990601</v>
          </cell>
          <cell r="G2101">
            <v>22</v>
          </cell>
          <cell r="H2101" t="str">
            <v>四川省仁寿县贵平镇中岗村11组</v>
          </cell>
          <cell r="I2101">
            <v>13699560826</v>
          </cell>
        </row>
        <row r="2102">
          <cell r="C2102" t="str">
            <v>51142120060730693X</v>
          </cell>
          <cell r="D2102" t="str">
            <v>男</v>
          </cell>
          <cell r="E2102" t="str">
            <v>汉族</v>
          </cell>
          <cell r="F2102" t="str">
            <v>20060730</v>
          </cell>
          <cell r="G2102">
            <v>15</v>
          </cell>
          <cell r="H2102" t="str">
            <v>四川省仁寿县贵平镇中岗村11组</v>
          </cell>
        </row>
        <row r="2103">
          <cell r="C2103" t="str">
            <v>511421199906016726</v>
          </cell>
          <cell r="D2103" t="str">
            <v>女</v>
          </cell>
          <cell r="E2103" t="str">
            <v>汉族</v>
          </cell>
          <cell r="F2103" t="str">
            <v>19990601</v>
          </cell>
          <cell r="G2103">
            <v>22</v>
          </cell>
          <cell r="H2103" t="str">
            <v>四川省仁寿县贵平镇中岗村11组</v>
          </cell>
          <cell r="I2103">
            <v>15879070092</v>
          </cell>
        </row>
        <row r="2104">
          <cell r="C2104" t="str">
            <v>511121194510166964</v>
          </cell>
          <cell r="D2104" t="str">
            <v>女</v>
          </cell>
          <cell r="E2104" t="str">
            <v>汉族</v>
          </cell>
          <cell r="F2104" t="str">
            <v>19451016</v>
          </cell>
          <cell r="G2104">
            <v>76</v>
          </cell>
          <cell r="H2104" t="str">
            <v>四川省仁寿县贵平镇中岗村11组</v>
          </cell>
          <cell r="I2104">
            <v>15182249835</v>
          </cell>
        </row>
        <row r="2105">
          <cell r="C2105" t="str">
            <v>511421201304196862</v>
          </cell>
          <cell r="D2105" t="str">
            <v>女</v>
          </cell>
          <cell r="E2105" t="str">
            <v>汉族</v>
          </cell>
          <cell r="F2105" t="str">
            <v>20130419</v>
          </cell>
          <cell r="G2105">
            <v>8</v>
          </cell>
          <cell r="H2105" t="str">
            <v>四川省仁寿县贵平镇中岗村11组</v>
          </cell>
        </row>
        <row r="2106">
          <cell r="C2106" t="str">
            <v>51112119721020693X</v>
          </cell>
          <cell r="D2106" t="str">
            <v>男</v>
          </cell>
          <cell r="E2106" t="str">
            <v>汉族</v>
          </cell>
          <cell r="F2106" t="str">
            <v>19721020</v>
          </cell>
          <cell r="G2106">
            <v>49</v>
          </cell>
          <cell r="H2106" t="str">
            <v>四川省仁寿县贵平镇中岗村11组</v>
          </cell>
          <cell r="I2106">
            <v>18328265889</v>
          </cell>
        </row>
        <row r="2107">
          <cell r="C2107" t="str">
            <v>513822199810066948</v>
          </cell>
          <cell r="D2107" t="str">
            <v>女</v>
          </cell>
          <cell r="E2107" t="str">
            <v>汉族</v>
          </cell>
          <cell r="F2107" t="str">
            <v>19981006</v>
          </cell>
          <cell r="G2107">
            <v>23</v>
          </cell>
          <cell r="H2107" t="str">
            <v>四川省仁寿县贵平镇中岗村11组</v>
          </cell>
          <cell r="I2107">
            <v>18380222314</v>
          </cell>
        </row>
        <row r="2108">
          <cell r="C2108" t="str">
            <v>511121197208086959</v>
          </cell>
          <cell r="D2108" t="str">
            <v>男</v>
          </cell>
          <cell r="E2108" t="str">
            <v>汉族</v>
          </cell>
          <cell r="F2108" t="str">
            <v>19720808</v>
          </cell>
          <cell r="G2108">
            <v>49</v>
          </cell>
          <cell r="H2108" t="str">
            <v>四川省仁寿县贵平镇中岗村11组</v>
          </cell>
          <cell r="I2108">
            <v>13679624388</v>
          </cell>
        </row>
        <row r="2109">
          <cell r="C2109" t="str">
            <v>51112119731012697X</v>
          </cell>
          <cell r="D2109" t="str">
            <v>男</v>
          </cell>
          <cell r="E2109" t="str">
            <v>汉族</v>
          </cell>
          <cell r="F2109" t="str">
            <v>19731012</v>
          </cell>
          <cell r="G2109">
            <v>48</v>
          </cell>
          <cell r="H2109" t="str">
            <v>四川省仁寿县贵平镇中岗村11组</v>
          </cell>
          <cell r="I2109">
            <v>15828044391</v>
          </cell>
        </row>
        <row r="2110">
          <cell r="C2110" t="str">
            <v>511121197509306783</v>
          </cell>
          <cell r="D2110" t="str">
            <v>女</v>
          </cell>
          <cell r="E2110" t="str">
            <v>汉族</v>
          </cell>
          <cell r="F2110" t="str">
            <v>19750930</v>
          </cell>
          <cell r="G2110">
            <v>46</v>
          </cell>
          <cell r="H2110" t="str">
            <v>四川省仁寿县贵平镇中岗村11组</v>
          </cell>
          <cell r="I2110">
            <v>18048783203</v>
          </cell>
        </row>
        <row r="2111">
          <cell r="C2111" t="str">
            <v>513822200407276692</v>
          </cell>
          <cell r="D2111" t="str">
            <v>男</v>
          </cell>
          <cell r="E2111" t="str">
            <v>汉族</v>
          </cell>
          <cell r="F2111" t="str">
            <v>20040727</v>
          </cell>
          <cell r="G2111">
            <v>17</v>
          </cell>
          <cell r="H2111" t="str">
            <v>四川省仁寿县贵平镇中岗村11组</v>
          </cell>
        </row>
        <row r="2112">
          <cell r="C2112" t="str">
            <v>511121197709076935</v>
          </cell>
          <cell r="D2112" t="str">
            <v>男</v>
          </cell>
          <cell r="E2112" t="str">
            <v>汉族</v>
          </cell>
          <cell r="F2112" t="str">
            <v>19770907</v>
          </cell>
          <cell r="G2112">
            <v>44</v>
          </cell>
          <cell r="H2112" t="str">
            <v>四川省仁寿县贵平镇中岗村11组</v>
          </cell>
          <cell r="I2112">
            <v>13958271402</v>
          </cell>
        </row>
        <row r="2113">
          <cell r="C2113" t="str">
            <v>513521197301062269</v>
          </cell>
          <cell r="D2113" t="str">
            <v>女</v>
          </cell>
          <cell r="E2113" t="str">
            <v>汉族</v>
          </cell>
          <cell r="F2113" t="str">
            <v>19730106</v>
          </cell>
          <cell r="G2113">
            <v>48</v>
          </cell>
          <cell r="H2113" t="str">
            <v>四川省仁寿县贵平镇中岗村11组</v>
          </cell>
          <cell r="I2113">
            <v>18257942955</v>
          </cell>
        </row>
        <row r="2114">
          <cell r="C2114" t="str">
            <v>511421200010056720</v>
          </cell>
          <cell r="D2114" t="str">
            <v>女</v>
          </cell>
          <cell r="E2114" t="str">
            <v>汉族</v>
          </cell>
          <cell r="F2114" t="str">
            <v>20001005</v>
          </cell>
          <cell r="G2114">
            <v>21</v>
          </cell>
          <cell r="H2114" t="str">
            <v>四川省仁寿县贵平镇中岗村11组</v>
          </cell>
          <cell r="I2114">
            <v>18882160051</v>
          </cell>
        </row>
        <row r="2115">
          <cell r="C2115" t="str">
            <v>511121197410106933</v>
          </cell>
          <cell r="D2115" t="str">
            <v>男</v>
          </cell>
          <cell r="E2115" t="str">
            <v>汉族</v>
          </cell>
          <cell r="F2115" t="str">
            <v>19741010</v>
          </cell>
          <cell r="G2115">
            <v>47</v>
          </cell>
          <cell r="H2115" t="str">
            <v>四川省仁寿县贵平镇中岗村11组</v>
          </cell>
          <cell r="I2115">
            <v>15378330843</v>
          </cell>
        </row>
        <row r="2116">
          <cell r="C2116" t="str">
            <v>511121197809146769</v>
          </cell>
          <cell r="D2116" t="str">
            <v>女</v>
          </cell>
          <cell r="E2116" t="str">
            <v>汉族</v>
          </cell>
          <cell r="F2116" t="str">
            <v>19780914</v>
          </cell>
          <cell r="G2116">
            <v>43</v>
          </cell>
          <cell r="H2116" t="str">
            <v>四川省仁寿县贵平镇中岗村11组</v>
          </cell>
          <cell r="I2116">
            <v>15378333687</v>
          </cell>
        </row>
        <row r="2117">
          <cell r="C2117" t="str">
            <v>513822200306196693</v>
          </cell>
          <cell r="D2117" t="str">
            <v>男</v>
          </cell>
          <cell r="E2117" t="str">
            <v>汉族</v>
          </cell>
          <cell r="F2117" t="str">
            <v>20030619</v>
          </cell>
          <cell r="G2117">
            <v>18</v>
          </cell>
          <cell r="H2117" t="str">
            <v>四川省仁寿县贵平镇中岗村11组</v>
          </cell>
        </row>
        <row r="2118">
          <cell r="C2118" t="str">
            <v>513822199912246966</v>
          </cell>
          <cell r="D2118" t="str">
            <v>女</v>
          </cell>
          <cell r="E2118" t="str">
            <v>汉族</v>
          </cell>
          <cell r="F2118" t="str">
            <v>19991224</v>
          </cell>
          <cell r="G2118">
            <v>22</v>
          </cell>
          <cell r="H2118" t="str">
            <v>四川省仁寿县贵平镇中岗村11组</v>
          </cell>
          <cell r="I2118">
            <v>15378336803</v>
          </cell>
        </row>
        <row r="2119">
          <cell r="C2119" t="str">
            <v>51382219991224694X</v>
          </cell>
          <cell r="D2119" t="str">
            <v>女</v>
          </cell>
          <cell r="E2119" t="str">
            <v>汉族</v>
          </cell>
          <cell r="F2119" t="str">
            <v>19991224</v>
          </cell>
          <cell r="G2119">
            <v>22</v>
          </cell>
          <cell r="H2119" t="str">
            <v>四川省仁寿县贵平镇中岗村11组</v>
          </cell>
          <cell r="I2119">
            <v>18483235650</v>
          </cell>
        </row>
        <row r="2120">
          <cell r="C2120" t="str">
            <v>513822198511056948</v>
          </cell>
          <cell r="D2120" t="str">
            <v>女</v>
          </cell>
          <cell r="E2120" t="str">
            <v>汉族</v>
          </cell>
          <cell r="F2120" t="str">
            <v>19851105</v>
          </cell>
          <cell r="G2120">
            <v>36</v>
          </cell>
          <cell r="H2120" t="str">
            <v>四川省仁寿县贵平镇中岗村11组</v>
          </cell>
          <cell r="I2120">
            <v>18384772004</v>
          </cell>
        </row>
        <row r="2121">
          <cell r="C2121" t="str">
            <v>511421200807076710</v>
          </cell>
          <cell r="D2121" t="str">
            <v>男</v>
          </cell>
          <cell r="E2121" t="str">
            <v>汉族</v>
          </cell>
          <cell r="F2121" t="str">
            <v>20080707</v>
          </cell>
          <cell r="G2121">
            <v>13</v>
          </cell>
          <cell r="H2121" t="str">
            <v>四川省仁寿县贵平镇中岗村11组</v>
          </cell>
        </row>
        <row r="2122">
          <cell r="C2122" t="str">
            <v>511121196312146937</v>
          </cell>
          <cell r="D2122" t="str">
            <v>男</v>
          </cell>
          <cell r="E2122" t="str">
            <v>汉族</v>
          </cell>
          <cell r="F2122" t="str">
            <v>19631214</v>
          </cell>
          <cell r="G2122">
            <v>58</v>
          </cell>
          <cell r="H2122" t="str">
            <v>四川省仁寿县贵平镇中岗村11组</v>
          </cell>
          <cell r="I2122">
            <v>18121849703</v>
          </cell>
        </row>
        <row r="2123">
          <cell r="C2123" t="str">
            <v>511121197302023944</v>
          </cell>
          <cell r="D2123" t="str">
            <v>女</v>
          </cell>
          <cell r="E2123" t="str">
            <v>汉族</v>
          </cell>
          <cell r="F2123" t="str">
            <v>19730202</v>
          </cell>
          <cell r="G2123">
            <v>48</v>
          </cell>
          <cell r="H2123" t="str">
            <v>四川省仁寿县贵平镇中岗村11组</v>
          </cell>
          <cell r="I2123">
            <v>15908314236</v>
          </cell>
        </row>
        <row r="2124">
          <cell r="C2124" t="str">
            <v>513822199711216939</v>
          </cell>
          <cell r="D2124" t="str">
            <v>男</v>
          </cell>
          <cell r="E2124" t="str">
            <v>汉族</v>
          </cell>
          <cell r="F2124" t="str">
            <v>19971121</v>
          </cell>
          <cell r="G2124">
            <v>24</v>
          </cell>
          <cell r="H2124" t="str">
            <v>四川省仁寿县贵平镇中岗村11组</v>
          </cell>
          <cell r="I2124">
            <v>18235272732</v>
          </cell>
        </row>
        <row r="2125">
          <cell r="C2125" t="str">
            <v>511121197407216939</v>
          </cell>
          <cell r="D2125" t="str">
            <v>男</v>
          </cell>
          <cell r="E2125" t="str">
            <v>汉族</v>
          </cell>
          <cell r="F2125" t="str">
            <v>19740721</v>
          </cell>
          <cell r="G2125">
            <v>47</v>
          </cell>
          <cell r="H2125" t="str">
            <v>四川省仁寿县贵平镇中岗村11组</v>
          </cell>
          <cell r="I2125">
            <v>13681616740</v>
          </cell>
        </row>
        <row r="2126">
          <cell r="C2126" t="str">
            <v>513822200412096709</v>
          </cell>
          <cell r="D2126" t="str">
            <v>女</v>
          </cell>
          <cell r="E2126" t="str">
            <v>汉族</v>
          </cell>
          <cell r="F2126" t="str">
            <v>20041209</v>
          </cell>
          <cell r="G2126">
            <v>17</v>
          </cell>
          <cell r="H2126" t="str">
            <v>四川省仁寿县贵平镇中岗村11组</v>
          </cell>
          <cell r="I2126">
            <v>15182373589</v>
          </cell>
        </row>
        <row r="2127">
          <cell r="C2127" t="str">
            <v>511121194905266935</v>
          </cell>
          <cell r="D2127" t="str">
            <v>男</v>
          </cell>
          <cell r="E2127" t="str">
            <v>汉族</v>
          </cell>
          <cell r="F2127" t="str">
            <v>19490526</v>
          </cell>
          <cell r="G2127">
            <v>72</v>
          </cell>
          <cell r="H2127" t="str">
            <v>四川省仁寿县贵平镇中岗村11组</v>
          </cell>
          <cell r="I2127">
            <v>14780113857</v>
          </cell>
        </row>
        <row r="2128">
          <cell r="C2128" t="str">
            <v>51112119521014694X</v>
          </cell>
          <cell r="D2128" t="str">
            <v>女</v>
          </cell>
          <cell r="E2128" t="str">
            <v>汉族</v>
          </cell>
          <cell r="F2128" t="str">
            <v>19521014</v>
          </cell>
          <cell r="G2128">
            <v>69</v>
          </cell>
          <cell r="H2128" t="str">
            <v>四川省仁寿县贵平镇中岗村11组</v>
          </cell>
        </row>
        <row r="2129">
          <cell r="C2129" t="str">
            <v>511121194005206937</v>
          </cell>
          <cell r="D2129" t="str">
            <v>男</v>
          </cell>
          <cell r="E2129" t="str">
            <v>汉族</v>
          </cell>
          <cell r="F2129" t="str">
            <v>19400520</v>
          </cell>
          <cell r="G2129">
            <v>81</v>
          </cell>
          <cell r="H2129" t="str">
            <v>四川省仁寿县贵平镇中岗村11组</v>
          </cell>
          <cell r="I2129">
            <v>13990374779</v>
          </cell>
        </row>
        <row r="2130">
          <cell r="C2130" t="str">
            <v>511121194710056946</v>
          </cell>
          <cell r="D2130" t="str">
            <v>女</v>
          </cell>
          <cell r="E2130" t="str">
            <v>汉族</v>
          </cell>
          <cell r="F2130" t="str">
            <v>19471005</v>
          </cell>
          <cell r="G2130">
            <v>74</v>
          </cell>
          <cell r="H2130" t="str">
            <v>四川省仁寿县贵平镇中岗村11组</v>
          </cell>
          <cell r="I2130">
            <v>13990374779</v>
          </cell>
        </row>
        <row r="2131">
          <cell r="C2131" t="str">
            <v>51112119710209693X</v>
          </cell>
          <cell r="D2131" t="str">
            <v>男</v>
          </cell>
          <cell r="E2131" t="str">
            <v>汉族</v>
          </cell>
          <cell r="F2131" t="str">
            <v>19710209</v>
          </cell>
          <cell r="G2131">
            <v>50</v>
          </cell>
          <cell r="H2131" t="str">
            <v>四川省仁寿县贵平镇中岗村11组</v>
          </cell>
          <cell r="I2131">
            <v>15283746331</v>
          </cell>
        </row>
        <row r="2132">
          <cell r="C2132" t="str">
            <v>511121196506166944</v>
          </cell>
          <cell r="D2132" t="str">
            <v>女</v>
          </cell>
          <cell r="E2132" t="str">
            <v>汉族</v>
          </cell>
          <cell r="F2132" t="str">
            <v>19650616</v>
          </cell>
          <cell r="G2132">
            <v>56</v>
          </cell>
          <cell r="H2132" t="str">
            <v>四川省仁寿县贵平镇中岗村11组</v>
          </cell>
          <cell r="I2132">
            <v>13086472110</v>
          </cell>
        </row>
        <row r="2133">
          <cell r="C2133" t="str">
            <v>513822199410076936</v>
          </cell>
          <cell r="D2133" t="str">
            <v>男</v>
          </cell>
          <cell r="E2133" t="str">
            <v>汉族</v>
          </cell>
          <cell r="F2133" t="str">
            <v>19941007</v>
          </cell>
          <cell r="G2133">
            <v>27</v>
          </cell>
          <cell r="H2133" t="str">
            <v>四川省仁寿县贵平镇中岗村11组</v>
          </cell>
          <cell r="I2133">
            <v>15882309765</v>
          </cell>
        </row>
        <row r="2134">
          <cell r="C2134" t="str">
            <v>511121197109246953</v>
          </cell>
          <cell r="D2134" t="str">
            <v>男</v>
          </cell>
          <cell r="E2134" t="str">
            <v>汉族</v>
          </cell>
          <cell r="F2134" t="str">
            <v>19710924</v>
          </cell>
          <cell r="G2134">
            <v>50</v>
          </cell>
          <cell r="H2134" t="str">
            <v>四川省仁寿县贵平镇中岗村11组</v>
          </cell>
          <cell r="I2134">
            <v>18384787697</v>
          </cell>
        </row>
        <row r="2135">
          <cell r="C2135" t="str">
            <v>511421200604256754</v>
          </cell>
          <cell r="D2135" t="str">
            <v>男</v>
          </cell>
          <cell r="E2135" t="str">
            <v>汉族</v>
          </cell>
          <cell r="F2135" t="str">
            <v>20060425</v>
          </cell>
          <cell r="G2135">
            <v>15</v>
          </cell>
          <cell r="H2135" t="str">
            <v>四川省仁寿县贵平镇中岗村11组</v>
          </cell>
          <cell r="I2135">
            <v>18228542139</v>
          </cell>
        </row>
        <row r="2136">
          <cell r="C2136" t="str">
            <v>511121193209266937</v>
          </cell>
          <cell r="D2136" t="str">
            <v>男</v>
          </cell>
          <cell r="E2136" t="str">
            <v>汉族</v>
          </cell>
          <cell r="F2136" t="str">
            <v>19320926</v>
          </cell>
          <cell r="G2136">
            <v>89</v>
          </cell>
          <cell r="H2136" t="str">
            <v>四川省仁寿县贵平镇中岗村11组</v>
          </cell>
          <cell r="I2136">
            <v>13550233591</v>
          </cell>
        </row>
        <row r="2137">
          <cell r="C2137" t="str">
            <v>511121193603066941</v>
          </cell>
          <cell r="D2137" t="str">
            <v>女</v>
          </cell>
          <cell r="E2137" t="str">
            <v>汉族</v>
          </cell>
          <cell r="F2137" t="str">
            <v>19360306</v>
          </cell>
          <cell r="G2137">
            <v>85</v>
          </cell>
          <cell r="H2137" t="str">
            <v>四川省仁寿县贵平镇中岗村11组</v>
          </cell>
        </row>
        <row r="2138">
          <cell r="C2138" t="str">
            <v>51112119750606693X</v>
          </cell>
          <cell r="D2138" t="str">
            <v>男</v>
          </cell>
          <cell r="E2138" t="str">
            <v>汉族</v>
          </cell>
          <cell r="F2138" t="str">
            <v>19750606</v>
          </cell>
          <cell r="G2138">
            <v>46</v>
          </cell>
          <cell r="H2138" t="str">
            <v>四川省仁寿县贵平镇中岗村11组</v>
          </cell>
          <cell r="I2138">
            <v>13550233591</v>
          </cell>
        </row>
        <row r="2139">
          <cell r="C2139" t="str">
            <v>532526197603060247</v>
          </cell>
          <cell r="D2139" t="str">
            <v>女</v>
          </cell>
          <cell r="E2139" t="str">
            <v>汉族</v>
          </cell>
          <cell r="F2139" t="str">
            <v>19760306</v>
          </cell>
          <cell r="G2139">
            <v>45</v>
          </cell>
          <cell r="H2139" t="str">
            <v>四川省仁寿县贵平镇中岗村11组</v>
          </cell>
          <cell r="I2139">
            <v>13551866719</v>
          </cell>
        </row>
        <row r="2140">
          <cell r="C2140" t="str">
            <v>51382219950808693X</v>
          </cell>
          <cell r="D2140" t="str">
            <v>男</v>
          </cell>
          <cell r="E2140" t="str">
            <v>汉族</v>
          </cell>
          <cell r="F2140" t="str">
            <v>19950808</v>
          </cell>
          <cell r="G2140">
            <v>26</v>
          </cell>
          <cell r="H2140" t="str">
            <v>四川省仁寿县贵平镇中岗村11组</v>
          </cell>
          <cell r="I2140">
            <v>18380358011</v>
          </cell>
        </row>
        <row r="2141">
          <cell r="C2141" t="str">
            <v>511121196512156953</v>
          </cell>
          <cell r="D2141" t="str">
            <v>男</v>
          </cell>
          <cell r="E2141" t="str">
            <v>汉族</v>
          </cell>
          <cell r="F2141" t="str">
            <v>19651215</v>
          </cell>
          <cell r="G2141">
            <v>56</v>
          </cell>
          <cell r="H2141" t="str">
            <v>四川省仁寿县贵平镇中岗村11组</v>
          </cell>
          <cell r="I2141">
            <v>13541289383</v>
          </cell>
        </row>
        <row r="2142">
          <cell r="C2142" t="str">
            <v>511121197303306948</v>
          </cell>
          <cell r="D2142" t="str">
            <v>女</v>
          </cell>
          <cell r="E2142" t="str">
            <v>汉族</v>
          </cell>
          <cell r="F2142" t="str">
            <v>19730330</v>
          </cell>
          <cell r="G2142">
            <v>48</v>
          </cell>
          <cell r="H2142" t="str">
            <v>四川省仁寿县贵平镇中岗村11组</v>
          </cell>
        </row>
        <row r="2143">
          <cell r="C2143" t="str">
            <v>513822199302266935</v>
          </cell>
          <cell r="D2143" t="str">
            <v>男</v>
          </cell>
          <cell r="E2143" t="str">
            <v>汉族</v>
          </cell>
          <cell r="F2143" t="str">
            <v>19930226</v>
          </cell>
          <cell r="G2143">
            <v>28</v>
          </cell>
          <cell r="H2143" t="str">
            <v>四川省仁寿县贵平镇中岗村11组</v>
          </cell>
          <cell r="I2143">
            <v>15198196692</v>
          </cell>
        </row>
        <row r="2144">
          <cell r="C2144" t="str">
            <v>511421202004240184</v>
          </cell>
          <cell r="D2144" t="str">
            <v>女</v>
          </cell>
          <cell r="E2144" t="str">
            <v>汉族</v>
          </cell>
          <cell r="F2144" t="str">
            <v>20200424</v>
          </cell>
          <cell r="G2144">
            <v>1</v>
          </cell>
          <cell r="H2144" t="str">
            <v>四川省仁寿县贵平镇中岗村11组</v>
          </cell>
        </row>
        <row r="2145">
          <cell r="C2145" t="str">
            <v>511121193004016934</v>
          </cell>
          <cell r="D2145" t="str">
            <v>男</v>
          </cell>
          <cell r="E2145" t="str">
            <v>汉族</v>
          </cell>
          <cell r="F2145" t="str">
            <v>19300401</v>
          </cell>
          <cell r="G2145">
            <v>91</v>
          </cell>
          <cell r="H2145" t="str">
            <v>四川省仁寿县贵平镇中岗村11组</v>
          </cell>
        </row>
        <row r="2146">
          <cell r="C2146" t="str">
            <v>511121196711106932</v>
          </cell>
          <cell r="D2146" t="str">
            <v>男</v>
          </cell>
          <cell r="E2146" t="str">
            <v>汉族</v>
          </cell>
          <cell r="F2146" t="str">
            <v>19671110</v>
          </cell>
          <cell r="G2146">
            <v>54</v>
          </cell>
          <cell r="H2146" t="str">
            <v>四川省仁寿县贵平镇中岗村11组</v>
          </cell>
          <cell r="I2146">
            <v>13541318355</v>
          </cell>
        </row>
        <row r="2147">
          <cell r="C2147" t="str">
            <v>511121197006226722</v>
          </cell>
          <cell r="D2147" t="str">
            <v>女</v>
          </cell>
          <cell r="E2147" t="str">
            <v>汉族</v>
          </cell>
          <cell r="F2147" t="str">
            <v>19700622</v>
          </cell>
          <cell r="G2147">
            <v>51</v>
          </cell>
          <cell r="H2147" t="str">
            <v>四川省仁寿县贵平镇中岗村11组</v>
          </cell>
          <cell r="I2147">
            <v>13880245563</v>
          </cell>
        </row>
        <row r="2148">
          <cell r="C2148" t="str">
            <v>513822199302106931</v>
          </cell>
          <cell r="D2148" t="str">
            <v>男</v>
          </cell>
          <cell r="E2148" t="str">
            <v>汉族</v>
          </cell>
          <cell r="F2148" t="str">
            <v>19930210</v>
          </cell>
          <cell r="G2148">
            <v>28</v>
          </cell>
          <cell r="H2148" t="str">
            <v>四川省仁寿县贵平镇中岗村11组</v>
          </cell>
          <cell r="I2148">
            <v>18227121006</v>
          </cell>
        </row>
        <row r="2149">
          <cell r="C2149" t="str">
            <v>511121197207266958</v>
          </cell>
          <cell r="D2149" t="str">
            <v>男</v>
          </cell>
          <cell r="E2149" t="str">
            <v>汉族</v>
          </cell>
          <cell r="F2149" t="str">
            <v>19720726</v>
          </cell>
          <cell r="G2149">
            <v>49</v>
          </cell>
          <cell r="H2149" t="str">
            <v>四川省仁寿县贵平镇中岗村11组</v>
          </cell>
          <cell r="I2149">
            <v>18284511418</v>
          </cell>
        </row>
        <row r="2150">
          <cell r="C2150" t="str">
            <v>511121197512216949</v>
          </cell>
          <cell r="D2150" t="str">
            <v>女</v>
          </cell>
          <cell r="E2150" t="str">
            <v>汉族</v>
          </cell>
          <cell r="F2150" t="str">
            <v>19751221</v>
          </cell>
          <cell r="G2150">
            <v>46</v>
          </cell>
          <cell r="H2150" t="str">
            <v>四川省仁寿县贵平镇中岗村11组</v>
          </cell>
          <cell r="I2150">
            <v>13648038177</v>
          </cell>
        </row>
        <row r="2151">
          <cell r="C2151" t="str">
            <v>513822199710026930</v>
          </cell>
          <cell r="D2151" t="str">
            <v>男</v>
          </cell>
          <cell r="E2151" t="str">
            <v>汉族</v>
          </cell>
          <cell r="F2151" t="str">
            <v>19971002</v>
          </cell>
          <cell r="G2151">
            <v>24</v>
          </cell>
          <cell r="H2151" t="str">
            <v>四川省仁寿县贵平镇中岗村11组</v>
          </cell>
          <cell r="I2151">
            <v>18382296196</v>
          </cell>
        </row>
        <row r="2152">
          <cell r="C2152" t="str">
            <v>511121196907276941</v>
          </cell>
          <cell r="D2152" t="str">
            <v>女</v>
          </cell>
          <cell r="E2152" t="str">
            <v>汉族</v>
          </cell>
          <cell r="F2152" t="str">
            <v>19690727</v>
          </cell>
          <cell r="G2152">
            <v>52</v>
          </cell>
          <cell r="H2152" t="str">
            <v>四川省仁寿县贵平镇中岗村11组</v>
          </cell>
          <cell r="I2152">
            <v>18599185321</v>
          </cell>
        </row>
        <row r="2153">
          <cell r="C2153" t="str">
            <v>511121196607296932</v>
          </cell>
          <cell r="D2153" t="str">
            <v>男</v>
          </cell>
          <cell r="E2153" t="str">
            <v>汉族</v>
          </cell>
          <cell r="F2153" t="str">
            <v>19660729</v>
          </cell>
          <cell r="G2153">
            <v>55</v>
          </cell>
          <cell r="H2153" t="str">
            <v>四川省仁寿县贵平镇中岗村11组</v>
          </cell>
          <cell r="I2153">
            <v>18384734607</v>
          </cell>
        </row>
        <row r="2154">
          <cell r="C2154" t="str">
            <v>511121194107206962</v>
          </cell>
          <cell r="D2154" t="str">
            <v>女</v>
          </cell>
          <cell r="E2154" t="str">
            <v>汉族</v>
          </cell>
          <cell r="F2154" t="str">
            <v>19410720</v>
          </cell>
          <cell r="G2154">
            <v>80</v>
          </cell>
          <cell r="H2154" t="str">
            <v>四川省仁寿县贵平镇中岗村11组</v>
          </cell>
        </row>
        <row r="2155">
          <cell r="C2155" t="str">
            <v>511121196812036937</v>
          </cell>
          <cell r="D2155" t="str">
            <v>男</v>
          </cell>
          <cell r="E2155" t="str">
            <v>汉族</v>
          </cell>
          <cell r="F2155" t="str">
            <v>19681203</v>
          </cell>
          <cell r="G2155">
            <v>53</v>
          </cell>
          <cell r="H2155" t="str">
            <v>四川省仁寿县贵平镇中岗村11组</v>
          </cell>
          <cell r="I2155">
            <v>15096711715</v>
          </cell>
        </row>
        <row r="2156">
          <cell r="C2156" t="str">
            <v>511121196401066939</v>
          </cell>
          <cell r="D2156" t="str">
            <v>男</v>
          </cell>
          <cell r="E2156" t="str">
            <v>汉族</v>
          </cell>
          <cell r="F2156" t="str">
            <v>19640106</v>
          </cell>
          <cell r="G2156">
            <v>57</v>
          </cell>
          <cell r="H2156" t="str">
            <v>四川省仁寿县贵平镇中岗村11组</v>
          </cell>
          <cell r="I2156">
            <v>18113650624</v>
          </cell>
        </row>
        <row r="2157">
          <cell r="C2157" t="str">
            <v>513822198912136930</v>
          </cell>
          <cell r="D2157" t="str">
            <v>男</v>
          </cell>
          <cell r="E2157" t="str">
            <v>汉族</v>
          </cell>
          <cell r="F2157" t="str">
            <v>19891213</v>
          </cell>
          <cell r="G2157">
            <v>32</v>
          </cell>
          <cell r="H2157" t="str">
            <v>四川省仁寿县贵平镇中岗村11组</v>
          </cell>
          <cell r="I2157">
            <v>15882231501</v>
          </cell>
        </row>
        <row r="2158">
          <cell r="C2158" t="str">
            <v>511121197112306937</v>
          </cell>
          <cell r="D2158" t="str">
            <v>男</v>
          </cell>
          <cell r="E2158" t="str">
            <v>汉族</v>
          </cell>
          <cell r="F2158" t="str">
            <v>19711230</v>
          </cell>
          <cell r="G2158">
            <v>50</v>
          </cell>
          <cell r="H2158" t="str">
            <v>四川省仁寿县贵平镇中岗村11组</v>
          </cell>
          <cell r="I2158">
            <v>13281493206</v>
          </cell>
        </row>
        <row r="2159">
          <cell r="C2159" t="str">
            <v>511121196302196930</v>
          </cell>
          <cell r="D2159" t="str">
            <v>男</v>
          </cell>
          <cell r="E2159" t="str">
            <v>汉族</v>
          </cell>
          <cell r="F2159" t="str">
            <v>19630219</v>
          </cell>
          <cell r="G2159">
            <v>58</v>
          </cell>
          <cell r="H2159" t="str">
            <v>四川省仁寿县贵平镇中岗村11组</v>
          </cell>
          <cell r="I2159">
            <v>15282365142</v>
          </cell>
        </row>
        <row r="2160">
          <cell r="C2160" t="str">
            <v>511421200209276691</v>
          </cell>
          <cell r="D2160" t="str">
            <v>男</v>
          </cell>
          <cell r="E2160" t="str">
            <v>汉族</v>
          </cell>
          <cell r="F2160" t="str">
            <v>20020927</v>
          </cell>
          <cell r="G2160">
            <v>19</v>
          </cell>
          <cell r="H2160" t="str">
            <v>四川省仁寿县贵平镇中岗村11组</v>
          </cell>
          <cell r="I2160">
            <v>13281226385</v>
          </cell>
        </row>
        <row r="2161">
          <cell r="C2161" t="str">
            <v>511121195110016937</v>
          </cell>
          <cell r="D2161" t="str">
            <v>男</v>
          </cell>
          <cell r="E2161" t="str">
            <v>汉族</v>
          </cell>
          <cell r="F2161" t="str">
            <v>19511001</v>
          </cell>
          <cell r="G2161">
            <v>70</v>
          </cell>
          <cell r="H2161" t="str">
            <v>四川省仁寿县贵平镇中岗村11组</v>
          </cell>
          <cell r="I2161">
            <v>18089500454</v>
          </cell>
        </row>
        <row r="2162">
          <cell r="C2162" t="str">
            <v>51112119541103694X</v>
          </cell>
          <cell r="D2162" t="str">
            <v>女</v>
          </cell>
          <cell r="E2162" t="str">
            <v>汉族</v>
          </cell>
          <cell r="F2162" t="str">
            <v>19541103</v>
          </cell>
          <cell r="G2162">
            <v>67</v>
          </cell>
          <cell r="H2162" t="str">
            <v>四川省仁寿县贵平镇中岗村11组</v>
          </cell>
          <cell r="I2162">
            <v>15378331917</v>
          </cell>
        </row>
        <row r="2163">
          <cell r="C2163" t="str">
            <v>513822200211206705</v>
          </cell>
          <cell r="D2163" t="str">
            <v>女</v>
          </cell>
          <cell r="E2163" t="str">
            <v>汉族</v>
          </cell>
          <cell r="F2163" t="str">
            <v>20021120</v>
          </cell>
          <cell r="G2163">
            <v>19</v>
          </cell>
          <cell r="H2163" t="str">
            <v>四川省仁寿县贵平镇中岗村11组</v>
          </cell>
        </row>
        <row r="2164">
          <cell r="C2164" t="str">
            <v>511121197307046936</v>
          </cell>
          <cell r="D2164" t="str">
            <v>男</v>
          </cell>
          <cell r="E2164" t="str">
            <v>汉族</v>
          </cell>
          <cell r="F2164" t="str">
            <v>19730704</v>
          </cell>
          <cell r="G2164">
            <v>48</v>
          </cell>
          <cell r="H2164" t="str">
            <v>四川省仁寿县贵平镇中岗村11组</v>
          </cell>
          <cell r="I2164">
            <v>1348986298</v>
          </cell>
        </row>
        <row r="2165">
          <cell r="C2165" t="str">
            <v>51112119770712696X</v>
          </cell>
          <cell r="D2165" t="str">
            <v>女</v>
          </cell>
          <cell r="E2165" t="str">
            <v>汉族</v>
          </cell>
          <cell r="F2165" t="str">
            <v>19770712</v>
          </cell>
          <cell r="G2165">
            <v>44</v>
          </cell>
          <cell r="H2165" t="str">
            <v>四川省仁寿县贵平镇中岗村11组</v>
          </cell>
          <cell r="I2165">
            <v>15828209421</v>
          </cell>
        </row>
        <row r="2166">
          <cell r="C2166" t="str">
            <v>513822199802016932</v>
          </cell>
          <cell r="D2166" t="str">
            <v>男</v>
          </cell>
          <cell r="E2166" t="str">
            <v>汉族</v>
          </cell>
          <cell r="F2166" t="str">
            <v>19980201</v>
          </cell>
          <cell r="G2166">
            <v>23</v>
          </cell>
          <cell r="H2166" t="str">
            <v>四川省仁寿县贵平镇中岗村11组</v>
          </cell>
          <cell r="I2166">
            <v>15208464979</v>
          </cell>
        </row>
        <row r="2167">
          <cell r="C2167" t="str">
            <v>511421202005130075</v>
          </cell>
          <cell r="D2167" t="str">
            <v>男</v>
          </cell>
          <cell r="E2167" t="str">
            <v>汉族</v>
          </cell>
          <cell r="F2167" t="str">
            <v>20200513</v>
          </cell>
          <cell r="G2167">
            <v>1</v>
          </cell>
          <cell r="H2167" t="str">
            <v>四川省仁寿县贵平镇中岗村11组</v>
          </cell>
        </row>
        <row r="2168">
          <cell r="C2168" t="str">
            <v>511121194408216937</v>
          </cell>
          <cell r="D2168" t="str">
            <v>男</v>
          </cell>
          <cell r="E2168" t="str">
            <v>汉族</v>
          </cell>
          <cell r="F2168" t="str">
            <v>19440821</v>
          </cell>
          <cell r="G2168">
            <v>77</v>
          </cell>
          <cell r="H2168" t="str">
            <v>四川省仁寿县贵平镇中岗村11组</v>
          </cell>
          <cell r="I2168">
            <v>15283780863</v>
          </cell>
        </row>
        <row r="2169">
          <cell r="C2169" t="str">
            <v>511121194902016949</v>
          </cell>
          <cell r="D2169" t="str">
            <v>女</v>
          </cell>
          <cell r="E2169" t="str">
            <v>汉族</v>
          </cell>
          <cell r="F2169" t="str">
            <v>19490201</v>
          </cell>
          <cell r="G2169">
            <v>72</v>
          </cell>
          <cell r="H2169" t="str">
            <v>四川省仁寿县贵平镇中岗村11组</v>
          </cell>
          <cell r="I2169">
            <v>14780136860</v>
          </cell>
        </row>
        <row r="2170">
          <cell r="C2170" t="str">
            <v>51112119660619693X</v>
          </cell>
          <cell r="D2170" t="str">
            <v>男</v>
          </cell>
          <cell r="E2170" t="str">
            <v>汉族</v>
          </cell>
          <cell r="F2170" t="str">
            <v>19660619</v>
          </cell>
          <cell r="G2170">
            <v>55</v>
          </cell>
          <cell r="H2170" t="str">
            <v>四川省仁寿县贵平镇中岗村11组</v>
          </cell>
          <cell r="I2170">
            <v>13666247004</v>
          </cell>
        </row>
        <row r="2171">
          <cell r="C2171" t="str">
            <v>511121196909056942</v>
          </cell>
          <cell r="D2171" t="str">
            <v>女</v>
          </cell>
          <cell r="E2171" t="str">
            <v>汉族</v>
          </cell>
          <cell r="F2171" t="str">
            <v>19690905</v>
          </cell>
          <cell r="G2171">
            <v>52</v>
          </cell>
          <cell r="H2171" t="str">
            <v>四川省仁寿县贵平镇中岗村11组</v>
          </cell>
        </row>
        <row r="2172">
          <cell r="C2172" t="str">
            <v>511421200010136712</v>
          </cell>
          <cell r="D2172" t="str">
            <v>男</v>
          </cell>
          <cell r="E2172" t="str">
            <v>汉族</v>
          </cell>
          <cell r="F2172" t="str">
            <v>20001013</v>
          </cell>
          <cell r="G2172">
            <v>21</v>
          </cell>
          <cell r="H2172" t="str">
            <v>四川省仁寿县贵平镇中岗村11组</v>
          </cell>
        </row>
        <row r="2173">
          <cell r="C2173" t="str">
            <v>513822199006186949</v>
          </cell>
          <cell r="D2173" t="str">
            <v>女</v>
          </cell>
          <cell r="E2173" t="str">
            <v>汉族</v>
          </cell>
          <cell r="F2173" t="str">
            <v>19900618</v>
          </cell>
          <cell r="G2173">
            <v>31</v>
          </cell>
          <cell r="H2173" t="str">
            <v>四川省仁寿县贵平镇中岗村11组</v>
          </cell>
          <cell r="I2173">
            <v>15308194549</v>
          </cell>
        </row>
        <row r="2174">
          <cell r="C2174" t="str">
            <v>513822199305186949</v>
          </cell>
          <cell r="D2174" t="str">
            <v>女</v>
          </cell>
          <cell r="E2174" t="str">
            <v>汉族</v>
          </cell>
          <cell r="F2174" t="str">
            <v>19930518</v>
          </cell>
          <cell r="G2174">
            <v>28</v>
          </cell>
          <cell r="H2174" t="str">
            <v>四川省仁寿县贵平镇中岗村11组</v>
          </cell>
          <cell r="I2174">
            <v>18482188553</v>
          </cell>
        </row>
        <row r="2175">
          <cell r="C2175" t="str">
            <v>511121196802096936</v>
          </cell>
          <cell r="D2175" t="str">
            <v>男</v>
          </cell>
          <cell r="E2175" t="str">
            <v>汉族</v>
          </cell>
          <cell r="F2175" t="str">
            <v>19680209</v>
          </cell>
          <cell r="G2175">
            <v>53</v>
          </cell>
          <cell r="H2175" t="str">
            <v>四川省仁寿县贵平镇中岗村11组</v>
          </cell>
          <cell r="I2175">
            <v>15196478616</v>
          </cell>
        </row>
        <row r="2176">
          <cell r="C2176" t="str">
            <v>511121196801026944</v>
          </cell>
          <cell r="D2176" t="str">
            <v>女</v>
          </cell>
          <cell r="E2176" t="str">
            <v>汉族</v>
          </cell>
          <cell r="F2176" t="str">
            <v>19680102</v>
          </cell>
          <cell r="G2176">
            <v>53</v>
          </cell>
          <cell r="H2176" t="str">
            <v>四川省仁寿县贵平镇中岗村11组</v>
          </cell>
          <cell r="I2176">
            <v>13378357926</v>
          </cell>
        </row>
        <row r="2177">
          <cell r="C2177" t="str">
            <v>513822199803016942</v>
          </cell>
          <cell r="D2177" t="str">
            <v>女</v>
          </cell>
          <cell r="E2177" t="str">
            <v>汉族</v>
          </cell>
          <cell r="F2177" t="str">
            <v>19980301</v>
          </cell>
          <cell r="G2177">
            <v>23</v>
          </cell>
          <cell r="H2177" t="str">
            <v>四川省仁寿县贵平镇中岗村11组</v>
          </cell>
          <cell r="I2177">
            <v>15182248192</v>
          </cell>
        </row>
        <row r="2178">
          <cell r="C2178" t="str">
            <v>511121194804216947</v>
          </cell>
          <cell r="D2178" t="str">
            <v>女</v>
          </cell>
          <cell r="E2178" t="str">
            <v>汉族</v>
          </cell>
          <cell r="F2178" t="str">
            <v>19480421</v>
          </cell>
          <cell r="G2178">
            <v>73</v>
          </cell>
          <cell r="H2178" t="str">
            <v>四川省仁寿县贵平镇中岗村11组</v>
          </cell>
          <cell r="I2178">
            <v>13198628779</v>
          </cell>
        </row>
        <row r="2179">
          <cell r="C2179" t="str">
            <v>511121198108176943</v>
          </cell>
          <cell r="D2179" t="str">
            <v>女</v>
          </cell>
          <cell r="E2179" t="str">
            <v>汉族</v>
          </cell>
          <cell r="F2179" t="str">
            <v>19810817</v>
          </cell>
          <cell r="G2179">
            <v>40</v>
          </cell>
          <cell r="H2179" t="str">
            <v>四川省仁寿县贵平镇中岗村11组</v>
          </cell>
          <cell r="I2179">
            <v>15881086522</v>
          </cell>
        </row>
        <row r="2180">
          <cell r="C2180" t="str">
            <v>511421201312306857</v>
          </cell>
          <cell r="D2180" t="str">
            <v>男</v>
          </cell>
          <cell r="E2180" t="str">
            <v>汉族</v>
          </cell>
          <cell r="F2180" t="str">
            <v>20131230</v>
          </cell>
          <cell r="G2180">
            <v>8</v>
          </cell>
          <cell r="H2180" t="str">
            <v>四川省仁寿县贵平镇中岗村11组</v>
          </cell>
        </row>
        <row r="2181">
          <cell r="C2181" t="str">
            <v>511121195703306956</v>
          </cell>
          <cell r="D2181" t="str">
            <v>男</v>
          </cell>
          <cell r="E2181" t="str">
            <v>汉族</v>
          </cell>
          <cell r="F2181" t="str">
            <v>19570330</v>
          </cell>
          <cell r="G2181">
            <v>64</v>
          </cell>
          <cell r="H2181" t="str">
            <v>四川省仁寿县贵平镇中岗村11组</v>
          </cell>
          <cell r="I2181">
            <v>15884416312</v>
          </cell>
        </row>
        <row r="2182">
          <cell r="C2182" t="str">
            <v>511121196306016968</v>
          </cell>
          <cell r="D2182" t="str">
            <v>女</v>
          </cell>
          <cell r="E2182" t="str">
            <v>汉族</v>
          </cell>
          <cell r="F2182" t="str">
            <v>19630601</v>
          </cell>
          <cell r="G2182">
            <v>58</v>
          </cell>
          <cell r="H2182" t="str">
            <v>四川省仁寿县贵平镇中岗村11组</v>
          </cell>
          <cell r="I2182">
            <v>13981764150</v>
          </cell>
        </row>
        <row r="2183">
          <cell r="C2183" t="str">
            <v>511121196804206959</v>
          </cell>
          <cell r="D2183" t="str">
            <v>男</v>
          </cell>
          <cell r="E2183" t="str">
            <v>汉族</v>
          </cell>
          <cell r="F2183" t="str">
            <v>19680420</v>
          </cell>
          <cell r="G2183">
            <v>53</v>
          </cell>
          <cell r="H2183" t="str">
            <v>四川省仁寿县贵平镇中岗村11组</v>
          </cell>
          <cell r="I2183">
            <v>13540624641</v>
          </cell>
        </row>
        <row r="2184">
          <cell r="C2184" t="str">
            <v>511121197207186931</v>
          </cell>
          <cell r="D2184" t="str">
            <v>男</v>
          </cell>
          <cell r="E2184" t="str">
            <v>汉族</v>
          </cell>
          <cell r="F2184" t="str">
            <v>19720718</v>
          </cell>
          <cell r="G2184">
            <v>49</v>
          </cell>
          <cell r="H2184" t="str">
            <v>四川省仁寿县贵平镇中岗村11组</v>
          </cell>
        </row>
        <row r="2185">
          <cell r="C2185" t="str">
            <v>511121196402236936</v>
          </cell>
          <cell r="D2185" t="str">
            <v>男</v>
          </cell>
          <cell r="E2185" t="str">
            <v>汉族</v>
          </cell>
          <cell r="F2185" t="str">
            <v>19640223</v>
          </cell>
          <cell r="G2185">
            <v>57</v>
          </cell>
          <cell r="H2185" t="str">
            <v>四川省仁寿县贵平镇中岗村11组</v>
          </cell>
          <cell r="I2185">
            <v>19982633263</v>
          </cell>
        </row>
        <row r="2186">
          <cell r="C2186" t="str">
            <v>511121196205016942</v>
          </cell>
          <cell r="D2186" t="str">
            <v>女</v>
          </cell>
          <cell r="E2186" t="str">
            <v>汉族</v>
          </cell>
          <cell r="F2186" t="str">
            <v>19620501</v>
          </cell>
          <cell r="G2186">
            <v>59</v>
          </cell>
          <cell r="H2186" t="str">
            <v>四川省仁寿县贵平镇中岗村11组</v>
          </cell>
          <cell r="I2186">
            <v>15397704263</v>
          </cell>
        </row>
        <row r="2187">
          <cell r="C2187" t="str">
            <v>51142120091231686X</v>
          </cell>
          <cell r="D2187" t="str">
            <v>女</v>
          </cell>
          <cell r="E2187" t="str">
            <v>汉族</v>
          </cell>
          <cell r="F2187" t="str">
            <v>20091231</v>
          </cell>
          <cell r="G2187">
            <v>12</v>
          </cell>
          <cell r="H2187" t="str">
            <v>四川省仁寿县贵平镇中岗村11组</v>
          </cell>
        </row>
        <row r="2188">
          <cell r="C2188" t="str">
            <v>51382219880416693X</v>
          </cell>
          <cell r="D2188" t="str">
            <v>男</v>
          </cell>
          <cell r="E2188" t="str">
            <v>汉族</v>
          </cell>
          <cell r="F2188" t="str">
            <v>19880416</v>
          </cell>
          <cell r="G2188">
            <v>33</v>
          </cell>
          <cell r="H2188" t="str">
            <v>四川省仁寿县贵平镇中岗村11组</v>
          </cell>
          <cell r="I2188">
            <v>19982635053</v>
          </cell>
        </row>
        <row r="2189">
          <cell r="C2189" t="str">
            <v>511121198012146934</v>
          </cell>
          <cell r="D2189" t="str">
            <v>男</v>
          </cell>
          <cell r="E2189" t="str">
            <v>汉族</v>
          </cell>
          <cell r="F2189" t="str">
            <v>19801214</v>
          </cell>
          <cell r="G2189">
            <v>41</v>
          </cell>
          <cell r="H2189" t="str">
            <v>四川省仁寿县贵平镇中岗村11组</v>
          </cell>
          <cell r="I2189">
            <v>18382297107</v>
          </cell>
        </row>
        <row r="2190">
          <cell r="C2190" t="str">
            <v>511421200407126707</v>
          </cell>
          <cell r="D2190" t="str">
            <v>女</v>
          </cell>
          <cell r="E2190" t="str">
            <v>汉族</v>
          </cell>
          <cell r="F2190" t="str">
            <v>20040712</v>
          </cell>
          <cell r="G2190">
            <v>17</v>
          </cell>
          <cell r="H2190" t="str">
            <v>四川省仁寿县贵平镇中岗村11组</v>
          </cell>
        </row>
        <row r="2191">
          <cell r="C2191" t="str">
            <v>511121193807126942</v>
          </cell>
          <cell r="D2191" t="str">
            <v>女</v>
          </cell>
          <cell r="E2191" t="str">
            <v>汉族</v>
          </cell>
          <cell r="F2191" t="str">
            <v>19380712</v>
          </cell>
          <cell r="G2191">
            <v>83</v>
          </cell>
          <cell r="H2191" t="str">
            <v>四川省仁寿县贵平镇中岗村11组</v>
          </cell>
          <cell r="I2191">
            <v>13438224013</v>
          </cell>
        </row>
        <row r="2192">
          <cell r="C2192" t="str">
            <v>511121197005156953</v>
          </cell>
          <cell r="D2192" t="str">
            <v>男</v>
          </cell>
          <cell r="E2192" t="str">
            <v>汉族</v>
          </cell>
          <cell r="F2192" t="str">
            <v>19700515</v>
          </cell>
          <cell r="G2192">
            <v>51</v>
          </cell>
          <cell r="H2192" t="str">
            <v>四川省仁寿县贵平镇中岗村11组</v>
          </cell>
          <cell r="I2192">
            <v>13688409520</v>
          </cell>
        </row>
        <row r="2193">
          <cell r="C2193" t="str">
            <v>51112119711218698X</v>
          </cell>
          <cell r="D2193" t="str">
            <v>女</v>
          </cell>
          <cell r="E2193" t="str">
            <v>汉族</v>
          </cell>
          <cell r="F2193" t="str">
            <v>19711218</v>
          </cell>
          <cell r="G2193">
            <v>50</v>
          </cell>
          <cell r="H2193" t="str">
            <v>四川省仁寿县贵平镇中岗村11组</v>
          </cell>
          <cell r="I2193">
            <v>18349130708</v>
          </cell>
        </row>
        <row r="2194">
          <cell r="C2194" t="str">
            <v>513822199206046705</v>
          </cell>
          <cell r="D2194" t="str">
            <v>女</v>
          </cell>
          <cell r="E2194" t="str">
            <v>汉族</v>
          </cell>
          <cell r="F2194" t="str">
            <v>19920604</v>
          </cell>
          <cell r="G2194">
            <v>29</v>
          </cell>
          <cell r="H2194" t="str">
            <v>四川省仁寿县贵平镇中岗村11组</v>
          </cell>
          <cell r="I2194">
            <v>13550326646</v>
          </cell>
        </row>
        <row r="2195">
          <cell r="C2195" t="str">
            <v>511121195507186934</v>
          </cell>
          <cell r="D2195" t="str">
            <v>男</v>
          </cell>
          <cell r="E2195" t="str">
            <v>汉族</v>
          </cell>
          <cell r="F2195" t="str">
            <v>19550718</v>
          </cell>
          <cell r="G2195">
            <v>66</v>
          </cell>
          <cell r="H2195" t="str">
            <v>四川省仁寿县贵平镇中岗村11组</v>
          </cell>
          <cell r="I2195">
            <v>15328750754</v>
          </cell>
        </row>
        <row r="2196">
          <cell r="C2196" t="str">
            <v>511121195301236940</v>
          </cell>
          <cell r="D2196" t="str">
            <v>女</v>
          </cell>
          <cell r="E2196" t="str">
            <v>汉族</v>
          </cell>
          <cell r="F2196" t="str">
            <v>19530123</v>
          </cell>
          <cell r="G2196">
            <v>68</v>
          </cell>
          <cell r="H2196" t="str">
            <v>四川省仁寿县贵平镇中岗村11组</v>
          </cell>
        </row>
        <row r="2197">
          <cell r="C2197" t="str">
            <v>511421200506296701</v>
          </cell>
          <cell r="D2197" t="str">
            <v>女</v>
          </cell>
          <cell r="E2197" t="str">
            <v>汉族</v>
          </cell>
          <cell r="F2197" t="str">
            <v>20050629</v>
          </cell>
          <cell r="G2197">
            <v>16</v>
          </cell>
          <cell r="H2197" t="str">
            <v>四川省仁寿县贵平镇中岗村11组</v>
          </cell>
        </row>
        <row r="2198">
          <cell r="C2198" t="str">
            <v>513822198307126937</v>
          </cell>
          <cell r="D2198" t="str">
            <v>男</v>
          </cell>
          <cell r="E2198" t="str">
            <v>汉族</v>
          </cell>
          <cell r="F2198" t="str">
            <v>19830712</v>
          </cell>
          <cell r="G2198">
            <v>38</v>
          </cell>
          <cell r="H2198" t="str">
            <v>四川省仁寿县贵平镇中岗村11组</v>
          </cell>
          <cell r="I2198">
            <v>15308222496</v>
          </cell>
        </row>
        <row r="2199">
          <cell r="C2199" t="str">
            <v>511121195007286947</v>
          </cell>
          <cell r="D2199" t="str">
            <v>女</v>
          </cell>
          <cell r="E2199" t="str">
            <v>汉族</v>
          </cell>
          <cell r="F2199" t="str">
            <v>19500728</v>
          </cell>
          <cell r="G2199">
            <v>71</v>
          </cell>
          <cell r="H2199" t="str">
            <v>四川省仁寿县贵平镇中岗村11组</v>
          </cell>
          <cell r="I2199">
            <v>15102855895</v>
          </cell>
        </row>
        <row r="2200">
          <cell r="C2200" t="str">
            <v>511121197509276932</v>
          </cell>
          <cell r="D2200" t="str">
            <v>男</v>
          </cell>
          <cell r="E2200" t="str">
            <v>汉族</v>
          </cell>
          <cell r="F2200" t="str">
            <v>19750927</v>
          </cell>
          <cell r="G2200">
            <v>46</v>
          </cell>
          <cell r="H2200" t="str">
            <v>四川省仁寿县贵平镇中岗村11组</v>
          </cell>
          <cell r="I2200">
            <v>13438485896</v>
          </cell>
        </row>
        <row r="2201">
          <cell r="C2201" t="str">
            <v>511121197706226782</v>
          </cell>
          <cell r="D2201" t="str">
            <v>女</v>
          </cell>
          <cell r="E2201" t="str">
            <v>汉族</v>
          </cell>
          <cell r="F2201" t="str">
            <v>19770622</v>
          </cell>
          <cell r="G2201">
            <v>44</v>
          </cell>
          <cell r="H2201" t="str">
            <v>四川省仁寿县贵平镇中岗村11组</v>
          </cell>
          <cell r="I2201">
            <v>13540359446</v>
          </cell>
        </row>
        <row r="2202">
          <cell r="C2202" t="str">
            <v>513822200304056718</v>
          </cell>
          <cell r="D2202" t="str">
            <v>男</v>
          </cell>
          <cell r="E2202" t="str">
            <v>汉族</v>
          </cell>
          <cell r="F2202" t="str">
            <v>20030405</v>
          </cell>
          <cell r="G2202">
            <v>18</v>
          </cell>
          <cell r="H2202" t="str">
            <v>四川省仁寿县贵平镇中岗村11组</v>
          </cell>
          <cell r="I2202">
            <v>15828149428</v>
          </cell>
        </row>
        <row r="2203">
          <cell r="C2203" t="str">
            <v>511121197208166932</v>
          </cell>
          <cell r="D2203" t="str">
            <v>男</v>
          </cell>
          <cell r="E2203" t="str">
            <v>汉族</v>
          </cell>
          <cell r="F2203" t="str">
            <v>19720816</v>
          </cell>
          <cell r="G2203">
            <v>49</v>
          </cell>
          <cell r="H2203" t="str">
            <v>四川省仁寿县贵平镇中岗村11组</v>
          </cell>
          <cell r="I2203">
            <v>18990319939</v>
          </cell>
        </row>
        <row r="2204">
          <cell r="C2204" t="str">
            <v>511421199506096739</v>
          </cell>
          <cell r="D2204" t="str">
            <v>男</v>
          </cell>
          <cell r="E2204" t="str">
            <v>汉族</v>
          </cell>
          <cell r="F2204" t="str">
            <v>19950609</v>
          </cell>
          <cell r="G2204">
            <v>26</v>
          </cell>
          <cell r="H2204" t="str">
            <v>四川省仁寿县贵平镇中岗村11组</v>
          </cell>
        </row>
        <row r="2205">
          <cell r="C2205" t="str">
            <v>511121197007306935</v>
          </cell>
          <cell r="D2205" t="str">
            <v>男</v>
          </cell>
          <cell r="E2205" t="str">
            <v>汉族</v>
          </cell>
          <cell r="F2205" t="str">
            <v>19700730</v>
          </cell>
          <cell r="G2205">
            <v>51</v>
          </cell>
          <cell r="H2205" t="str">
            <v>四川省仁寿县贵平镇中岗村11组</v>
          </cell>
          <cell r="I2205">
            <v>18382310442</v>
          </cell>
        </row>
        <row r="2206">
          <cell r="C2206" t="str">
            <v>511121196608066936</v>
          </cell>
          <cell r="D2206" t="str">
            <v>男</v>
          </cell>
          <cell r="E2206" t="str">
            <v>汉族</v>
          </cell>
          <cell r="F2206" t="str">
            <v>19660806</v>
          </cell>
          <cell r="G2206">
            <v>55</v>
          </cell>
          <cell r="H2206" t="str">
            <v>四川省仁寿县贵平镇中岗村11组</v>
          </cell>
          <cell r="I2206">
            <v>13980784792</v>
          </cell>
        </row>
        <row r="2207">
          <cell r="C2207" t="str">
            <v>511121196801076941</v>
          </cell>
          <cell r="D2207" t="str">
            <v>女</v>
          </cell>
          <cell r="E2207" t="str">
            <v>汉族</v>
          </cell>
          <cell r="F2207" t="str">
            <v>19680107</v>
          </cell>
          <cell r="G2207">
            <v>53</v>
          </cell>
          <cell r="H2207" t="str">
            <v>四川省仁寿县贵平镇中岗村11组</v>
          </cell>
          <cell r="I2207">
            <v>13258111379</v>
          </cell>
        </row>
        <row r="2208">
          <cell r="C2208" t="str">
            <v>513822199202286939</v>
          </cell>
          <cell r="D2208" t="str">
            <v>男</v>
          </cell>
          <cell r="E2208" t="str">
            <v>汉族</v>
          </cell>
          <cell r="F2208" t="str">
            <v>19920228</v>
          </cell>
          <cell r="G2208">
            <v>29</v>
          </cell>
          <cell r="H2208" t="str">
            <v>四川省仁寿县贵平镇中岗村11组</v>
          </cell>
          <cell r="I2208">
            <v>13880346765</v>
          </cell>
        </row>
        <row r="2209">
          <cell r="C2209" t="str">
            <v>511121195103046935</v>
          </cell>
          <cell r="D2209" t="str">
            <v>男</v>
          </cell>
          <cell r="E2209" t="str">
            <v>汉族</v>
          </cell>
          <cell r="F2209" t="str">
            <v>19510304</v>
          </cell>
          <cell r="G2209">
            <v>70</v>
          </cell>
          <cell r="H2209" t="str">
            <v>四川省仁寿县贵平镇中岗村11组</v>
          </cell>
        </row>
        <row r="2210">
          <cell r="C2210" t="str">
            <v>513822198603016935</v>
          </cell>
          <cell r="D2210" t="str">
            <v>男</v>
          </cell>
          <cell r="E2210" t="str">
            <v>汉族</v>
          </cell>
          <cell r="F2210" t="str">
            <v>19860301</v>
          </cell>
          <cell r="G2210">
            <v>35</v>
          </cell>
          <cell r="H2210" t="str">
            <v>四川省仁寿县贵平镇中岗村11组</v>
          </cell>
          <cell r="I2210">
            <v>18048784603</v>
          </cell>
        </row>
        <row r="2211">
          <cell r="C2211" t="str">
            <v>510723198705102488</v>
          </cell>
          <cell r="D2211" t="str">
            <v>女</v>
          </cell>
          <cell r="E2211" t="str">
            <v>汉族</v>
          </cell>
          <cell r="F2211" t="str">
            <v>19870510</v>
          </cell>
          <cell r="G2211">
            <v>34</v>
          </cell>
          <cell r="H2211" t="str">
            <v>四川省仁寿县贵平镇中岗村11组</v>
          </cell>
          <cell r="I2211">
            <v>13530384902</v>
          </cell>
        </row>
        <row r="2212">
          <cell r="C2212" t="str">
            <v>511421201201056867</v>
          </cell>
          <cell r="D2212" t="str">
            <v>女</v>
          </cell>
          <cell r="E2212" t="str">
            <v>汉族</v>
          </cell>
          <cell r="F2212" t="str">
            <v>20120105</v>
          </cell>
          <cell r="G2212">
            <v>9</v>
          </cell>
          <cell r="H2212" t="str">
            <v>四川省仁寿县贵平镇中岗村11组</v>
          </cell>
        </row>
        <row r="2213">
          <cell r="C2213" t="str">
            <v>51112119740918693X</v>
          </cell>
          <cell r="D2213" t="str">
            <v>男</v>
          </cell>
          <cell r="E2213" t="str">
            <v>汉族</v>
          </cell>
          <cell r="F2213" t="str">
            <v>19740918</v>
          </cell>
          <cell r="G2213">
            <v>47</v>
          </cell>
          <cell r="H2213" t="str">
            <v>四川省仁寿县贵平镇中岗村11组</v>
          </cell>
          <cell r="I2213">
            <v>15328764713</v>
          </cell>
        </row>
        <row r="2214">
          <cell r="C2214" t="str">
            <v>511421200803187691</v>
          </cell>
          <cell r="D2214" t="str">
            <v>男</v>
          </cell>
          <cell r="E2214" t="str">
            <v>汉族</v>
          </cell>
          <cell r="F2214" t="str">
            <v>20080318</v>
          </cell>
          <cell r="G2214">
            <v>13</v>
          </cell>
          <cell r="H2214" t="str">
            <v>四川省仁寿县贵平镇中岗村11组</v>
          </cell>
        </row>
        <row r="2215">
          <cell r="C2215" t="str">
            <v>513822199805026933</v>
          </cell>
          <cell r="D2215" t="str">
            <v>男</v>
          </cell>
          <cell r="E2215" t="str">
            <v>汉族</v>
          </cell>
          <cell r="F2215" t="str">
            <v>19980502</v>
          </cell>
          <cell r="G2215">
            <v>23</v>
          </cell>
          <cell r="H2215" t="str">
            <v>四川省仁寿县贵平镇中岗村11组</v>
          </cell>
          <cell r="I2215">
            <v>17608107887</v>
          </cell>
        </row>
        <row r="2216">
          <cell r="C2216" t="str">
            <v>511121195801156947</v>
          </cell>
          <cell r="D2216" t="str">
            <v>女</v>
          </cell>
          <cell r="E2216" t="str">
            <v>汉族</v>
          </cell>
          <cell r="F2216" t="str">
            <v>19580115</v>
          </cell>
          <cell r="G2216">
            <v>63</v>
          </cell>
          <cell r="H2216" t="str">
            <v>四川省仁寿县贵平镇中岗村11组</v>
          </cell>
          <cell r="I2216">
            <v>18048783813</v>
          </cell>
        </row>
        <row r="2217">
          <cell r="C2217" t="str">
            <v>513822198404206939</v>
          </cell>
          <cell r="D2217" t="str">
            <v>男</v>
          </cell>
          <cell r="E2217" t="str">
            <v>汉族</v>
          </cell>
          <cell r="F2217" t="str">
            <v>19840420</v>
          </cell>
          <cell r="G2217">
            <v>37</v>
          </cell>
          <cell r="H2217" t="str">
            <v>四川省仁寿县贵平镇中岗村11组</v>
          </cell>
          <cell r="I2217">
            <v>15008371006</v>
          </cell>
        </row>
        <row r="2218">
          <cell r="C2218" t="str">
            <v>513222199010060588</v>
          </cell>
          <cell r="D2218" t="str">
            <v>女</v>
          </cell>
          <cell r="E2218" t="str">
            <v>汉族</v>
          </cell>
          <cell r="F2218" t="str">
            <v>19901006</v>
          </cell>
          <cell r="G2218">
            <v>31</v>
          </cell>
          <cell r="H2218" t="str">
            <v>四川省仁寿县贵平镇中岗村11组</v>
          </cell>
          <cell r="I2218">
            <v>18380425866</v>
          </cell>
        </row>
        <row r="2219">
          <cell r="C2219" t="str">
            <v>51142120140830686X</v>
          </cell>
          <cell r="D2219" t="str">
            <v>女</v>
          </cell>
          <cell r="E2219" t="str">
            <v>汉族</v>
          </cell>
          <cell r="F2219" t="str">
            <v>20140830</v>
          </cell>
          <cell r="G2219">
            <v>7</v>
          </cell>
          <cell r="H2219" t="str">
            <v>四川省仁寿县贵平镇中岗村11组</v>
          </cell>
        </row>
        <row r="2220">
          <cell r="C2220" t="str">
            <v>511121195203256948</v>
          </cell>
          <cell r="D2220" t="str">
            <v>女</v>
          </cell>
          <cell r="E2220" t="str">
            <v>汉族</v>
          </cell>
          <cell r="F2220" t="str">
            <v>19520325</v>
          </cell>
          <cell r="G2220">
            <v>69</v>
          </cell>
          <cell r="H2220" t="str">
            <v>四川省仁寿县贵平镇中岗村11组</v>
          </cell>
          <cell r="I2220">
            <v>15198066763</v>
          </cell>
        </row>
        <row r="2221">
          <cell r="C2221" t="str">
            <v>511121195001026933</v>
          </cell>
          <cell r="D2221" t="str">
            <v>男</v>
          </cell>
          <cell r="E2221" t="str">
            <v>汉族</v>
          </cell>
          <cell r="F2221" t="str">
            <v>19500102</v>
          </cell>
          <cell r="G2221">
            <v>71</v>
          </cell>
          <cell r="H2221" t="str">
            <v>四川省仁寿县贵平镇中岗村11组</v>
          </cell>
          <cell r="I2221">
            <v>18123027868</v>
          </cell>
        </row>
        <row r="2222">
          <cell r="C2222" t="str">
            <v>511121197112176933</v>
          </cell>
          <cell r="D2222" t="str">
            <v>男</v>
          </cell>
          <cell r="E2222" t="str">
            <v>汉族</v>
          </cell>
          <cell r="F2222" t="str">
            <v>19711217</v>
          </cell>
          <cell r="G2222">
            <v>50</v>
          </cell>
          <cell r="H2222" t="str">
            <v>四川省仁寿县贵平镇中岗村11组</v>
          </cell>
          <cell r="I2222">
            <v>18381058922</v>
          </cell>
        </row>
        <row r="2223">
          <cell r="C2223" t="str">
            <v>511121197212156948</v>
          </cell>
          <cell r="D2223" t="str">
            <v>女</v>
          </cell>
          <cell r="E2223" t="str">
            <v>汉族</v>
          </cell>
          <cell r="F2223" t="str">
            <v>19721215</v>
          </cell>
          <cell r="G2223">
            <v>49</v>
          </cell>
          <cell r="H2223" t="str">
            <v>四川省仁寿县贵平镇中岗村11组</v>
          </cell>
          <cell r="I2223">
            <v>18381058905</v>
          </cell>
        </row>
        <row r="2224">
          <cell r="C2224" t="str">
            <v>513822199308226934</v>
          </cell>
          <cell r="D2224" t="str">
            <v>男</v>
          </cell>
          <cell r="E2224" t="str">
            <v>汉族</v>
          </cell>
          <cell r="F2224" t="str">
            <v>19930822</v>
          </cell>
          <cell r="G2224">
            <v>28</v>
          </cell>
          <cell r="H2224" t="str">
            <v>四川省仁寿县贵平镇中岗村11组</v>
          </cell>
          <cell r="I2224">
            <v>18381058905</v>
          </cell>
        </row>
        <row r="2225">
          <cell r="C2225" t="str">
            <v>511421200506196727</v>
          </cell>
          <cell r="D2225" t="str">
            <v>女</v>
          </cell>
          <cell r="E2225" t="str">
            <v>汉族</v>
          </cell>
          <cell r="F2225" t="str">
            <v>20050619</v>
          </cell>
          <cell r="G2225">
            <v>16</v>
          </cell>
          <cell r="H2225" t="str">
            <v>四川省仁寿县贵平镇中岗村11组</v>
          </cell>
        </row>
        <row r="2226">
          <cell r="C2226" t="str">
            <v>511121197804236941</v>
          </cell>
          <cell r="D2226" t="str">
            <v>女</v>
          </cell>
          <cell r="E2226" t="str">
            <v>汉族</v>
          </cell>
          <cell r="F2226" t="str">
            <v>19780423</v>
          </cell>
          <cell r="G2226">
            <v>43</v>
          </cell>
          <cell r="H2226" t="str">
            <v>四川省仁寿县贵平镇中岗村11组</v>
          </cell>
          <cell r="I2226">
            <v>13640654558</v>
          </cell>
        </row>
        <row r="2227">
          <cell r="C2227" t="str">
            <v>513822200002136704</v>
          </cell>
          <cell r="D2227" t="str">
            <v>女</v>
          </cell>
          <cell r="E2227" t="str">
            <v>汉族</v>
          </cell>
          <cell r="F2227" t="str">
            <v>20000213</v>
          </cell>
          <cell r="G2227">
            <v>21</v>
          </cell>
          <cell r="H2227" t="str">
            <v>四川省仁寿县贵平镇中岗村11组</v>
          </cell>
          <cell r="I2227">
            <v>18124005889</v>
          </cell>
        </row>
        <row r="2228">
          <cell r="C2228" t="str">
            <v>511121194005126945</v>
          </cell>
          <cell r="D2228" t="str">
            <v>女</v>
          </cell>
          <cell r="E2228" t="str">
            <v>汉族</v>
          </cell>
          <cell r="F2228" t="str">
            <v>19400512</v>
          </cell>
          <cell r="G2228">
            <v>81</v>
          </cell>
          <cell r="H2228" t="str">
            <v>四川省仁寿县贵平镇中岗村11组</v>
          </cell>
          <cell r="I2228">
            <v>19960761804</v>
          </cell>
        </row>
        <row r="2229">
          <cell r="C2229" t="str">
            <v>511421201106056930</v>
          </cell>
          <cell r="D2229" t="str">
            <v>男</v>
          </cell>
          <cell r="E2229" t="str">
            <v>汉族</v>
          </cell>
          <cell r="F2229" t="str">
            <v>20110605</v>
          </cell>
          <cell r="G2229">
            <v>10</v>
          </cell>
          <cell r="H2229" t="str">
            <v>四川省仁寿县贵平镇中岗村11组</v>
          </cell>
        </row>
        <row r="2230">
          <cell r="C2230" t="str">
            <v>511421200606026725</v>
          </cell>
          <cell r="D2230" t="str">
            <v>女</v>
          </cell>
          <cell r="E2230" t="str">
            <v>汉族</v>
          </cell>
          <cell r="F2230" t="str">
            <v>20060602</v>
          </cell>
          <cell r="G2230">
            <v>15</v>
          </cell>
          <cell r="H2230" t="str">
            <v>四川省仁寿县贵平镇中岗村11组</v>
          </cell>
          <cell r="I2230">
            <v>15882015589</v>
          </cell>
        </row>
        <row r="2231">
          <cell r="C2231" t="str">
            <v>513423198106070273</v>
          </cell>
          <cell r="D2231" t="str">
            <v>男</v>
          </cell>
          <cell r="E2231" t="str">
            <v>汉族</v>
          </cell>
          <cell r="F2231" t="str">
            <v>19810607</v>
          </cell>
          <cell r="G2231">
            <v>40</v>
          </cell>
          <cell r="H2231" t="str">
            <v>四川省仁寿县贵平镇中岗村11组</v>
          </cell>
          <cell r="I2231">
            <v>18111565807</v>
          </cell>
        </row>
        <row r="2232">
          <cell r="C2232" t="str">
            <v>511121194908206962</v>
          </cell>
          <cell r="D2232" t="str">
            <v>女</v>
          </cell>
          <cell r="E2232" t="str">
            <v>汉族</v>
          </cell>
          <cell r="F2232" t="str">
            <v>19490820</v>
          </cell>
          <cell r="G2232">
            <v>72</v>
          </cell>
          <cell r="H2232" t="str">
            <v>四川省仁寿县贵平镇中岗村11组</v>
          </cell>
          <cell r="I2232">
            <v>15328784172</v>
          </cell>
        </row>
        <row r="2233">
          <cell r="C2233" t="str">
            <v>51112119591115693X</v>
          </cell>
          <cell r="D2233" t="str">
            <v>男</v>
          </cell>
          <cell r="E2233" t="str">
            <v>汉族</v>
          </cell>
          <cell r="F2233" t="str">
            <v>19591115</v>
          </cell>
          <cell r="G2233">
            <v>62</v>
          </cell>
          <cell r="H2233" t="str">
            <v>四川省仁寿县贵平镇中岗村11组</v>
          </cell>
          <cell r="I2233">
            <v>13198360509</v>
          </cell>
        </row>
        <row r="2234">
          <cell r="C2234" t="str">
            <v>511121197101026972</v>
          </cell>
          <cell r="D2234" t="str">
            <v>男</v>
          </cell>
          <cell r="E2234" t="str">
            <v>汉族</v>
          </cell>
          <cell r="F2234" t="str">
            <v>19710102</v>
          </cell>
          <cell r="G2234">
            <v>50</v>
          </cell>
          <cell r="H2234" t="str">
            <v>四川省仁寿县贵平镇中岗村11组</v>
          </cell>
          <cell r="I2234">
            <v>15982092697</v>
          </cell>
        </row>
        <row r="2235">
          <cell r="C2235" t="str">
            <v>511121197103076949</v>
          </cell>
          <cell r="D2235" t="str">
            <v>女</v>
          </cell>
          <cell r="E2235" t="str">
            <v>汉族</v>
          </cell>
          <cell r="F2235" t="str">
            <v>19710307</v>
          </cell>
          <cell r="G2235">
            <v>50</v>
          </cell>
          <cell r="H2235" t="str">
            <v>四川省仁寿县贵平镇中岗村11组</v>
          </cell>
          <cell r="I2235">
            <v>13198559416</v>
          </cell>
        </row>
        <row r="2236">
          <cell r="C2236" t="str">
            <v>511121194708226942</v>
          </cell>
          <cell r="D2236" t="str">
            <v>女</v>
          </cell>
          <cell r="E2236" t="str">
            <v>汉族</v>
          </cell>
          <cell r="F2236" t="str">
            <v>19470822</v>
          </cell>
          <cell r="G2236">
            <v>74</v>
          </cell>
          <cell r="H2236" t="str">
            <v>四川省仁寿县贵平镇中岗村11组</v>
          </cell>
        </row>
        <row r="2237">
          <cell r="C2237" t="str">
            <v>511121194701166932</v>
          </cell>
          <cell r="D2237" t="str">
            <v>男</v>
          </cell>
          <cell r="E2237" t="str">
            <v>汉族</v>
          </cell>
          <cell r="F2237" t="str">
            <v>19470116</v>
          </cell>
          <cell r="G2237">
            <v>74</v>
          </cell>
          <cell r="H2237" t="str">
            <v>四川省仁寿县贵平镇中岗村11组</v>
          </cell>
        </row>
        <row r="2238">
          <cell r="C2238" t="str">
            <v>513822199412166935</v>
          </cell>
          <cell r="D2238" t="str">
            <v>男</v>
          </cell>
          <cell r="E2238" t="str">
            <v>汉族</v>
          </cell>
          <cell r="F2238" t="str">
            <v>19941216</v>
          </cell>
          <cell r="G2238">
            <v>27</v>
          </cell>
          <cell r="H2238" t="str">
            <v>四川省仁寿县贵平镇中岗村11组</v>
          </cell>
          <cell r="I2238">
            <v>18381431118</v>
          </cell>
        </row>
        <row r="2239">
          <cell r="C2239" t="str">
            <v>513822199201246943</v>
          </cell>
          <cell r="D2239" t="str">
            <v>女</v>
          </cell>
          <cell r="E2239" t="str">
            <v>汉族</v>
          </cell>
          <cell r="F2239" t="str">
            <v>19920124</v>
          </cell>
          <cell r="G2239">
            <v>29</v>
          </cell>
          <cell r="H2239" t="str">
            <v>四川省仁寿县贵平镇中岗村11组</v>
          </cell>
          <cell r="I2239">
            <v>17781166769</v>
          </cell>
        </row>
        <row r="2240">
          <cell r="C2240" t="str">
            <v>511121195311236936</v>
          </cell>
          <cell r="D2240" t="str">
            <v>男</v>
          </cell>
          <cell r="E2240" t="str">
            <v>汉族</v>
          </cell>
          <cell r="F2240" t="str">
            <v>19531123</v>
          </cell>
          <cell r="G2240">
            <v>68</v>
          </cell>
          <cell r="H2240" t="str">
            <v>四川省仁寿县贵平镇中岗村11组</v>
          </cell>
          <cell r="I2240">
            <v>17381118023</v>
          </cell>
        </row>
        <row r="2241">
          <cell r="C2241" t="str">
            <v>511121195212026968</v>
          </cell>
          <cell r="D2241" t="str">
            <v>女</v>
          </cell>
          <cell r="E2241" t="str">
            <v>汉族</v>
          </cell>
          <cell r="F2241" t="str">
            <v>19521202</v>
          </cell>
          <cell r="G2241">
            <v>69</v>
          </cell>
          <cell r="H2241" t="str">
            <v>四川省仁寿县贵平镇中岗村11组</v>
          </cell>
          <cell r="I2241">
            <v>18144218958</v>
          </cell>
        </row>
        <row r="2242">
          <cell r="C2242" t="str">
            <v>511121197801256947</v>
          </cell>
          <cell r="D2242" t="str">
            <v>女</v>
          </cell>
          <cell r="E2242" t="str">
            <v>汉族</v>
          </cell>
          <cell r="F2242" t="str">
            <v>19780125</v>
          </cell>
          <cell r="G2242">
            <v>43</v>
          </cell>
          <cell r="H2242" t="str">
            <v>四川省仁寿县贵平镇中岗村11组</v>
          </cell>
          <cell r="I2242">
            <v>13980858122</v>
          </cell>
        </row>
        <row r="2243">
          <cell r="C2243" t="str">
            <v>511121197205206935</v>
          </cell>
          <cell r="D2243" t="str">
            <v>男</v>
          </cell>
          <cell r="E2243" t="str">
            <v>汉族</v>
          </cell>
          <cell r="F2243" t="str">
            <v>19720520</v>
          </cell>
          <cell r="G2243">
            <v>49</v>
          </cell>
          <cell r="H2243" t="str">
            <v>四川省仁寿县贵平镇中岗村11组</v>
          </cell>
          <cell r="I2243">
            <v>13990360480</v>
          </cell>
        </row>
        <row r="2244">
          <cell r="C2244" t="str">
            <v>511121195509196933</v>
          </cell>
          <cell r="D2244" t="str">
            <v>男</v>
          </cell>
          <cell r="E2244" t="str">
            <v>汉族</v>
          </cell>
          <cell r="F2244" t="str">
            <v>19550919</v>
          </cell>
          <cell r="G2244">
            <v>66</v>
          </cell>
          <cell r="H2244" t="str">
            <v>四川省仁寿县贵平镇中岗村11组</v>
          </cell>
          <cell r="I2244">
            <v>13990303342</v>
          </cell>
        </row>
        <row r="2245">
          <cell r="C2245" t="str">
            <v>51112119620821694X</v>
          </cell>
          <cell r="D2245" t="str">
            <v>女</v>
          </cell>
          <cell r="E2245" t="str">
            <v>汉族</v>
          </cell>
          <cell r="F2245" t="str">
            <v>19620821</v>
          </cell>
          <cell r="G2245">
            <v>59</v>
          </cell>
          <cell r="H2245" t="str">
            <v>四川省仁寿县贵平镇中岗村11组</v>
          </cell>
          <cell r="I2245">
            <v>18228146542</v>
          </cell>
        </row>
        <row r="2246">
          <cell r="C2246" t="str">
            <v>51112119720909693X</v>
          </cell>
          <cell r="D2246" t="str">
            <v>男</v>
          </cell>
          <cell r="E2246" t="str">
            <v>汉族</v>
          </cell>
          <cell r="F2246" t="str">
            <v>19720909</v>
          </cell>
          <cell r="G2246">
            <v>49</v>
          </cell>
          <cell r="H2246" t="str">
            <v>四川省仁寿县贵平镇中岗村11组</v>
          </cell>
          <cell r="I2246">
            <v>15167314880</v>
          </cell>
        </row>
        <row r="2247">
          <cell r="C2247" t="str">
            <v>51112119351107694X</v>
          </cell>
          <cell r="D2247" t="str">
            <v>女</v>
          </cell>
          <cell r="E2247" t="str">
            <v>汉族</v>
          </cell>
          <cell r="F2247" t="str">
            <v>19351107</v>
          </cell>
          <cell r="G2247">
            <v>86</v>
          </cell>
          <cell r="H2247" t="str">
            <v>四川省仁寿县贵平镇中岗村11组</v>
          </cell>
        </row>
        <row r="2248">
          <cell r="C2248" t="str">
            <v>511121197705236962</v>
          </cell>
          <cell r="D2248" t="str">
            <v>女</v>
          </cell>
          <cell r="E2248" t="str">
            <v>汉族</v>
          </cell>
          <cell r="F2248" t="str">
            <v>19770523</v>
          </cell>
          <cell r="G2248">
            <v>44</v>
          </cell>
          <cell r="H2248" t="str">
            <v>四川省仁寿县贵平镇中岗村11组</v>
          </cell>
          <cell r="I2248">
            <v>13011793403</v>
          </cell>
        </row>
        <row r="2249">
          <cell r="C2249" t="str">
            <v>513822200003156715</v>
          </cell>
          <cell r="D2249" t="str">
            <v>男</v>
          </cell>
          <cell r="E2249" t="str">
            <v>汉族</v>
          </cell>
          <cell r="F2249" t="str">
            <v>20000315</v>
          </cell>
          <cell r="G2249">
            <v>21</v>
          </cell>
          <cell r="H2249" t="str">
            <v>四川省仁寿县贵平镇中岗村11组</v>
          </cell>
          <cell r="I2249">
            <v>18524136009</v>
          </cell>
        </row>
        <row r="2250">
          <cell r="C2250" t="str">
            <v>511121196901076930</v>
          </cell>
          <cell r="D2250" t="str">
            <v>男</v>
          </cell>
          <cell r="E2250" t="str">
            <v>汉族</v>
          </cell>
          <cell r="F2250" t="str">
            <v>19690107</v>
          </cell>
          <cell r="G2250">
            <v>52</v>
          </cell>
          <cell r="H2250" t="str">
            <v>四川省仁寿县贵平镇中岗村11组</v>
          </cell>
          <cell r="I2250">
            <v>13252311265</v>
          </cell>
        </row>
        <row r="2251">
          <cell r="C2251" t="str">
            <v>511121197310086920</v>
          </cell>
          <cell r="D2251" t="str">
            <v>女</v>
          </cell>
          <cell r="E2251" t="str">
            <v>汉族</v>
          </cell>
          <cell r="F2251" t="str">
            <v>19731008</v>
          </cell>
          <cell r="G2251">
            <v>48</v>
          </cell>
          <cell r="H2251" t="str">
            <v>四川省仁寿县贵平镇中岗村11组</v>
          </cell>
          <cell r="I2251">
            <v>13250902967</v>
          </cell>
        </row>
        <row r="2252">
          <cell r="C2252" t="str">
            <v>513822199510246955</v>
          </cell>
          <cell r="D2252" t="str">
            <v>男</v>
          </cell>
          <cell r="E2252" t="str">
            <v>汉族</v>
          </cell>
          <cell r="F2252" t="str">
            <v>19951024</v>
          </cell>
          <cell r="G2252">
            <v>26</v>
          </cell>
          <cell r="H2252" t="str">
            <v>四川省仁寿县贵平镇中岗村11组</v>
          </cell>
          <cell r="I2252">
            <v>13656839854</v>
          </cell>
        </row>
        <row r="2253">
          <cell r="C2253" t="str">
            <v>511421201812170220</v>
          </cell>
          <cell r="D2253" t="str">
            <v>女</v>
          </cell>
          <cell r="E2253" t="str">
            <v>汉族</v>
          </cell>
          <cell r="F2253" t="str">
            <v>20181217</v>
          </cell>
          <cell r="G2253">
            <v>3</v>
          </cell>
          <cell r="H2253" t="str">
            <v>四川省仁寿县贵平镇中岗村11组</v>
          </cell>
        </row>
        <row r="2254">
          <cell r="C2254" t="str">
            <v>511121192707196949</v>
          </cell>
          <cell r="D2254" t="str">
            <v>女</v>
          </cell>
          <cell r="E2254" t="str">
            <v>汉族</v>
          </cell>
          <cell r="F2254" t="str">
            <v>19270719</v>
          </cell>
          <cell r="G2254">
            <v>94</v>
          </cell>
          <cell r="H2254" t="str">
            <v>四川省仁寿县贵平镇中岗村11组</v>
          </cell>
        </row>
        <row r="2255">
          <cell r="C2255" t="str">
            <v>511121197212296932</v>
          </cell>
          <cell r="D2255" t="str">
            <v>男</v>
          </cell>
          <cell r="E2255" t="str">
            <v>汉族</v>
          </cell>
          <cell r="F2255" t="str">
            <v>19721229</v>
          </cell>
          <cell r="G2255">
            <v>49</v>
          </cell>
          <cell r="H2255" t="str">
            <v>四川省仁寿县贵平镇中岗村11组</v>
          </cell>
          <cell r="I2255">
            <v>13438380090</v>
          </cell>
        </row>
        <row r="2256">
          <cell r="C2256" t="str">
            <v>511121197906306939</v>
          </cell>
          <cell r="D2256" t="str">
            <v>男</v>
          </cell>
          <cell r="E2256" t="str">
            <v>汉族</v>
          </cell>
          <cell r="F2256" t="str">
            <v>19790630</v>
          </cell>
          <cell r="G2256">
            <v>42</v>
          </cell>
          <cell r="H2256" t="str">
            <v>四川省仁寿县贵平镇中岗村11组</v>
          </cell>
          <cell r="I2256">
            <v>18728477730</v>
          </cell>
        </row>
        <row r="2257">
          <cell r="C2257" t="str">
            <v>511121197707046935</v>
          </cell>
          <cell r="D2257" t="str">
            <v>男</v>
          </cell>
          <cell r="E2257" t="str">
            <v>汉族</v>
          </cell>
          <cell r="F2257" t="str">
            <v>19770704</v>
          </cell>
          <cell r="G2257">
            <v>44</v>
          </cell>
          <cell r="H2257" t="str">
            <v>四川省仁寿县贵平镇中岗村11组</v>
          </cell>
          <cell r="I2257">
            <v>18299166518</v>
          </cell>
        </row>
        <row r="2258">
          <cell r="C2258" t="str">
            <v>652301200808082523</v>
          </cell>
          <cell r="D2258" t="str">
            <v>女</v>
          </cell>
          <cell r="E2258" t="str">
            <v>汉族</v>
          </cell>
          <cell r="F2258" t="str">
            <v>20080808</v>
          </cell>
          <cell r="G2258">
            <v>13</v>
          </cell>
          <cell r="H2258" t="str">
            <v>四川省仁寿县贵平镇中岗村11组</v>
          </cell>
          <cell r="I2258">
            <v>18299166518</v>
          </cell>
        </row>
        <row r="2259">
          <cell r="C2259" t="str">
            <v>511121197507276955</v>
          </cell>
          <cell r="D2259" t="str">
            <v>男</v>
          </cell>
          <cell r="E2259" t="str">
            <v>汉族</v>
          </cell>
          <cell r="F2259" t="str">
            <v>19750727</v>
          </cell>
          <cell r="G2259">
            <v>46</v>
          </cell>
          <cell r="H2259" t="str">
            <v>四川省仁寿县贵平镇中岗村11组</v>
          </cell>
          <cell r="I2259">
            <v>15899136605</v>
          </cell>
        </row>
        <row r="2260">
          <cell r="C2260" t="str">
            <v>620822197504090724</v>
          </cell>
          <cell r="D2260" t="str">
            <v>女</v>
          </cell>
          <cell r="E2260" t="str">
            <v>汉族</v>
          </cell>
          <cell r="F2260" t="str">
            <v>19750409</v>
          </cell>
          <cell r="G2260">
            <v>46</v>
          </cell>
          <cell r="H2260" t="str">
            <v>四川省仁寿县贵平镇中岗村11组</v>
          </cell>
          <cell r="I2260">
            <v>13659952606</v>
          </cell>
        </row>
        <row r="2261">
          <cell r="C2261" t="str">
            <v>511121197411166938</v>
          </cell>
          <cell r="D2261" t="str">
            <v>男</v>
          </cell>
          <cell r="E2261" t="str">
            <v>汉族</v>
          </cell>
          <cell r="F2261" t="str">
            <v>19741116</v>
          </cell>
          <cell r="G2261">
            <v>47</v>
          </cell>
          <cell r="H2261" t="str">
            <v>四川省仁寿县贵平镇中岗村11组</v>
          </cell>
          <cell r="I2261">
            <v>18807724032</v>
          </cell>
        </row>
        <row r="2262">
          <cell r="C2262" t="str">
            <v>511421200505196696</v>
          </cell>
          <cell r="D2262" t="str">
            <v>男</v>
          </cell>
          <cell r="E2262" t="str">
            <v>汉族</v>
          </cell>
          <cell r="F2262" t="str">
            <v>20050519</v>
          </cell>
          <cell r="G2262">
            <v>16</v>
          </cell>
          <cell r="H2262" t="str">
            <v>四川省仁寿县贵平镇中岗村11组</v>
          </cell>
        </row>
        <row r="2263">
          <cell r="C2263" t="str">
            <v>513822199508136757</v>
          </cell>
          <cell r="D2263" t="str">
            <v>男</v>
          </cell>
          <cell r="E2263" t="str">
            <v>汉族</v>
          </cell>
          <cell r="F2263" t="str">
            <v>19950813</v>
          </cell>
          <cell r="G2263">
            <v>26</v>
          </cell>
          <cell r="H2263" t="str">
            <v>四川省仁寿县贵平镇中岗村11组</v>
          </cell>
          <cell r="I2263">
            <v>13541056975</v>
          </cell>
        </row>
        <row r="2264">
          <cell r="C2264" t="str">
            <v>511121197907106955</v>
          </cell>
          <cell r="D2264" t="str">
            <v>男</v>
          </cell>
          <cell r="E2264" t="str">
            <v>汉族</v>
          </cell>
          <cell r="F2264" t="str">
            <v>19790710</v>
          </cell>
          <cell r="G2264">
            <v>42</v>
          </cell>
          <cell r="H2264" t="str">
            <v>四川省仁寿县贵平镇中岗村11组</v>
          </cell>
          <cell r="I2264">
            <v>18482222366</v>
          </cell>
        </row>
        <row r="2265">
          <cell r="C2265" t="str">
            <v>511421201308116874</v>
          </cell>
          <cell r="D2265" t="str">
            <v>男</v>
          </cell>
          <cell r="E2265" t="str">
            <v>汉族</v>
          </cell>
          <cell r="F2265" t="str">
            <v>20130811</v>
          </cell>
          <cell r="G2265">
            <v>8</v>
          </cell>
          <cell r="H2265" t="str">
            <v>四川省仁寿县贵平镇中岗村11组</v>
          </cell>
        </row>
        <row r="2266">
          <cell r="C2266" t="str">
            <v>511421200609306765</v>
          </cell>
          <cell r="D2266" t="str">
            <v>女</v>
          </cell>
          <cell r="E2266" t="str">
            <v>汉族</v>
          </cell>
          <cell r="F2266" t="str">
            <v>20060930</v>
          </cell>
          <cell r="G2266">
            <v>15</v>
          </cell>
          <cell r="H2266" t="str">
            <v>四川省仁寿县贵平镇中岗村11组</v>
          </cell>
        </row>
        <row r="2267">
          <cell r="C2267" t="str">
            <v>511121197601106936</v>
          </cell>
          <cell r="D2267" t="str">
            <v>男</v>
          </cell>
          <cell r="E2267" t="str">
            <v>汉族</v>
          </cell>
          <cell r="F2267" t="str">
            <v>19760110</v>
          </cell>
          <cell r="G2267">
            <v>45</v>
          </cell>
          <cell r="H2267" t="str">
            <v>四川省仁寿县贵平镇中岗村11组</v>
          </cell>
          <cell r="I2267">
            <v>13699092700</v>
          </cell>
        </row>
        <row r="2268">
          <cell r="C2268" t="str">
            <v>511421201104166941</v>
          </cell>
          <cell r="D2268" t="str">
            <v>女</v>
          </cell>
          <cell r="E2268" t="str">
            <v>汉族</v>
          </cell>
          <cell r="F2268" t="str">
            <v>20110416</v>
          </cell>
          <cell r="G2268">
            <v>10</v>
          </cell>
          <cell r="H2268" t="str">
            <v>四川省仁寿县贵平镇中岗村11组</v>
          </cell>
        </row>
        <row r="2269">
          <cell r="C2269" t="str">
            <v>511421200308046699</v>
          </cell>
          <cell r="D2269" t="str">
            <v>男</v>
          </cell>
          <cell r="E2269" t="str">
            <v>汉族</v>
          </cell>
          <cell r="F2269" t="str">
            <v>20030804</v>
          </cell>
          <cell r="G2269">
            <v>18</v>
          </cell>
          <cell r="H2269" t="str">
            <v>四川省仁寿县贵平镇中岗村11组</v>
          </cell>
          <cell r="I2269">
            <v>1572848061</v>
          </cell>
        </row>
        <row r="2270">
          <cell r="C2270" t="str">
            <v>511121197403166938</v>
          </cell>
          <cell r="D2270" t="str">
            <v>男</v>
          </cell>
          <cell r="E2270" t="str">
            <v>汉族</v>
          </cell>
          <cell r="F2270" t="str">
            <v>19740316</v>
          </cell>
          <cell r="G2270">
            <v>47</v>
          </cell>
          <cell r="H2270" t="str">
            <v>四川省仁寿县贵平镇中岗村11组</v>
          </cell>
          <cell r="I2270">
            <v>15983305154</v>
          </cell>
        </row>
        <row r="2271">
          <cell r="C2271" t="str">
            <v>513822200202266749</v>
          </cell>
          <cell r="D2271" t="str">
            <v>女</v>
          </cell>
          <cell r="E2271" t="str">
            <v>汉族</v>
          </cell>
          <cell r="F2271" t="str">
            <v>20020226</v>
          </cell>
          <cell r="G2271">
            <v>19</v>
          </cell>
          <cell r="H2271" t="str">
            <v>四川省仁寿县贵平镇中岗村11组</v>
          </cell>
        </row>
        <row r="2272">
          <cell r="C2272" t="str">
            <v>511421200801166707</v>
          </cell>
          <cell r="D2272" t="str">
            <v>女</v>
          </cell>
          <cell r="E2272" t="str">
            <v>汉族</v>
          </cell>
          <cell r="F2272" t="str">
            <v>20080116</v>
          </cell>
          <cell r="G2272">
            <v>13</v>
          </cell>
          <cell r="H2272" t="str">
            <v>四川省仁寿县贵平镇中岗村11组</v>
          </cell>
        </row>
        <row r="2273">
          <cell r="C2273" t="str">
            <v>51112119671024695X</v>
          </cell>
          <cell r="D2273" t="str">
            <v>男</v>
          </cell>
          <cell r="E2273" t="str">
            <v>汉族</v>
          </cell>
          <cell r="F2273" t="str">
            <v>19671024</v>
          </cell>
          <cell r="G2273">
            <v>54</v>
          </cell>
          <cell r="H2273" t="str">
            <v>四川省仁寿县贵平镇中岗村11组</v>
          </cell>
          <cell r="I2273">
            <v>13086472123</v>
          </cell>
        </row>
        <row r="2274">
          <cell r="C2274" t="str">
            <v>513822199201136947</v>
          </cell>
          <cell r="D2274" t="str">
            <v>女</v>
          </cell>
          <cell r="E2274" t="str">
            <v>汉族</v>
          </cell>
          <cell r="F2274" t="str">
            <v>19920113</v>
          </cell>
          <cell r="G2274">
            <v>29</v>
          </cell>
          <cell r="H2274" t="str">
            <v>四川省仁寿县贵平镇中岗村11组</v>
          </cell>
          <cell r="I2274">
            <v>13658048362</v>
          </cell>
        </row>
        <row r="2275">
          <cell r="C2275" t="str">
            <v>51382219930911693X</v>
          </cell>
          <cell r="D2275" t="str">
            <v>男</v>
          </cell>
          <cell r="E2275" t="str">
            <v>汉族</v>
          </cell>
          <cell r="F2275" t="str">
            <v>19930911</v>
          </cell>
          <cell r="G2275">
            <v>28</v>
          </cell>
          <cell r="H2275" t="str">
            <v>四川省仁寿县贵平镇中岗村11组</v>
          </cell>
          <cell r="I2275">
            <v>18094626508</v>
          </cell>
        </row>
        <row r="2276">
          <cell r="C2276" t="str">
            <v>51112119680908695X</v>
          </cell>
          <cell r="D2276" t="str">
            <v>男</v>
          </cell>
          <cell r="E2276" t="str">
            <v>汉族</v>
          </cell>
          <cell r="F2276" t="str">
            <v>19680908</v>
          </cell>
          <cell r="G2276">
            <v>53</v>
          </cell>
          <cell r="H2276" t="str">
            <v>四川省仁寿县贵平镇中岗村11组</v>
          </cell>
          <cell r="I2276">
            <v>15884475855</v>
          </cell>
        </row>
        <row r="2277">
          <cell r="C2277" t="str">
            <v>511121196705086947</v>
          </cell>
          <cell r="D2277" t="str">
            <v>女</v>
          </cell>
          <cell r="E2277" t="str">
            <v>汉族</v>
          </cell>
          <cell r="F2277" t="str">
            <v>19670508</v>
          </cell>
          <cell r="G2277">
            <v>54</v>
          </cell>
          <cell r="H2277" t="str">
            <v>四川省仁寿县贵平镇中岗村11组</v>
          </cell>
          <cell r="I2277">
            <v>15108315512</v>
          </cell>
        </row>
        <row r="2278">
          <cell r="C2278" t="str">
            <v>513822198909206926</v>
          </cell>
          <cell r="D2278" t="str">
            <v>女</v>
          </cell>
          <cell r="E2278" t="str">
            <v>汉族</v>
          </cell>
          <cell r="F2278" t="str">
            <v>19890920</v>
          </cell>
          <cell r="G2278">
            <v>32</v>
          </cell>
          <cell r="H2278" t="str">
            <v>四川省仁寿县贵平镇中岗村11组</v>
          </cell>
          <cell r="I2278">
            <v>15982461865</v>
          </cell>
        </row>
        <row r="2279">
          <cell r="C2279" t="str">
            <v>513822198806246933</v>
          </cell>
          <cell r="D2279" t="str">
            <v>男</v>
          </cell>
          <cell r="E2279" t="str">
            <v>汉族</v>
          </cell>
          <cell r="F2279" t="str">
            <v>19880624</v>
          </cell>
          <cell r="G2279">
            <v>33</v>
          </cell>
          <cell r="H2279" t="str">
            <v>四川省仁寿县贵平镇中岗村11组</v>
          </cell>
          <cell r="I2279">
            <v>13417358220</v>
          </cell>
        </row>
        <row r="2280">
          <cell r="C2280" t="str">
            <v>511121197808026933</v>
          </cell>
          <cell r="D2280" t="str">
            <v>男</v>
          </cell>
          <cell r="E2280" t="str">
            <v>汉族</v>
          </cell>
          <cell r="F2280" t="str">
            <v>19780802</v>
          </cell>
          <cell r="G2280">
            <v>43</v>
          </cell>
          <cell r="H2280" t="str">
            <v>四川省仁寿县贵平镇中岗村11组</v>
          </cell>
          <cell r="I2280">
            <v>18306665339</v>
          </cell>
        </row>
        <row r="2281">
          <cell r="C2281" t="str">
            <v>511121197901286932</v>
          </cell>
          <cell r="D2281" t="str">
            <v>男</v>
          </cell>
          <cell r="E2281" t="str">
            <v>汉族</v>
          </cell>
          <cell r="F2281" t="str">
            <v>19790128</v>
          </cell>
          <cell r="G2281">
            <v>42</v>
          </cell>
          <cell r="H2281" t="str">
            <v>四川省仁寿县贵平镇中岗村11组</v>
          </cell>
          <cell r="I2281">
            <v>13880315354</v>
          </cell>
        </row>
        <row r="2282">
          <cell r="C2282" t="str">
            <v>513822200406276789</v>
          </cell>
          <cell r="D2282" t="str">
            <v>女</v>
          </cell>
          <cell r="E2282" t="str">
            <v>汉族</v>
          </cell>
          <cell r="F2282" t="str">
            <v>20040627</v>
          </cell>
          <cell r="G2282">
            <v>17</v>
          </cell>
          <cell r="H2282" t="str">
            <v>四川省仁寿县贵平镇中岗村11组</v>
          </cell>
        </row>
        <row r="2283">
          <cell r="C2283" t="str">
            <v>511121196211216932</v>
          </cell>
          <cell r="D2283" t="str">
            <v>男</v>
          </cell>
          <cell r="E2283" t="str">
            <v>汉族</v>
          </cell>
          <cell r="F2283" t="str">
            <v>19621121</v>
          </cell>
          <cell r="G2283">
            <v>59</v>
          </cell>
          <cell r="H2283" t="str">
            <v>四川省仁寿县贵平镇中岗村11组</v>
          </cell>
          <cell r="I2283">
            <v>13590308158</v>
          </cell>
        </row>
        <row r="2284">
          <cell r="C2284" t="str">
            <v>511121196701156944</v>
          </cell>
          <cell r="D2284" t="str">
            <v>女</v>
          </cell>
          <cell r="E2284" t="str">
            <v>汉族</v>
          </cell>
          <cell r="F2284" t="str">
            <v>19670115</v>
          </cell>
          <cell r="G2284">
            <v>54</v>
          </cell>
          <cell r="H2284" t="str">
            <v>四川省仁寿县贵平镇中岗村11组</v>
          </cell>
          <cell r="I2284">
            <v>18090475941</v>
          </cell>
        </row>
        <row r="2285">
          <cell r="C2285" t="str">
            <v>513822198411156941</v>
          </cell>
          <cell r="D2285" t="str">
            <v>女</v>
          </cell>
          <cell r="E2285" t="str">
            <v>汉族</v>
          </cell>
          <cell r="F2285" t="str">
            <v>19841115</v>
          </cell>
          <cell r="G2285">
            <v>37</v>
          </cell>
          <cell r="H2285" t="str">
            <v>四川省仁寿县贵平镇中岗村11组</v>
          </cell>
          <cell r="I2285">
            <v>15328070336</v>
          </cell>
        </row>
        <row r="2286">
          <cell r="C2286" t="str">
            <v>513822198609016944</v>
          </cell>
          <cell r="D2286" t="str">
            <v>女</v>
          </cell>
          <cell r="E2286" t="str">
            <v>汉族</v>
          </cell>
          <cell r="F2286" t="str">
            <v>19860901</v>
          </cell>
          <cell r="G2286">
            <v>35</v>
          </cell>
          <cell r="H2286" t="str">
            <v>四川省仁寿县贵平镇中岗村11组</v>
          </cell>
          <cell r="I2286">
            <v>15882015589</v>
          </cell>
        </row>
        <row r="2287">
          <cell r="C2287" t="str">
            <v>513822198608036935</v>
          </cell>
          <cell r="D2287" t="str">
            <v>男</v>
          </cell>
          <cell r="E2287" t="str">
            <v>汉族</v>
          </cell>
          <cell r="F2287" t="str">
            <v>19860803</v>
          </cell>
          <cell r="G2287">
            <v>35</v>
          </cell>
          <cell r="H2287" t="str">
            <v>四川省仁寿县贵平镇中岗村11组</v>
          </cell>
          <cell r="I2287">
            <v>15067327831</v>
          </cell>
        </row>
        <row r="2288">
          <cell r="C2288" t="str">
            <v>513822199002206746</v>
          </cell>
          <cell r="D2288" t="str">
            <v>女</v>
          </cell>
          <cell r="E2288" t="str">
            <v>汉族</v>
          </cell>
          <cell r="F2288" t="str">
            <v>19900220</v>
          </cell>
          <cell r="G2288">
            <v>31</v>
          </cell>
          <cell r="H2288" t="str">
            <v>四川省仁寿县贵平镇中岗村11组</v>
          </cell>
          <cell r="I2288">
            <v>15888395049</v>
          </cell>
        </row>
        <row r="2289">
          <cell r="C2289" t="str">
            <v>511421200909226791</v>
          </cell>
          <cell r="D2289" t="str">
            <v>男</v>
          </cell>
          <cell r="E2289" t="str">
            <v>汉族</v>
          </cell>
          <cell r="F2289" t="str">
            <v>20090922</v>
          </cell>
          <cell r="G2289">
            <v>12</v>
          </cell>
          <cell r="H2289" t="str">
            <v>四川省仁寿县贵平镇中岗村11组</v>
          </cell>
        </row>
        <row r="2290">
          <cell r="C2290" t="str">
            <v>511421201710230632</v>
          </cell>
          <cell r="D2290" t="str">
            <v>男</v>
          </cell>
          <cell r="E2290" t="str">
            <v>汉族</v>
          </cell>
          <cell r="F2290" t="str">
            <v>20171023</v>
          </cell>
          <cell r="G2290">
            <v>4</v>
          </cell>
          <cell r="H2290" t="str">
            <v>四川省仁寿县贵平镇中岗村11组</v>
          </cell>
        </row>
        <row r="2291">
          <cell r="C2291" t="str">
            <v>511121198108116932</v>
          </cell>
          <cell r="D2291" t="str">
            <v>男</v>
          </cell>
          <cell r="E2291" t="str">
            <v>汉族</v>
          </cell>
          <cell r="F2291" t="str">
            <v>19810811</v>
          </cell>
          <cell r="G2291">
            <v>40</v>
          </cell>
          <cell r="H2291" t="str">
            <v>四川省仁寿县贵平镇中岗村11组</v>
          </cell>
          <cell r="I2291">
            <v>18582408316</v>
          </cell>
        </row>
        <row r="2292">
          <cell r="C2292" t="str">
            <v>510322199101238225</v>
          </cell>
          <cell r="D2292" t="str">
            <v>女</v>
          </cell>
          <cell r="E2292" t="str">
            <v>汉族</v>
          </cell>
          <cell r="F2292" t="str">
            <v>19910123</v>
          </cell>
          <cell r="G2292">
            <v>30</v>
          </cell>
          <cell r="H2292" t="str">
            <v>四川省仁寿县贵平镇中岗村11组</v>
          </cell>
          <cell r="I2292">
            <v>18582418128</v>
          </cell>
        </row>
        <row r="2293">
          <cell r="C2293" t="str">
            <v>511421202009040018</v>
          </cell>
          <cell r="D2293" t="str">
            <v>男</v>
          </cell>
          <cell r="E2293" t="str">
            <v>汉族</v>
          </cell>
          <cell r="F2293" t="str">
            <v>20200904</v>
          </cell>
          <cell r="G2293">
            <v>1</v>
          </cell>
          <cell r="H2293" t="str">
            <v>四川省仁寿县贵平镇中岗村11组</v>
          </cell>
        </row>
        <row r="2294">
          <cell r="C2294" t="str">
            <v>511421201805110086</v>
          </cell>
          <cell r="D2294" t="str">
            <v>女</v>
          </cell>
          <cell r="E2294" t="str">
            <v>汉族</v>
          </cell>
          <cell r="F2294" t="str">
            <v>20180511</v>
          </cell>
          <cell r="G2294">
            <v>3</v>
          </cell>
          <cell r="H2294" t="str">
            <v>四川省仁寿县贵平镇中岗村11组</v>
          </cell>
        </row>
        <row r="2295">
          <cell r="C2295" t="str">
            <v>511421200912086785</v>
          </cell>
          <cell r="D2295" t="str">
            <v>女</v>
          </cell>
          <cell r="E2295" t="str">
            <v>汉族</v>
          </cell>
          <cell r="F2295" t="str">
            <v>20091208</v>
          </cell>
          <cell r="G2295">
            <v>12</v>
          </cell>
          <cell r="H2295" t="str">
            <v>四川省仁寿县贵平镇中岗村11组</v>
          </cell>
        </row>
        <row r="2296">
          <cell r="C2296" t="str">
            <v>513822198602166931</v>
          </cell>
          <cell r="D2296" t="str">
            <v>男</v>
          </cell>
          <cell r="E2296" t="str">
            <v>汉族</v>
          </cell>
          <cell r="F2296" t="str">
            <v>19860216</v>
          </cell>
          <cell r="G2296">
            <v>35</v>
          </cell>
          <cell r="H2296" t="str">
            <v>四川省仁寿县贵平镇中岗村11组</v>
          </cell>
          <cell r="I2296">
            <v>18221930356</v>
          </cell>
        </row>
        <row r="2297">
          <cell r="C2297" t="str">
            <v>511421201012056972</v>
          </cell>
          <cell r="D2297" t="str">
            <v>男</v>
          </cell>
          <cell r="E2297" t="str">
            <v>汉族</v>
          </cell>
          <cell r="F2297" t="str">
            <v>20101205</v>
          </cell>
          <cell r="G2297">
            <v>11</v>
          </cell>
          <cell r="H2297" t="str">
            <v>四川省仁寿县贵平镇中岗村11组</v>
          </cell>
        </row>
        <row r="2298">
          <cell r="C2298" t="str">
            <v>513822198701016939</v>
          </cell>
          <cell r="D2298" t="str">
            <v>男</v>
          </cell>
          <cell r="E2298" t="str">
            <v>汉族</v>
          </cell>
          <cell r="F2298" t="str">
            <v>19870101</v>
          </cell>
          <cell r="G2298">
            <v>34</v>
          </cell>
          <cell r="H2298" t="str">
            <v>四川省仁寿县贵平镇中岗村11组</v>
          </cell>
          <cell r="I2298">
            <v>18783326660</v>
          </cell>
        </row>
        <row r="2299">
          <cell r="C2299" t="str">
            <v>52212119900403258X</v>
          </cell>
          <cell r="D2299" t="str">
            <v>女</v>
          </cell>
          <cell r="E2299" t="str">
            <v>汉族</v>
          </cell>
          <cell r="F2299" t="str">
            <v>19900403</v>
          </cell>
          <cell r="G2299">
            <v>31</v>
          </cell>
          <cell r="H2299" t="str">
            <v>四川省仁寿县贵平镇中岗村11组</v>
          </cell>
          <cell r="I2299">
            <v>18200556532</v>
          </cell>
        </row>
        <row r="2300">
          <cell r="C2300" t="str">
            <v>511421201001266878</v>
          </cell>
          <cell r="D2300" t="str">
            <v>男</v>
          </cell>
          <cell r="E2300" t="str">
            <v>汉族</v>
          </cell>
          <cell r="F2300" t="str">
            <v>20100126</v>
          </cell>
          <cell r="G2300">
            <v>11</v>
          </cell>
          <cell r="H2300" t="str">
            <v>四川省仁寿县贵平镇中岗村11组</v>
          </cell>
        </row>
        <row r="2301">
          <cell r="C2301" t="str">
            <v>511421201707280057</v>
          </cell>
          <cell r="D2301" t="str">
            <v>女</v>
          </cell>
          <cell r="E2301" t="str">
            <v>汉族</v>
          </cell>
          <cell r="F2301" t="str">
            <v>20170728</v>
          </cell>
          <cell r="G2301">
            <v>4</v>
          </cell>
          <cell r="H2301" t="str">
            <v>四川省仁寿县贵平镇中岗村11组</v>
          </cell>
        </row>
        <row r="2302">
          <cell r="C2302" t="str">
            <v>511121196909056934</v>
          </cell>
          <cell r="D2302" t="str">
            <v>男</v>
          </cell>
          <cell r="E2302" t="str">
            <v>汉族</v>
          </cell>
          <cell r="F2302" t="str">
            <v>19690905</v>
          </cell>
          <cell r="G2302">
            <v>52</v>
          </cell>
          <cell r="H2302" t="str">
            <v>四川省仁寿县贵平镇中岗村11组</v>
          </cell>
          <cell r="I2302">
            <v>13086677539</v>
          </cell>
        </row>
        <row r="2303">
          <cell r="C2303" t="str">
            <v>513822199204276937</v>
          </cell>
          <cell r="D2303" t="str">
            <v>男</v>
          </cell>
          <cell r="E2303" t="str">
            <v>汉族</v>
          </cell>
          <cell r="F2303" t="str">
            <v>19920427</v>
          </cell>
          <cell r="G2303">
            <v>29</v>
          </cell>
          <cell r="H2303" t="str">
            <v>四川省仁寿县贵平镇中岗村11组</v>
          </cell>
          <cell r="I2303">
            <v>15982393968</v>
          </cell>
        </row>
        <row r="2304">
          <cell r="C2304" t="str">
            <v>51382219921109674X</v>
          </cell>
          <cell r="D2304" t="str">
            <v>女</v>
          </cell>
          <cell r="E2304" t="str">
            <v>汉族</v>
          </cell>
          <cell r="F2304" t="str">
            <v>19921109</v>
          </cell>
          <cell r="G2304">
            <v>29</v>
          </cell>
          <cell r="H2304" t="str">
            <v>四川省仁寿县贵平镇中岗村11组</v>
          </cell>
          <cell r="I2304">
            <v>15882485895</v>
          </cell>
        </row>
        <row r="2305">
          <cell r="C2305" t="str">
            <v>511421201906170256</v>
          </cell>
          <cell r="D2305" t="str">
            <v>男</v>
          </cell>
          <cell r="E2305" t="str">
            <v>男</v>
          </cell>
          <cell r="F2305" t="str">
            <v>20190617</v>
          </cell>
          <cell r="G2305">
            <v>2</v>
          </cell>
          <cell r="H2305" t="str">
            <v>四川省仁寿县贵平镇中岗村11组</v>
          </cell>
        </row>
        <row r="2306">
          <cell r="C2306" t="str">
            <v>511121194508046947</v>
          </cell>
          <cell r="D2306" t="str">
            <v>女</v>
          </cell>
          <cell r="E2306" t="str">
            <v>汉族</v>
          </cell>
          <cell r="F2306" t="str">
            <v>19450804</v>
          </cell>
          <cell r="G2306">
            <v>76</v>
          </cell>
          <cell r="H2306" t="str">
            <v>四川省仁寿县贵平镇中岗村12组</v>
          </cell>
          <cell r="I2306">
            <v>18228108956</v>
          </cell>
        </row>
        <row r="2307">
          <cell r="C2307" t="str">
            <v>511121196306266932</v>
          </cell>
          <cell r="D2307" t="str">
            <v>男</v>
          </cell>
          <cell r="E2307" t="str">
            <v>汉族</v>
          </cell>
          <cell r="F2307" t="str">
            <v>19630626</v>
          </cell>
          <cell r="G2307">
            <v>58</v>
          </cell>
          <cell r="H2307" t="str">
            <v>四川省仁寿县贵平镇中岗村12组</v>
          </cell>
          <cell r="I2307">
            <v>17736831923</v>
          </cell>
        </row>
        <row r="2308">
          <cell r="C2308" t="str">
            <v>51112119671207694X</v>
          </cell>
          <cell r="D2308" t="str">
            <v>女</v>
          </cell>
          <cell r="E2308" t="str">
            <v>汉族</v>
          </cell>
          <cell r="F2308" t="str">
            <v>19671207</v>
          </cell>
          <cell r="G2308">
            <v>54</v>
          </cell>
          <cell r="H2308" t="str">
            <v>四川省仁寿县贵平镇中岗村12组</v>
          </cell>
          <cell r="I2308">
            <v>13340938905</v>
          </cell>
        </row>
        <row r="2309">
          <cell r="C2309" t="str">
            <v>513822198905206937</v>
          </cell>
          <cell r="D2309" t="str">
            <v>男</v>
          </cell>
          <cell r="E2309" t="str">
            <v>汉族</v>
          </cell>
          <cell r="F2309" t="str">
            <v>19890520</v>
          </cell>
          <cell r="G2309">
            <v>32</v>
          </cell>
          <cell r="H2309" t="str">
            <v>四川省仁寿县贵平镇中岗村12组</v>
          </cell>
          <cell r="I2309">
            <v>13488939313</v>
          </cell>
        </row>
        <row r="2310">
          <cell r="C2310" t="str">
            <v>511421201705030054</v>
          </cell>
          <cell r="D2310" t="str">
            <v>男</v>
          </cell>
          <cell r="E2310" t="str">
            <v>汉族</v>
          </cell>
          <cell r="F2310" t="str">
            <v>20170503</v>
          </cell>
          <cell r="G2310">
            <v>4</v>
          </cell>
          <cell r="H2310" t="str">
            <v>四川省仁寿县贵平镇中岗村12组</v>
          </cell>
        </row>
        <row r="2311">
          <cell r="C2311" t="str">
            <v>511121196909216934</v>
          </cell>
          <cell r="D2311" t="str">
            <v>男</v>
          </cell>
          <cell r="E2311" t="str">
            <v>汉族</v>
          </cell>
          <cell r="F2311" t="str">
            <v>19690921</v>
          </cell>
          <cell r="G2311">
            <v>52</v>
          </cell>
          <cell r="H2311" t="str">
            <v>四川省仁寿县贵平镇中岗村12组</v>
          </cell>
          <cell r="I2311">
            <v>15283739696</v>
          </cell>
        </row>
        <row r="2312">
          <cell r="C2312" t="str">
            <v>511025197108054941</v>
          </cell>
          <cell r="D2312" t="str">
            <v>女</v>
          </cell>
          <cell r="E2312" t="str">
            <v>汉族</v>
          </cell>
          <cell r="F2312" t="str">
            <v>19710805</v>
          </cell>
          <cell r="G2312">
            <v>50</v>
          </cell>
          <cell r="H2312" t="str">
            <v>四川省仁寿县贵平镇中岗村12组</v>
          </cell>
        </row>
        <row r="2313">
          <cell r="C2313" t="str">
            <v>511025199305304953</v>
          </cell>
          <cell r="D2313" t="str">
            <v>男</v>
          </cell>
          <cell r="E2313" t="str">
            <v>汉族</v>
          </cell>
          <cell r="F2313" t="str">
            <v>19930530</v>
          </cell>
          <cell r="G2313">
            <v>28</v>
          </cell>
          <cell r="H2313" t="str">
            <v>四川省仁寿县贵平镇中岗村12组</v>
          </cell>
          <cell r="I2313">
            <v>18280478300</v>
          </cell>
        </row>
        <row r="2314">
          <cell r="C2314" t="str">
            <v>51142120050917673X</v>
          </cell>
          <cell r="D2314" t="str">
            <v>男</v>
          </cell>
          <cell r="E2314" t="str">
            <v>汉族</v>
          </cell>
          <cell r="F2314" t="str">
            <v>20050917</v>
          </cell>
          <cell r="G2314">
            <v>16</v>
          </cell>
          <cell r="H2314" t="str">
            <v>四川省仁寿县贵平镇中岗村12组</v>
          </cell>
        </row>
        <row r="2315">
          <cell r="C2315" t="str">
            <v>511421201809020379</v>
          </cell>
          <cell r="D2315" t="str">
            <v>男</v>
          </cell>
          <cell r="E2315" t="str">
            <v>汉族</v>
          </cell>
          <cell r="F2315" t="str">
            <v>20180902</v>
          </cell>
          <cell r="G2315">
            <v>3</v>
          </cell>
          <cell r="H2315" t="str">
            <v>四川省仁寿县贵平镇中岗村12组</v>
          </cell>
        </row>
        <row r="2316">
          <cell r="C2316" t="str">
            <v>511121196603186939</v>
          </cell>
          <cell r="D2316" t="str">
            <v>男</v>
          </cell>
          <cell r="E2316" t="str">
            <v>汉族</v>
          </cell>
          <cell r="F2316" t="str">
            <v>19660318</v>
          </cell>
          <cell r="G2316">
            <v>55</v>
          </cell>
          <cell r="H2316" t="str">
            <v>四川省仁寿县贵平镇中岗村12组</v>
          </cell>
        </row>
        <row r="2317">
          <cell r="C2317" t="str">
            <v>511121195605066944</v>
          </cell>
          <cell r="D2317" t="str">
            <v>女</v>
          </cell>
          <cell r="E2317" t="str">
            <v>汉族</v>
          </cell>
          <cell r="F2317" t="str">
            <v>19560506</v>
          </cell>
          <cell r="G2317">
            <v>65</v>
          </cell>
          <cell r="H2317" t="str">
            <v>四川省仁寿县贵平镇中岗村12组</v>
          </cell>
        </row>
        <row r="2318">
          <cell r="C2318" t="str">
            <v>511121193803236941</v>
          </cell>
          <cell r="D2318" t="str">
            <v>女</v>
          </cell>
          <cell r="E2318" t="str">
            <v>汉族</v>
          </cell>
          <cell r="F2318" t="str">
            <v>19380323</v>
          </cell>
          <cell r="G2318">
            <v>83</v>
          </cell>
          <cell r="H2318" t="str">
            <v>四川省仁寿县贵平镇中岗村12组</v>
          </cell>
        </row>
        <row r="2319">
          <cell r="C2319" t="str">
            <v>511121193812076935</v>
          </cell>
          <cell r="D2319" t="str">
            <v>男</v>
          </cell>
          <cell r="E2319" t="str">
            <v>汉族</v>
          </cell>
          <cell r="F2319" t="str">
            <v>19381207</v>
          </cell>
          <cell r="G2319">
            <v>83</v>
          </cell>
          <cell r="H2319" t="str">
            <v>四川省仁寿县贵平镇中岗村12组</v>
          </cell>
        </row>
        <row r="2320">
          <cell r="C2320" t="str">
            <v>51112119460514694X</v>
          </cell>
          <cell r="D2320" t="str">
            <v>女</v>
          </cell>
          <cell r="E2320" t="str">
            <v>汉族</v>
          </cell>
          <cell r="F2320" t="str">
            <v>19460514</v>
          </cell>
          <cell r="G2320">
            <v>75</v>
          </cell>
          <cell r="H2320" t="str">
            <v>四川省仁寿县贵平镇中岗村12组</v>
          </cell>
        </row>
        <row r="2321">
          <cell r="C2321" t="str">
            <v>511121197202136935</v>
          </cell>
          <cell r="D2321" t="str">
            <v>男</v>
          </cell>
          <cell r="E2321" t="str">
            <v>汉族</v>
          </cell>
          <cell r="F2321" t="str">
            <v>19720213</v>
          </cell>
          <cell r="G2321">
            <v>49</v>
          </cell>
          <cell r="H2321" t="str">
            <v>四川省仁寿县贵平镇中岗村12组</v>
          </cell>
          <cell r="I2321">
            <v>15984321241</v>
          </cell>
        </row>
        <row r="2322">
          <cell r="C2322" t="str">
            <v>511121196904146957</v>
          </cell>
          <cell r="D2322" t="str">
            <v>男</v>
          </cell>
          <cell r="E2322" t="str">
            <v>汉族</v>
          </cell>
          <cell r="F2322" t="str">
            <v>19690414</v>
          </cell>
          <cell r="G2322">
            <v>52</v>
          </cell>
          <cell r="H2322" t="str">
            <v>四川省仁寿县贵平镇中岗村12组</v>
          </cell>
          <cell r="I2322">
            <v>18288210635</v>
          </cell>
        </row>
        <row r="2323">
          <cell r="C2323" t="str">
            <v>513822198801106931</v>
          </cell>
          <cell r="D2323" t="str">
            <v>男</v>
          </cell>
          <cell r="E2323" t="str">
            <v>汉族</v>
          </cell>
          <cell r="F2323" t="str">
            <v>19880110</v>
          </cell>
          <cell r="G2323">
            <v>33</v>
          </cell>
          <cell r="H2323" t="str">
            <v>四川省仁寿县贵平镇中岗村12组</v>
          </cell>
          <cell r="I2323">
            <v>13548248438</v>
          </cell>
        </row>
        <row r="2324">
          <cell r="C2324" t="str">
            <v>513822199503126787</v>
          </cell>
          <cell r="D2324" t="str">
            <v>女</v>
          </cell>
          <cell r="E2324" t="str">
            <v>汉族</v>
          </cell>
          <cell r="F2324" t="str">
            <v>19950312</v>
          </cell>
          <cell r="G2324">
            <v>26</v>
          </cell>
          <cell r="H2324" t="str">
            <v>四川省仁寿县贵平镇中岗村12组</v>
          </cell>
        </row>
        <row r="2325">
          <cell r="C2325" t="str">
            <v>511121194912286934</v>
          </cell>
          <cell r="D2325" t="str">
            <v>男</v>
          </cell>
          <cell r="E2325" t="str">
            <v>汉族</v>
          </cell>
          <cell r="F2325" t="str">
            <v>19491228</v>
          </cell>
          <cell r="G2325">
            <v>72</v>
          </cell>
          <cell r="H2325" t="str">
            <v>四川省仁寿县贵平镇中岗村12组</v>
          </cell>
          <cell r="I2325">
            <v>15182207532</v>
          </cell>
        </row>
        <row r="2326">
          <cell r="C2326" t="str">
            <v>51112119471125694X</v>
          </cell>
          <cell r="D2326" t="str">
            <v>女</v>
          </cell>
          <cell r="E2326" t="str">
            <v>汉族</v>
          </cell>
          <cell r="F2326" t="str">
            <v>19471125</v>
          </cell>
          <cell r="G2326">
            <v>74</v>
          </cell>
          <cell r="H2326" t="str">
            <v>四川省仁寿县贵平镇中岗村12组</v>
          </cell>
        </row>
        <row r="2327">
          <cell r="C2327" t="str">
            <v>511121197408106934</v>
          </cell>
          <cell r="D2327" t="str">
            <v>男</v>
          </cell>
          <cell r="E2327" t="str">
            <v>汉族</v>
          </cell>
          <cell r="F2327" t="str">
            <v>19740810</v>
          </cell>
          <cell r="G2327">
            <v>47</v>
          </cell>
          <cell r="H2327" t="str">
            <v>四川省仁寿县贵平镇中岗村12组</v>
          </cell>
          <cell r="I2327">
            <v>13589193401</v>
          </cell>
        </row>
        <row r="2328">
          <cell r="C2328" t="str">
            <v>511121197601136908</v>
          </cell>
          <cell r="D2328" t="str">
            <v>女</v>
          </cell>
          <cell r="E2328" t="str">
            <v>汉族</v>
          </cell>
          <cell r="F2328" t="str">
            <v>19760113</v>
          </cell>
          <cell r="G2328">
            <v>45</v>
          </cell>
          <cell r="H2328" t="str">
            <v>四川省仁寿县贵平镇中岗村12组</v>
          </cell>
          <cell r="I2328">
            <v>17380942891</v>
          </cell>
        </row>
        <row r="2329">
          <cell r="C2329" t="str">
            <v>513822199710226940</v>
          </cell>
          <cell r="D2329" t="str">
            <v>女</v>
          </cell>
          <cell r="E2329" t="str">
            <v>汉族</v>
          </cell>
          <cell r="F2329" t="str">
            <v>19971022</v>
          </cell>
          <cell r="G2329">
            <v>24</v>
          </cell>
          <cell r="H2329" t="str">
            <v>四川省仁寿县贵平镇中岗村12组</v>
          </cell>
          <cell r="I2329">
            <v>13547697618</v>
          </cell>
        </row>
        <row r="2330">
          <cell r="C2330" t="str">
            <v>511421200812116748</v>
          </cell>
          <cell r="D2330" t="str">
            <v>女</v>
          </cell>
          <cell r="E2330" t="str">
            <v>汉族</v>
          </cell>
          <cell r="F2330" t="str">
            <v>20081211</v>
          </cell>
          <cell r="G2330">
            <v>13</v>
          </cell>
          <cell r="H2330" t="str">
            <v>四川省仁寿县贵平镇中岗村12组</v>
          </cell>
        </row>
        <row r="2331">
          <cell r="C2331" t="str">
            <v>511121195402226936</v>
          </cell>
          <cell r="D2331" t="str">
            <v>男</v>
          </cell>
          <cell r="E2331" t="str">
            <v>汉族</v>
          </cell>
          <cell r="F2331" t="str">
            <v>19540222</v>
          </cell>
          <cell r="G2331">
            <v>67</v>
          </cell>
          <cell r="H2331" t="str">
            <v>四川省仁寿县贵平镇中岗村12组</v>
          </cell>
          <cell r="I2331">
            <v>18282457652</v>
          </cell>
        </row>
        <row r="2332">
          <cell r="C2332" t="str">
            <v>51112119520425694X</v>
          </cell>
          <cell r="D2332" t="str">
            <v>女</v>
          </cell>
          <cell r="E2332" t="str">
            <v>汉族</v>
          </cell>
          <cell r="F2332" t="str">
            <v>19520425</v>
          </cell>
          <cell r="G2332">
            <v>69</v>
          </cell>
          <cell r="H2332" t="str">
            <v>四川省仁寿县贵平镇中岗村12组</v>
          </cell>
          <cell r="I2332">
            <v>13158769633</v>
          </cell>
        </row>
        <row r="2333">
          <cell r="C2333" t="str">
            <v>513822198604296932</v>
          </cell>
          <cell r="D2333" t="str">
            <v>男</v>
          </cell>
          <cell r="E2333" t="str">
            <v>汉族</v>
          </cell>
          <cell r="F2333" t="str">
            <v>19860429</v>
          </cell>
          <cell r="G2333">
            <v>35</v>
          </cell>
          <cell r="H2333" t="str">
            <v>四川省仁寿县贵平镇中岗村12组</v>
          </cell>
          <cell r="I2333">
            <v>15928156839</v>
          </cell>
        </row>
        <row r="2334">
          <cell r="C2334" t="str">
            <v>511121198108296945</v>
          </cell>
          <cell r="D2334" t="str">
            <v>女</v>
          </cell>
          <cell r="E2334" t="str">
            <v>汉族</v>
          </cell>
          <cell r="F2334" t="str">
            <v>19810829</v>
          </cell>
          <cell r="G2334">
            <v>40</v>
          </cell>
          <cell r="H2334" t="str">
            <v>四川省仁寿县贵平镇中岗村12组</v>
          </cell>
          <cell r="I2334">
            <v>13158769633</v>
          </cell>
        </row>
        <row r="2335">
          <cell r="C2335" t="str">
            <v>513822200503056737</v>
          </cell>
          <cell r="D2335" t="str">
            <v>男</v>
          </cell>
          <cell r="E2335" t="str">
            <v>汉族</v>
          </cell>
          <cell r="F2335" t="str">
            <v>20050305</v>
          </cell>
          <cell r="G2335">
            <v>16</v>
          </cell>
          <cell r="H2335" t="str">
            <v>四川省仁寿县贵平镇中岗村12组</v>
          </cell>
        </row>
        <row r="2336">
          <cell r="C2336" t="str">
            <v>511421201905280488</v>
          </cell>
          <cell r="D2336" t="str">
            <v>女</v>
          </cell>
          <cell r="E2336" t="str">
            <v>汉族</v>
          </cell>
          <cell r="F2336" t="str">
            <v>20190528</v>
          </cell>
          <cell r="G2336">
            <v>2</v>
          </cell>
          <cell r="H2336" t="str">
            <v>四川省仁寿县贵平镇中岗村12组</v>
          </cell>
        </row>
        <row r="2337">
          <cell r="C2337" t="str">
            <v>511121196308226934</v>
          </cell>
          <cell r="D2337" t="str">
            <v>男</v>
          </cell>
          <cell r="E2337" t="str">
            <v>汉族</v>
          </cell>
          <cell r="F2337" t="str">
            <v>19630822</v>
          </cell>
          <cell r="G2337">
            <v>58</v>
          </cell>
          <cell r="H2337" t="str">
            <v>四川省仁寿县贵平镇中岗村12组</v>
          </cell>
          <cell r="I2337">
            <v>18228575922</v>
          </cell>
        </row>
        <row r="2338">
          <cell r="C2338" t="str">
            <v>513822198507286935</v>
          </cell>
          <cell r="D2338" t="str">
            <v>男</v>
          </cell>
          <cell r="E2338" t="str">
            <v>汉族</v>
          </cell>
          <cell r="F2338" t="str">
            <v>19850728</v>
          </cell>
          <cell r="G2338">
            <v>36</v>
          </cell>
          <cell r="H2338" t="str">
            <v>四川省仁寿县贵平镇中岗村12组</v>
          </cell>
          <cell r="I2338">
            <v>18244290968</v>
          </cell>
        </row>
        <row r="2339">
          <cell r="C2339" t="str">
            <v>513922198709181002</v>
          </cell>
          <cell r="D2339" t="str">
            <v>女</v>
          </cell>
          <cell r="E2339" t="str">
            <v>汉族</v>
          </cell>
          <cell r="F2339" t="str">
            <v>19870918</v>
          </cell>
          <cell r="G2339">
            <v>34</v>
          </cell>
          <cell r="H2339" t="str">
            <v>四川省仁寿县贵平镇中岗村12组</v>
          </cell>
          <cell r="I2339">
            <v>18382382856</v>
          </cell>
        </row>
        <row r="2340">
          <cell r="C2340" t="str">
            <v>511421201008016732</v>
          </cell>
          <cell r="D2340" t="str">
            <v>男</v>
          </cell>
          <cell r="E2340" t="str">
            <v>汉族</v>
          </cell>
          <cell r="F2340" t="str">
            <v>20100801</v>
          </cell>
          <cell r="G2340">
            <v>11</v>
          </cell>
          <cell r="H2340" t="str">
            <v>四川省仁寿县贵平镇中岗村12组</v>
          </cell>
        </row>
        <row r="2341">
          <cell r="C2341" t="str">
            <v>511421201509076864</v>
          </cell>
          <cell r="D2341" t="str">
            <v>女</v>
          </cell>
          <cell r="E2341" t="str">
            <v>汉族</v>
          </cell>
          <cell r="F2341" t="str">
            <v>20150907</v>
          </cell>
          <cell r="G2341">
            <v>6</v>
          </cell>
          <cell r="H2341" t="str">
            <v>四川省仁寿县贵平镇中岗村12组</v>
          </cell>
        </row>
        <row r="2342">
          <cell r="C2342" t="str">
            <v>511121196509056935</v>
          </cell>
          <cell r="D2342" t="str">
            <v>男</v>
          </cell>
          <cell r="E2342" t="str">
            <v>汉族</v>
          </cell>
          <cell r="F2342" t="str">
            <v>19650905</v>
          </cell>
          <cell r="G2342">
            <v>56</v>
          </cell>
          <cell r="H2342" t="str">
            <v>四川省仁寿县贵平镇中岗村12组</v>
          </cell>
          <cell r="I2342">
            <v>15982321750</v>
          </cell>
        </row>
        <row r="2343">
          <cell r="C2343" t="str">
            <v>511121197003096707</v>
          </cell>
          <cell r="D2343" t="str">
            <v>女</v>
          </cell>
          <cell r="E2343" t="str">
            <v>汉族</v>
          </cell>
          <cell r="F2343" t="str">
            <v>19700309</v>
          </cell>
          <cell r="G2343">
            <v>51</v>
          </cell>
          <cell r="H2343" t="str">
            <v>四川省仁寿县贵平镇中岗村12组</v>
          </cell>
          <cell r="I2343">
            <v>15928913168</v>
          </cell>
        </row>
        <row r="2344">
          <cell r="C2344" t="str">
            <v>511121196107086939</v>
          </cell>
          <cell r="D2344" t="str">
            <v>男</v>
          </cell>
          <cell r="E2344" t="str">
            <v>汉族</v>
          </cell>
          <cell r="F2344" t="str">
            <v>19610708</v>
          </cell>
          <cell r="G2344">
            <v>60</v>
          </cell>
          <cell r="H2344" t="str">
            <v>四川省仁寿县贵平镇中岗村12组</v>
          </cell>
          <cell r="I2344">
            <v>13981395138</v>
          </cell>
        </row>
        <row r="2345">
          <cell r="C2345" t="str">
            <v>511121196202106942</v>
          </cell>
          <cell r="D2345" t="str">
            <v>女</v>
          </cell>
          <cell r="E2345" t="str">
            <v>汉族</v>
          </cell>
          <cell r="F2345" t="str">
            <v>19620210</v>
          </cell>
          <cell r="G2345">
            <v>59</v>
          </cell>
          <cell r="H2345" t="str">
            <v>四川省仁寿县贵平镇中岗村12组</v>
          </cell>
          <cell r="I2345">
            <v>17711292762</v>
          </cell>
        </row>
        <row r="2346">
          <cell r="C2346" t="str">
            <v>513822198810246944</v>
          </cell>
          <cell r="D2346" t="str">
            <v>女</v>
          </cell>
          <cell r="E2346" t="str">
            <v>汉族</v>
          </cell>
          <cell r="F2346" t="str">
            <v>19881024</v>
          </cell>
          <cell r="G2346">
            <v>33</v>
          </cell>
          <cell r="H2346" t="str">
            <v>四川省仁寿县贵平镇中岗村12组</v>
          </cell>
          <cell r="I2346">
            <v>13880419712</v>
          </cell>
        </row>
        <row r="2347">
          <cell r="C2347" t="str">
            <v>513822198301246946</v>
          </cell>
          <cell r="D2347" t="str">
            <v>女</v>
          </cell>
          <cell r="E2347" t="str">
            <v>汉族</v>
          </cell>
          <cell r="F2347" t="str">
            <v>19830124</v>
          </cell>
          <cell r="G2347">
            <v>38</v>
          </cell>
          <cell r="H2347" t="str">
            <v>四川省仁寿县贵平镇中岗村12组</v>
          </cell>
          <cell r="I2347">
            <v>13402866032</v>
          </cell>
        </row>
        <row r="2348">
          <cell r="C2348" t="str">
            <v>511121197301156931</v>
          </cell>
          <cell r="D2348" t="str">
            <v>男</v>
          </cell>
          <cell r="E2348" t="str">
            <v>汉族</v>
          </cell>
          <cell r="F2348" t="str">
            <v>19730115</v>
          </cell>
          <cell r="G2348">
            <v>48</v>
          </cell>
          <cell r="H2348" t="str">
            <v>四川省仁寿县贵平镇中岗村12组</v>
          </cell>
          <cell r="I2348">
            <v>14780141946</v>
          </cell>
        </row>
        <row r="2349">
          <cell r="C2349" t="str">
            <v>511121194705266930</v>
          </cell>
          <cell r="D2349" t="str">
            <v>男</v>
          </cell>
          <cell r="E2349" t="str">
            <v>汉族</v>
          </cell>
          <cell r="F2349" t="str">
            <v>19470526</v>
          </cell>
          <cell r="G2349">
            <v>74</v>
          </cell>
          <cell r="H2349" t="str">
            <v>四川省仁寿县贵平镇中岗村12组</v>
          </cell>
          <cell r="I2349">
            <v>17381124825</v>
          </cell>
        </row>
        <row r="2350">
          <cell r="C2350" t="str">
            <v>511121194808126949</v>
          </cell>
          <cell r="D2350" t="str">
            <v>女</v>
          </cell>
          <cell r="E2350" t="str">
            <v>汉族</v>
          </cell>
          <cell r="F2350" t="str">
            <v>19480812</v>
          </cell>
          <cell r="G2350">
            <v>73</v>
          </cell>
          <cell r="H2350" t="str">
            <v>四川省仁寿县贵平镇中岗村12组</v>
          </cell>
          <cell r="I2350">
            <v>17388311083</v>
          </cell>
        </row>
        <row r="2351">
          <cell r="C2351" t="str">
            <v>511121197501066930</v>
          </cell>
          <cell r="D2351" t="str">
            <v>男</v>
          </cell>
          <cell r="E2351" t="str">
            <v>汉族</v>
          </cell>
          <cell r="F2351" t="str">
            <v>19750106</v>
          </cell>
          <cell r="G2351">
            <v>46</v>
          </cell>
          <cell r="H2351" t="str">
            <v>四川省仁寿县贵平镇中岗村12组</v>
          </cell>
          <cell r="I2351">
            <v>18780052237</v>
          </cell>
        </row>
        <row r="2352">
          <cell r="C2352" t="str">
            <v>511121197410206803</v>
          </cell>
          <cell r="D2352" t="str">
            <v>女</v>
          </cell>
          <cell r="E2352" t="str">
            <v>汉族</v>
          </cell>
          <cell r="F2352" t="str">
            <v>19741020</v>
          </cell>
          <cell r="G2352">
            <v>47</v>
          </cell>
          <cell r="H2352" t="str">
            <v>四川省仁寿县贵平镇中岗村12组</v>
          </cell>
          <cell r="I2352">
            <v>13628046649</v>
          </cell>
        </row>
        <row r="2353">
          <cell r="C2353" t="str">
            <v>513822199804086942</v>
          </cell>
          <cell r="D2353" t="str">
            <v>女</v>
          </cell>
          <cell r="E2353" t="str">
            <v>汉族</v>
          </cell>
          <cell r="F2353" t="str">
            <v>19980408</v>
          </cell>
          <cell r="G2353">
            <v>23</v>
          </cell>
          <cell r="H2353" t="str">
            <v>四川省仁寿县贵平镇中岗村12组</v>
          </cell>
          <cell r="I2353">
            <v>15198286420</v>
          </cell>
        </row>
        <row r="2354">
          <cell r="C2354" t="str">
            <v>511121197107266934</v>
          </cell>
          <cell r="D2354" t="str">
            <v>男</v>
          </cell>
          <cell r="E2354" t="str">
            <v>汉族</v>
          </cell>
          <cell r="F2354" t="str">
            <v>19710726</v>
          </cell>
          <cell r="G2354">
            <v>50</v>
          </cell>
          <cell r="H2354" t="str">
            <v>四川省仁寿县贵平镇中岗村12组</v>
          </cell>
          <cell r="I2354">
            <v>17381129253</v>
          </cell>
        </row>
        <row r="2355">
          <cell r="C2355" t="str">
            <v>511321197405193885</v>
          </cell>
          <cell r="D2355" t="str">
            <v>女</v>
          </cell>
          <cell r="E2355" t="str">
            <v>汉族</v>
          </cell>
          <cell r="F2355" t="str">
            <v>19740519</v>
          </cell>
          <cell r="G2355">
            <v>47</v>
          </cell>
          <cell r="H2355" t="str">
            <v>四川省仁寿县贵平镇中岗村12组</v>
          </cell>
        </row>
        <row r="2356">
          <cell r="C2356" t="str">
            <v>513822199312256941</v>
          </cell>
          <cell r="D2356" t="str">
            <v>女</v>
          </cell>
          <cell r="E2356" t="str">
            <v>汉族</v>
          </cell>
          <cell r="F2356" t="str">
            <v>19931225</v>
          </cell>
          <cell r="G2356">
            <v>28</v>
          </cell>
          <cell r="H2356" t="str">
            <v>四川省仁寿县贵平镇中岗村12组</v>
          </cell>
          <cell r="I2356">
            <v>13503637413</v>
          </cell>
        </row>
        <row r="2357">
          <cell r="C2357" t="str">
            <v>511121197201236942</v>
          </cell>
          <cell r="D2357" t="str">
            <v>女</v>
          </cell>
          <cell r="E2357" t="str">
            <v>汉族</v>
          </cell>
          <cell r="F2357" t="str">
            <v>19720123</v>
          </cell>
          <cell r="G2357">
            <v>49</v>
          </cell>
          <cell r="H2357" t="str">
            <v>四川省仁寿县贵平镇中岗村12组</v>
          </cell>
          <cell r="I2357">
            <v>13752243073</v>
          </cell>
        </row>
        <row r="2358">
          <cell r="C2358" t="str">
            <v>513822199104046931</v>
          </cell>
          <cell r="D2358" t="str">
            <v>男</v>
          </cell>
          <cell r="E2358" t="str">
            <v>汉族</v>
          </cell>
          <cell r="F2358" t="str">
            <v>19910404</v>
          </cell>
          <cell r="G2358">
            <v>30</v>
          </cell>
          <cell r="H2358" t="str">
            <v>四川省仁寿县贵平镇中岗村12组</v>
          </cell>
          <cell r="I2358">
            <v>13880106642</v>
          </cell>
        </row>
        <row r="2359">
          <cell r="C2359" t="str">
            <v>511421201010226851</v>
          </cell>
          <cell r="D2359" t="str">
            <v>男</v>
          </cell>
          <cell r="E2359" t="str">
            <v>汉族</v>
          </cell>
          <cell r="F2359" t="str">
            <v>20101022</v>
          </cell>
          <cell r="G2359">
            <v>11</v>
          </cell>
          <cell r="H2359" t="str">
            <v>四川省仁寿县贵平镇中岗村12组</v>
          </cell>
        </row>
        <row r="2360">
          <cell r="C2360" t="str">
            <v>511121193903036939</v>
          </cell>
          <cell r="D2360" t="str">
            <v>男</v>
          </cell>
          <cell r="E2360" t="str">
            <v>汉族</v>
          </cell>
          <cell r="F2360" t="str">
            <v>19390303</v>
          </cell>
          <cell r="G2360">
            <v>82</v>
          </cell>
          <cell r="H2360" t="str">
            <v>四川省仁寿县贵平镇中岗村12组</v>
          </cell>
          <cell r="I2360">
            <v>13350500180</v>
          </cell>
        </row>
        <row r="2361">
          <cell r="C2361" t="str">
            <v>511121196610066951</v>
          </cell>
          <cell r="D2361" t="str">
            <v>男</v>
          </cell>
          <cell r="E2361" t="str">
            <v>汉族</v>
          </cell>
          <cell r="F2361" t="str">
            <v>19661006</v>
          </cell>
          <cell r="G2361">
            <v>55</v>
          </cell>
          <cell r="H2361" t="str">
            <v>四川省仁寿县贵平镇中岗村12组</v>
          </cell>
          <cell r="I2361">
            <v>15177913223</v>
          </cell>
        </row>
        <row r="2362">
          <cell r="C2362" t="str">
            <v>511121197308206823</v>
          </cell>
          <cell r="D2362" t="str">
            <v>女</v>
          </cell>
          <cell r="E2362" t="str">
            <v>汉族</v>
          </cell>
          <cell r="F2362" t="str">
            <v>19730820</v>
          </cell>
          <cell r="G2362">
            <v>48</v>
          </cell>
          <cell r="H2362" t="str">
            <v>四川省仁寿县贵平镇中岗村12组</v>
          </cell>
          <cell r="I2362">
            <v>15881168281</v>
          </cell>
        </row>
        <row r="2363">
          <cell r="C2363" t="str">
            <v>513822199308206933</v>
          </cell>
          <cell r="D2363" t="str">
            <v>男</v>
          </cell>
          <cell r="E2363" t="str">
            <v>汉族</v>
          </cell>
          <cell r="F2363" t="str">
            <v>19930820</v>
          </cell>
          <cell r="G2363">
            <v>28</v>
          </cell>
          <cell r="H2363" t="str">
            <v>四川省仁寿县贵平镇中岗村12组</v>
          </cell>
          <cell r="I2363">
            <v>19950285095</v>
          </cell>
        </row>
        <row r="2364">
          <cell r="C2364" t="str">
            <v>513822199110246948</v>
          </cell>
          <cell r="D2364" t="str">
            <v>女</v>
          </cell>
          <cell r="E2364" t="str">
            <v>汉族</v>
          </cell>
          <cell r="F2364" t="str">
            <v>19911024</v>
          </cell>
          <cell r="G2364">
            <v>30</v>
          </cell>
          <cell r="H2364" t="str">
            <v>四川省仁寿县贵平镇中岗村12组</v>
          </cell>
        </row>
        <row r="2365">
          <cell r="C2365" t="str">
            <v>511121194007206957</v>
          </cell>
          <cell r="D2365" t="str">
            <v>男</v>
          </cell>
          <cell r="E2365" t="str">
            <v>汉族</v>
          </cell>
          <cell r="F2365" t="str">
            <v>19400720</v>
          </cell>
          <cell r="G2365">
            <v>81</v>
          </cell>
          <cell r="H2365" t="str">
            <v>四川省仁寿县贵平镇中岗村12组</v>
          </cell>
          <cell r="I2365">
            <v>13350706496</v>
          </cell>
        </row>
        <row r="2366">
          <cell r="C2366" t="str">
            <v>51112119490924694X</v>
          </cell>
          <cell r="D2366" t="str">
            <v>女</v>
          </cell>
          <cell r="E2366" t="str">
            <v>汉族</v>
          </cell>
          <cell r="F2366" t="str">
            <v>19490924</v>
          </cell>
          <cell r="G2366">
            <v>72</v>
          </cell>
          <cell r="H2366" t="str">
            <v>四川省仁寿县贵平镇中岗村12组</v>
          </cell>
        </row>
        <row r="2367">
          <cell r="C2367" t="str">
            <v>513822198410056930</v>
          </cell>
          <cell r="D2367" t="str">
            <v>男</v>
          </cell>
          <cell r="E2367" t="str">
            <v>汉族</v>
          </cell>
          <cell r="F2367" t="str">
            <v>19841005</v>
          </cell>
          <cell r="G2367">
            <v>37</v>
          </cell>
          <cell r="H2367" t="str">
            <v>四川省仁寿县贵平镇中岗村12组</v>
          </cell>
          <cell r="I2367">
            <v>18113649724</v>
          </cell>
        </row>
        <row r="2368">
          <cell r="C2368" t="str">
            <v>513227199705181820</v>
          </cell>
          <cell r="D2368" t="str">
            <v>女</v>
          </cell>
          <cell r="E2368" t="str">
            <v>汉族</v>
          </cell>
          <cell r="F2368" t="str">
            <v>19970518</v>
          </cell>
          <cell r="G2368">
            <v>24</v>
          </cell>
          <cell r="H2368" t="str">
            <v>四川省仁寿县贵平镇中岗村12组</v>
          </cell>
        </row>
        <row r="2370">
          <cell r="C2370" t="str">
            <v>511121195308216942</v>
          </cell>
          <cell r="D2370" t="str">
            <v>女</v>
          </cell>
          <cell r="E2370" t="str">
            <v>汉族</v>
          </cell>
          <cell r="F2370" t="str">
            <v>19530821</v>
          </cell>
          <cell r="G2370">
            <v>68</v>
          </cell>
          <cell r="H2370" t="str">
            <v>四川省仁寿县贵平镇中岗村12组</v>
          </cell>
          <cell r="I2370">
            <v>18011429505</v>
          </cell>
        </row>
        <row r="2371">
          <cell r="C2371" t="str">
            <v>511121195410087032</v>
          </cell>
          <cell r="D2371" t="str">
            <v>男</v>
          </cell>
          <cell r="E2371" t="str">
            <v>汉族</v>
          </cell>
          <cell r="F2371" t="str">
            <v>19541008</v>
          </cell>
          <cell r="G2371">
            <v>67</v>
          </cell>
          <cell r="H2371" t="str">
            <v>四川省仁寿县贵平镇中岗村12组</v>
          </cell>
        </row>
        <row r="2372">
          <cell r="C2372" t="str">
            <v>513822199104056945</v>
          </cell>
          <cell r="D2372" t="str">
            <v>女</v>
          </cell>
          <cell r="E2372" t="str">
            <v>汉族</v>
          </cell>
          <cell r="F2372" t="str">
            <v>19910405</v>
          </cell>
          <cell r="G2372">
            <v>30</v>
          </cell>
          <cell r="H2372" t="str">
            <v>四川省仁寿县贵平镇中岗村12组</v>
          </cell>
          <cell r="I2372">
            <v>18980527622</v>
          </cell>
        </row>
        <row r="2373">
          <cell r="C2373" t="str">
            <v>511121197311046947</v>
          </cell>
          <cell r="D2373" t="str">
            <v>女</v>
          </cell>
          <cell r="E2373" t="str">
            <v>汉族</v>
          </cell>
          <cell r="F2373" t="str">
            <v>19731104</v>
          </cell>
          <cell r="G2373">
            <v>48</v>
          </cell>
          <cell r="H2373" t="str">
            <v>四川省仁寿县贵平镇中岗村12组</v>
          </cell>
          <cell r="I2373">
            <v>18780270489</v>
          </cell>
        </row>
        <row r="2374">
          <cell r="C2374" t="str">
            <v>511121194805246937</v>
          </cell>
          <cell r="D2374" t="str">
            <v>男</v>
          </cell>
          <cell r="E2374" t="str">
            <v>汉族</v>
          </cell>
          <cell r="F2374" t="str">
            <v>19480524</v>
          </cell>
          <cell r="G2374">
            <v>73</v>
          </cell>
          <cell r="H2374" t="str">
            <v>四川省仁寿县贵平镇中岗村12组</v>
          </cell>
          <cell r="I2374">
            <v>13258376552</v>
          </cell>
        </row>
        <row r="2375">
          <cell r="C2375" t="str">
            <v>511121195304056945</v>
          </cell>
          <cell r="D2375" t="str">
            <v>女</v>
          </cell>
          <cell r="E2375" t="str">
            <v>汉族</v>
          </cell>
          <cell r="F2375" t="str">
            <v>19530405</v>
          </cell>
          <cell r="G2375">
            <v>68</v>
          </cell>
          <cell r="H2375" t="str">
            <v>四川省仁寿县贵平镇中岗村12组</v>
          </cell>
        </row>
        <row r="2376">
          <cell r="C2376" t="str">
            <v>511121197212036938</v>
          </cell>
          <cell r="D2376" t="str">
            <v>男</v>
          </cell>
          <cell r="E2376" t="str">
            <v>汉族</v>
          </cell>
          <cell r="F2376" t="str">
            <v>19721203</v>
          </cell>
          <cell r="G2376">
            <v>49</v>
          </cell>
          <cell r="H2376" t="str">
            <v>四川省仁寿县贵平镇中岗村12组</v>
          </cell>
          <cell r="I2376">
            <v>15982463575</v>
          </cell>
        </row>
        <row r="2377">
          <cell r="C2377" t="str">
            <v>511121197506056942</v>
          </cell>
          <cell r="D2377" t="str">
            <v>女</v>
          </cell>
          <cell r="E2377" t="str">
            <v>汉族</v>
          </cell>
          <cell r="F2377" t="str">
            <v>19750605</v>
          </cell>
          <cell r="G2377">
            <v>46</v>
          </cell>
          <cell r="H2377" t="str">
            <v>四川省仁寿县贵平镇中岗村12组</v>
          </cell>
          <cell r="I2377">
            <v>13438953406</v>
          </cell>
        </row>
        <row r="2378">
          <cell r="C2378" t="str">
            <v>511421200810266734</v>
          </cell>
          <cell r="D2378" t="str">
            <v>男</v>
          </cell>
          <cell r="E2378" t="str">
            <v>汉族</v>
          </cell>
          <cell r="F2378" t="str">
            <v>20081026</v>
          </cell>
          <cell r="G2378">
            <v>13</v>
          </cell>
          <cell r="H2378" t="str">
            <v>四川省仁寿县贵平镇中岗村12组</v>
          </cell>
        </row>
        <row r="2379">
          <cell r="C2379" t="str">
            <v>513822199610116939</v>
          </cell>
          <cell r="D2379" t="str">
            <v>男</v>
          </cell>
          <cell r="E2379" t="str">
            <v>汉族</v>
          </cell>
          <cell r="F2379" t="str">
            <v>19961011</v>
          </cell>
          <cell r="G2379">
            <v>25</v>
          </cell>
          <cell r="H2379" t="str">
            <v>四川省仁寿县贵平镇中岗村12组</v>
          </cell>
        </row>
        <row r="2380">
          <cell r="C2380" t="str">
            <v>51112119800319693X</v>
          </cell>
          <cell r="D2380" t="str">
            <v>男</v>
          </cell>
          <cell r="E2380" t="str">
            <v>汉族</v>
          </cell>
          <cell r="F2380" t="str">
            <v>19800319</v>
          </cell>
          <cell r="G2380">
            <v>41</v>
          </cell>
          <cell r="H2380" t="str">
            <v>四川省仁寿县贵平镇中岗村12组</v>
          </cell>
          <cell r="I2380">
            <v>13759459602</v>
          </cell>
        </row>
        <row r="2381">
          <cell r="C2381" t="str">
            <v>532501198303023644</v>
          </cell>
          <cell r="D2381" t="str">
            <v>女</v>
          </cell>
          <cell r="E2381" t="str">
            <v>彝族</v>
          </cell>
          <cell r="F2381" t="str">
            <v>19830302</v>
          </cell>
          <cell r="G2381">
            <v>38</v>
          </cell>
          <cell r="H2381" t="str">
            <v>四川省仁寿县贵平镇中岗村12组</v>
          </cell>
          <cell r="I2381">
            <v>13648733993</v>
          </cell>
        </row>
        <row r="2382">
          <cell r="C2382" t="str">
            <v>532501200505033621</v>
          </cell>
          <cell r="D2382" t="str">
            <v>女</v>
          </cell>
          <cell r="E2382" t="str">
            <v>汉族</v>
          </cell>
          <cell r="F2382" t="str">
            <v>20050503</v>
          </cell>
          <cell r="G2382">
            <v>16</v>
          </cell>
          <cell r="H2382" t="str">
            <v>四川省仁寿县贵平镇中岗村12组</v>
          </cell>
        </row>
        <row r="2383">
          <cell r="C2383" t="str">
            <v>511421201609220616</v>
          </cell>
          <cell r="D2383" t="str">
            <v>男</v>
          </cell>
          <cell r="E2383" t="str">
            <v>汉族</v>
          </cell>
          <cell r="F2383" t="str">
            <v>20160922</v>
          </cell>
          <cell r="G2383">
            <v>5</v>
          </cell>
          <cell r="H2383" t="str">
            <v>四川省仁寿县贵平镇中岗村12组</v>
          </cell>
        </row>
        <row r="2384">
          <cell r="C2384" t="str">
            <v>511121194512266934</v>
          </cell>
          <cell r="D2384" t="str">
            <v>男</v>
          </cell>
          <cell r="E2384" t="str">
            <v>汉族</v>
          </cell>
          <cell r="F2384" t="str">
            <v>19451226</v>
          </cell>
          <cell r="G2384">
            <v>76</v>
          </cell>
          <cell r="H2384" t="str">
            <v>四川省仁寿县贵平镇中岗村12组</v>
          </cell>
          <cell r="I2384">
            <v>17729879684</v>
          </cell>
        </row>
        <row r="2385">
          <cell r="C2385" t="str">
            <v>511121195012096945</v>
          </cell>
          <cell r="D2385" t="str">
            <v>女</v>
          </cell>
          <cell r="E2385" t="str">
            <v>汉族</v>
          </cell>
          <cell r="F2385" t="str">
            <v>19501209</v>
          </cell>
          <cell r="G2385">
            <v>71</v>
          </cell>
          <cell r="H2385" t="str">
            <v>四川省仁寿县贵平镇中岗村12组</v>
          </cell>
        </row>
        <row r="2386">
          <cell r="C2386" t="str">
            <v>511421200911146694</v>
          </cell>
          <cell r="D2386" t="str">
            <v>男</v>
          </cell>
          <cell r="E2386" t="str">
            <v>汉族</v>
          </cell>
          <cell r="F2386" t="str">
            <v>20091114</v>
          </cell>
          <cell r="G2386">
            <v>12</v>
          </cell>
          <cell r="H2386" t="str">
            <v>四川省仁寿县贵平镇中岗村12组</v>
          </cell>
        </row>
        <row r="2387">
          <cell r="C2387" t="str">
            <v>511121197602116933</v>
          </cell>
          <cell r="D2387" t="str">
            <v>男</v>
          </cell>
          <cell r="E2387" t="str">
            <v>汉族</v>
          </cell>
          <cell r="F2387" t="str">
            <v>19760211</v>
          </cell>
          <cell r="G2387">
            <v>45</v>
          </cell>
          <cell r="H2387" t="str">
            <v>四川省仁寿县贵平镇中岗村12组</v>
          </cell>
          <cell r="I2387">
            <v>13683404569</v>
          </cell>
        </row>
        <row r="2388">
          <cell r="C2388" t="str">
            <v>511112197610196949</v>
          </cell>
          <cell r="D2388" t="str">
            <v>女</v>
          </cell>
          <cell r="E2388" t="str">
            <v>汉族</v>
          </cell>
          <cell r="F2388" t="str">
            <v>19761019</v>
          </cell>
          <cell r="G2388">
            <v>45</v>
          </cell>
          <cell r="H2388" t="str">
            <v>四川省仁寿县贵平镇中岗村12组</v>
          </cell>
        </row>
        <row r="2389">
          <cell r="C2389" t="str">
            <v>51382219961005693X</v>
          </cell>
          <cell r="D2389" t="str">
            <v>男</v>
          </cell>
          <cell r="E2389" t="str">
            <v>汉族</v>
          </cell>
          <cell r="F2389" t="str">
            <v>19961005</v>
          </cell>
          <cell r="G2389">
            <v>25</v>
          </cell>
          <cell r="H2389" t="str">
            <v>四川省仁寿县贵平镇中岗村12组</v>
          </cell>
          <cell r="I2389">
            <v>18328115783</v>
          </cell>
        </row>
        <row r="2390">
          <cell r="C2390" t="str">
            <v>511121194510306939</v>
          </cell>
          <cell r="D2390" t="str">
            <v>男</v>
          </cell>
          <cell r="E2390" t="str">
            <v>汉族</v>
          </cell>
          <cell r="F2390" t="str">
            <v>19451030</v>
          </cell>
          <cell r="G2390">
            <v>76</v>
          </cell>
          <cell r="H2390" t="str">
            <v>四川省仁寿县贵平镇中岗村12组</v>
          </cell>
          <cell r="I2390">
            <v>13378368554</v>
          </cell>
        </row>
        <row r="2391">
          <cell r="C2391" t="str">
            <v>511121194505226942</v>
          </cell>
          <cell r="D2391" t="str">
            <v>女</v>
          </cell>
          <cell r="E2391" t="str">
            <v>汉族</v>
          </cell>
          <cell r="F2391" t="str">
            <v>19450522</v>
          </cell>
          <cell r="G2391">
            <v>76</v>
          </cell>
          <cell r="H2391" t="str">
            <v>四川省仁寿县贵平镇中岗村12组</v>
          </cell>
        </row>
        <row r="2392">
          <cell r="C2392" t="str">
            <v>511121197306216948</v>
          </cell>
          <cell r="D2392" t="str">
            <v>女</v>
          </cell>
          <cell r="E2392" t="str">
            <v>汉族</v>
          </cell>
          <cell r="F2392" t="str">
            <v>19730621</v>
          </cell>
          <cell r="G2392">
            <v>48</v>
          </cell>
          <cell r="H2392" t="str">
            <v>四川省仁寿县贵平镇中岗村12组</v>
          </cell>
          <cell r="I2392">
            <v>13388247544</v>
          </cell>
        </row>
        <row r="2393">
          <cell r="C2393" t="str">
            <v>513822199512306931</v>
          </cell>
          <cell r="D2393" t="str">
            <v>男</v>
          </cell>
          <cell r="E2393" t="str">
            <v>汉族</v>
          </cell>
          <cell r="F2393" t="str">
            <v>19951230</v>
          </cell>
          <cell r="G2393">
            <v>26</v>
          </cell>
          <cell r="H2393" t="str">
            <v>四川省仁寿县贵平镇中岗村12组</v>
          </cell>
        </row>
        <row r="2394">
          <cell r="C2394" t="str">
            <v>511121195606306946</v>
          </cell>
          <cell r="D2394" t="str">
            <v>女</v>
          </cell>
          <cell r="E2394" t="str">
            <v>汉族</v>
          </cell>
          <cell r="F2394" t="str">
            <v>19560630</v>
          </cell>
          <cell r="G2394">
            <v>65</v>
          </cell>
          <cell r="H2394" t="str">
            <v>四川省仁寿县贵平镇中岗村12组</v>
          </cell>
          <cell r="I2394">
            <v>13320959091</v>
          </cell>
        </row>
        <row r="2395">
          <cell r="C2395" t="str">
            <v>513822198407056948</v>
          </cell>
          <cell r="D2395" t="str">
            <v>女</v>
          </cell>
          <cell r="E2395" t="str">
            <v>汉族</v>
          </cell>
          <cell r="F2395" t="str">
            <v>19840705</v>
          </cell>
          <cell r="G2395">
            <v>37</v>
          </cell>
          <cell r="H2395" t="str">
            <v>四川省仁寿县贵平镇中岗村12组</v>
          </cell>
          <cell r="I2395">
            <v>13648145318</v>
          </cell>
        </row>
        <row r="2396">
          <cell r="C2396" t="str">
            <v>511121196508116932</v>
          </cell>
          <cell r="D2396" t="str">
            <v>男</v>
          </cell>
          <cell r="E2396" t="str">
            <v>汉族</v>
          </cell>
          <cell r="F2396" t="str">
            <v>19650811</v>
          </cell>
          <cell r="G2396">
            <v>56</v>
          </cell>
          <cell r="H2396" t="str">
            <v>四川省仁寿县贵平镇中岗村12组</v>
          </cell>
          <cell r="I2396">
            <v>17828205235</v>
          </cell>
        </row>
        <row r="2397">
          <cell r="C2397" t="str">
            <v>511121197505196935</v>
          </cell>
          <cell r="D2397" t="str">
            <v>男</v>
          </cell>
          <cell r="E2397" t="str">
            <v>汉族</v>
          </cell>
          <cell r="F2397" t="str">
            <v>19750519</v>
          </cell>
          <cell r="G2397">
            <v>46</v>
          </cell>
          <cell r="H2397" t="str">
            <v>四川省仁寿县贵平镇中岗村12组</v>
          </cell>
          <cell r="I2397">
            <v>13882007545</v>
          </cell>
        </row>
        <row r="2398">
          <cell r="C2398" t="str">
            <v>511421201111096785</v>
          </cell>
          <cell r="D2398" t="str">
            <v>女</v>
          </cell>
          <cell r="E2398" t="str">
            <v>汉族</v>
          </cell>
          <cell r="F2398" t="str">
            <v>20111109</v>
          </cell>
          <cell r="G2398">
            <v>10</v>
          </cell>
          <cell r="H2398" t="str">
            <v>四川省仁寿县贵平镇中岗村12组</v>
          </cell>
          <cell r="I2398">
            <v>13668241219</v>
          </cell>
        </row>
        <row r="2399">
          <cell r="C2399" t="str">
            <v>511121196808056951</v>
          </cell>
          <cell r="D2399" t="str">
            <v>男</v>
          </cell>
          <cell r="E2399" t="str">
            <v>汉族</v>
          </cell>
          <cell r="F2399" t="str">
            <v>19680805</v>
          </cell>
          <cell r="G2399">
            <v>53</v>
          </cell>
          <cell r="H2399" t="str">
            <v>四川省仁寿县贵平镇中岗村12组</v>
          </cell>
          <cell r="I2399">
            <v>15191119877</v>
          </cell>
        </row>
        <row r="2400">
          <cell r="C2400" t="str">
            <v>511121196912236944</v>
          </cell>
          <cell r="D2400" t="str">
            <v>女</v>
          </cell>
          <cell r="E2400" t="str">
            <v>汉族</v>
          </cell>
          <cell r="F2400" t="str">
            <v>19691223</v>
          </cell>
          <cell r="G2400">
            <v>52</v>
          </cell>
          <cell r="H2400" t="str">
            <v>四川省仁寿县贵平镇中岗村12组</v>
          </cell>
          <cell r="I2400">
            <v>19915473869</v>
          </cell>
        </row>
        <row r="2401">
          <cell r="C2401" t="str">
            <v>513822198708186949</v>
          </cell>
          <cell r="D2401" t="str">
            <v>女</v>
          </cell>
          <cell r="E2401" t="str">
            <v>汉族</v>
          </cell>
          <cell r="F2401" t="str">
            <v>19870818</v>
          </cell>
          <cell r="G2401">
            <v>34</v>
          </cell>
          <cell r="H2401" t="str">
            <v>四川省仁寿县贵平镇中岗村12组</v>
          </cell>
          <cell r="I2401">
            <v>17683248248</v>
          </cell>
        </row>
        <row r="2402">
          <cell r="C2402" t="str">
            <v>513822198903196931</v>
          </cell>
          <cell r="D2402" t="str">
            <v>男</v>
          </cell>
          <cell r="E2402" t="str">
            <v>汉族</v>
          </cell>
          <cell r="F2402" t="str">
            <v>19890319</v>
          </cell>
          <cell r="G2402">
            <v>32</v>
          </cell>
          <cell r="H2402" t="str">
            <v>四川省仁寿县贵平镇中岗村12组</v>
          </cell>
          <cell r="I2402">
            <v>17361155897</v>
          </cell>
        </row>
        <row r="2403">
          <cell r="C2403" t="str">
            <v>511421201603186859</v>
          </cell>
          <cell r="D2403" t="str">
            <v>男</v>
          </cell>
          <cell r="E2403" t="str">
            <v>汉族</v>
          </cell>
          <cell r="F2403" t="str">
            <v>20160318</v>
          </cell>
          <cell r="G2403">
            <v>5</v>
          </cell>
          <cell r="H2403" t="str">
            <v>四川省仁寿县贵平镇中岗村12组</v>
          </cell>
        </row>
        <row r="2404">
          <cell r="C2404" t="str">
            <v>511121194201166936</v>
          </cell>
          <cell r="D2404" t="str">
            <v>男</v>
          </cell>
          <cell r="E2404" t="str">
            <v>汉族</v>
          </cell>
          <cell r="F2404" t="str">
            <v>19420116</v>
          </cell>
          <cell r="G2404">
            <v>79</v>
          </cell>
          <cell r="H2404" t="str">
            <v>四川省仁寿县贵平镇中岗村12组</v>
          </cell>
          <cell r="I2404">
            <v>13208372034</v>
          </cell>
        </row>
        <row r="2405">
          <cell r="C2405" t="str">
            <v>511121194705166948</v>
          </cell>
          <cell r="D2405" t="str">
            <v>女</v>
          </cell>
          <cell r="E2405" t="str">
            <v>汉族</v>
          </cell>
          <cell r="F2405" t="str">
            <v>19470516</v>
          </cell>
          <cell r="G2405">
            <v>74</v>
          </cell>
          <cell r="H2405" t="str">
            <v>四川省仁寿县贵平镇中岗村12组</v>
          </cell>
        </row>
        <row r="2406">
          <cell r="C2406" t="str">
            <v>511121197505196951</v>
          </cell>
          <cell r="D2406" t="str">
            <v>男</v>
          </cell>
          <cell r="E2406" t="str">
            <v>汉族</v>
          </cell>
          <cell r="F2406" t="str">
            <v>19750519</v>
          </cell>
          <cell r="G2406">
            <v>46</v>
          </cell>
          <cell r="H2406" t="str">
            <v>四川省仁寿县贵平镇中岗村12组</v>
          </cell>
        </row>
        <row r="2407">
          <cell r="C2407" t="str">
            <v>511121196706206939</v>
          </cell>
          <cell r="D2407" t="str">
            <v>男</v>
          </cell>
          <cell r="E2407" t="str">
            <v>汉族</v>
          </cell>
          <cell r="F2407" t="str">
            <v>19670620</v>
          </cell>
          <cell r="G2407">
            <v>54</v>
          </cell>
          <cell r="H2407" t="str">
            <v>四川省仁寿县贵平镇中岗村12组</v>
          </cell>
          <cell r="I2407">
            <v>13438284844</v>
          </cell>
        </row>
        <row r="2408">
          <cell r="C2408" t="str">
            <v>511121196702266942</v>
          </cell>
          <cell r="D2408" t="str">
            <v>女</v>
          </cell>
          <cell r="E2408" t="str">
            <v>汉族</v>
          </cell>
          <cell r="F2408" t="str">
            <v>19670226</v>
          </cell>
          <cell r="G2408">
            <v>54</v>
          </cell>
          <cell r="H2408" t="str">
            <v>四川省仁寿县贵平镇中岗村12组</v>
          </cell>
        </row>
        <row r="2409">
          <cell r="C2409" t="str">
            <v>513822198708216933</v>
          </cell>
          <cell r="D2409" t="str">
            <v>男</v>
          </cell>
          <cell r="E2409" t="str">
            <v>汉族</v>
          </cell>
          <cell r="F2409" t="str">
            <v>19870821</v>
          </cell>
          <cell r="G2409">
            <v>34</v>
          </cell>
          <cell r="H2409" t="str">
            <v>四川省仁寿县贵平镇中岗村12组</v>
          </cell>
          <cell r="I2409">
            <v>15928017762</v>
          </cell>
        </row>
        <row r="2410">
          <cell r="C2410" t="str">
            <v>51142120100625688X</v>
          </cell>
          <cell r="D2410" t="str">
            <v>女</v>
          </cell>
          <cell r="E2410" t="str">
            <v>汉族</v>
          </cell>
          <cell r="F2410" t="str">
            <v>20100625</v>
          </cell>
          <cell r="G2410">
            <v>11</v>
          </cell>
          <cell r="H2410" t="str">
            <v>四川省仁寿县贵平镇中岗村12组</v>
          </cell>
        </row>
        <row r="2411">
          <cell r="C2411" t="str">
            <v>511421201204086930</v>
          </cell>
          <cell r="D2411" t="str">
            <v>男</v>
          </cell>
          <cell r="E2411" t="str">
            <v>汉族</v>
          </cell>
          <cell r="F2411" t="str">
            <v>20120408</v>
          </cell>
          <cell r="G2411">
            <v>9</v>
          </cell>
          <cell r="H2411" t="str">
            <v>四川省仁寿县贵平镇中岗村12组</v>
          </cell>
        </row>
        <row r="2412">
          <cell r="C2412" t="str">
            <v>511121194701186933</v>
          </cell>
          <cell r="D2412" t="str">
            <v>男</v>
          </cell>
          <cell r="E2412" t="str">
            <v>汉族</v>
          </cell>
          <cell r="F2412" t="str">
            <v>19470118</v>
          </cell>
          <cell r="G2412">
            <v>74</v>
          </cell>
          <cell r="H2412" t="str">
            <v>四川省仁寿县贵平镇中岗村12组</v>
          </cell>
          <cell r="I2412">
            <v>17055289376</v>
          </cell>
        </row>
        <row r="2413">
          <cell r="C2413" t="str">
            <v>511121194806026987</v>
          </cell>
          <cell r="D2413" t="str">
            <v>女</v>
          </cell>
          <cell r="E2413" t="str">
            <v>汉族</v>
          </cell>
          <cell r="F2413" t="str">
            <v>19480602</v>
          </cell>
          <cell r="G2413">
            <v>73</v>
          </cell>
          <cell r="H2413" t="str">
            <v>四川省仁寿县贵平镇中岗村12组</v>
          </cell>
        </row>
        <row r="2414">
          <cell r="C2414" t="str">
            <v>511121197511056939</v>
          </cell>
          <cell r="D2414" t="str">
            <v>男</v>
          </cell>
          <cell r="E2414" t="str">
            <v>汉族</v>
          </cell>
          <cell r="F2414" t="str">
            <v>19751105</v>
          </cell>
          <cell r="G2414">
            <v>46</v>
          </cell>
          <cell r="H2414" t="str">
            <v>四川省仁寿县贵平镇中岗村12组</v>
          </cell>
          <cell r="I2414">
            <v>13198361891</v>
          </cell>
        </row>
        <row r="2415">
          <cell r="C2415" t="str">
            <v>511421200905246904</v>
          </cell>
          <cell r="D2415" t="str">
            <v>女</v>
          </cell>
          <cell r="E2415" t="str">
            <v>汉族</v>
          </cell>
          <cell r="F2415" t="str">
            <v>20090524</v>
          </cell>
          <cell r="G2415">
            <v>12</v>
          </cell>
          <cell r="H2415" t="str">
            <v>四川省仁寿县贵平镇中岗村12组</v>
          </cell>
        </row>
        <row r="2416">
          <cell r="C2416" t="str">
            <v>511121196804206932</v>
          </cell>
          <cell r="D2416" t="str">
            <v>男</v>
          </cell>
          <cell r="E2416" t="str">
            <v>汉族</v>
          </cell>
          <cell r="F2416" t="str">
            <v>19680420</v>
          </cell>
          <cell r="G2416">
            <v>53</v>
          </cell>
          <cell r="H2416" t="str">
            <v>四川省仁寿县贵平镇中岗村12组</v>
          </cell>
          <cell r="I2416">
            <v>13408673718</v>
          </cell>
        </row>
        <row r="2417">
          <cell r="C2417" t="str">
            <v>511121197001179007</v>
          </cell>
          <cell r="D2417" t="str">
            <v>女</v>
          </cell>
          <cell r="E2417" t="str">
            <v>汉族</v>
          </cell>
          <cell r="F2417" t="str">
            <v>19700117</v>
          </cell>
          <cell r="G2417">
            <v>51</v>
          </cell>
          <cell r="H2417" t="str">
            <v>四川省仁寿县贵平镇中岗村12组</v>
          </cell>
          <cell r="I2417">
            <v>17341981185</v>
          </cell>
        </row>
        <row r="2418">
          <cell r="C2418" t="str">
            <v>513822198907286934</v>
          </cell>
          <cell r="D2418" t="str">
            <v>男</v>
          </cell>
          <cell r="E2418" t="str">
            <v>汉族</v>
          </cell>
          <cell r="F2418" t="str">
            <v>19890728</v>
          </cell>
          <cell r="G2418">
            <v>32</v>
          </cell>
          <cell r="H2418" t="str">
            <v>四川省仁寿县贵平镇中岗村12组</v>
          </cell>
          <cell r="I2418">
            <v>19950375486</v>
          </cell>
        </row>
        <row r="2419">
          <cell r="C2419" t="str">
            <v>513822199011059020</v>
          </cell>
          <cell r="D2419" t="str">
            <v>女</v>
          </cell>
          <cell r="E2419" t="str">
            <v>汉族</v>
          </cell>
          <cell r="F2419" t="str">
            <v>19901105</v>
          </cell>
          <cell r="G2419">
            <v>31</v>
          </cell>
          <cell r="H2419" t="str">
            <v>四川省仁寿县贵平镇中岗村12组</v>
          </cell>
          <cell r="I2419">
            <v>17341981185</v>
          </cell>
        </row>
        <row r="2420">
          <cell r="C2420" t="str">
            <v>511421201605318704</v>
          </cell>
          <cell r="D2420" t="str">
            <v>女</v>
          </cell>
          <cell r="E2420" t="str">
            <v>汉族</v>
          </cell>
          <cell r="F2420" t="str">
            <v>20160531</v>
          </cell>
          <cell r="G2420">
            <v>5</v>
          </cell>
          <cell r="H2420" t="str">
            <v>四川省仁寿县贵平镇中岗村12组</v>
          </cell>
        </row>
        <row r="2421">
          <cell r="C2421" t="str">
            <v>513822199204256936</v>
          </cell>
          <cell r="D2421" t="str">
            <v>男</v>
          </cell>
          <cell r="E2421" t="str">
            <v>汉族</v>
          </cell>
          <cell r="F2421" t="str">
            <v>19920425</v>
          </cell>
          <cell r="G2421">
            <v>29</v>
          </cell>
          <cell r="H2421" t="str">
            <v>四川省仁寿县贵平镇中岗村12组</v>
          </cell>
          <cell r="I2421">
            <v>19950392486</v>
          </cell>
        </row>
        <row r="2422">
          <cell r="C2422" t="str">
            <v>513901199610276442</v>
          </cell>
          <cell r="D2422" t="str">
            <v>女</v>
          </cell>
          <cell r="E2422" t="str">
            <v>汉族</v>
          </cell>
          <cell r="F2422" t="str">
            <v>19961027</v>
          </cell>
          <cell r="G2422">
            <v>25</v>
          </cell>
          <cell r="H2422" t="str">
            <v>四川省仁寿县贵平镇中岗村12组</v>
          </cell>
        </row>
        <row r="2423">
          <cell r="C2423" t="str">
            <v>511421201804050106</v>
          </cell>
          <cell r="D2423" t="str">
            <v>女</v>
          </cell>
          <cell r="E2423" t="str">
            <v>汉族</v>
          </cell>
          <cell r="F2423" t="str">
            <v>20180405</v>
          </cell>
          <cell r="G2423">
            <v>3</v>
          </cell>
          <cell r="H2423" t="str">
            <v>四川省仁寿县贵平镇中岗村12组</v>
          </cell>
        </row>
        <row r="2424">
          <cell r="C2424" t="str">
            <v>511121197104076959</v>
          </cell>
          <cell r="D2424" t="str">
            <v>男</v>
          </cell>
          <cell r="E2424" t="str">
            <v>汉族</v>
          </cell>
          <cell r="F2424" t="str">
            <v>19710407</v>
          </cell>
          <cell r="G2424">
            <v>50</v>
          </cell>
          <cell r="H2424" t="str">
            <v>四川省仁寿县贵平镇中岗村12组</v>
          </cell>
          <cell r="I2424">
            <v>17381139381</v>
          </cell>
        </row>
        <row r="2425">
          <cell r="C2425" t="str">
            <v>511027197412198985</v>
          </cell>
          <cell r="D2425" t="str">
            <v>女</v>
          </cell>
          <cell r="E2425" t="str">
            <v>汉族</v>
          </cell>
          <cell r="F2425" t="str">
            <v>19741219</v>
          </cell>
          <cell r="G2425">
            <v>47</v>
          </cell>
          <cell r="H2425" t="str">
            <v>四川省仁寿县贵平镇中岗村12组</v>
          </cell>
          <cell r="I2425">
            <v>17381139931</v>
          </cell>
        </row>
        <row r="2426">
          <cell r="C2426" t="str">
            <v>51382219911112693X</v>
          </cell>
          <cell r="D2426" t="str">
            <v>男</v>
          </cell>
          <cell r="E2426" t="str">
            <v>汉族</v>
          </cell>
          <cell r="F2426" t="str">
            <v>19911112</v>
          </cell>
          <cell r="G2426">
            <v>30</v>
          </cell>
          <cell r="H2426" t="str">
            <v>四川省仁寿县贵平镇中岗村12组</v>
          </cell>
          <cell r="I2426">
            <v>18884315087</v>
          </cell>
        </row>
        <row r="2427">
          <cell r="C2427" t="str">
            <v>511121195206106953</v>
          </cell>
          <cell r="D2427" t="str">
            <v>男</v>
          </cell>
          <cell r="E2427" t="str">
            <v>汉族</v>
          </cell>
          <cell r="F2427" t="str">
            <v>19520610</v>
          </cell>
          <cell r="G2427">
            <v>69</v>
          </cell>
          <cell r="H2427" t="str">
            <v>四川省仁寿县贵平镇中岗村12组</v>
          </cell>
          <cell r="I2427">
            <v>18080378144</v>
          </cell>
        </row>
        <row r="2428">
          <cell r="C2428" t="str">
            <v>511121195102026940</v>
          </cell>
          <cell r="D2428" t="str">
            <v>女</v>
          </cell>
          <cell r="E2428" t="str">
            <v>汉族</v>
          </cell>
          <cell r="F2428" t="str">
            <v>19510202</v>
          </cell>
          <cell r="G2428">
            <v>70</v>
          </cell>
          <cell r="H2428" t="str">
            <v>四川省仁寿县贵平镇中岗村12组</v>
          </cell>
        </row>
        <row r="2429">
          <cell r="C2429" t="str">
            <v>511121197309166931</v>
          </cell>
          <cell r="D2429" t="str">
            <v>男</v>
          </cell>
          <cell r="E2429" t="str">
            <v>汉族</v>
          </cell>
          <cell r="F2429" t="str">
            <v>19730916</v>
          </cell>
          <cell r="G2429">
            <v>48</v>
          </cell>
          <cell r="H2429" t="str">
            <v>四川省仁寿县贵平镇中岗村12组</v>
          </cell>
          <cell r="I2429">
            <v>17381138195</v>
          </cell>
        </row>
        <row r="2430">
          <cell r="C2430" t="str">
            <v>511121197606176941</v>
          </cell>
          <cell r="D2430" t="str">
            <v>女</v>
          </cell>
          <cell r="E2430" t="str">
            <v>汉族</v>
          </cell>
          <cell r="F2430" t="str">
            <v>19760617</v>
          </cell>
          <cell r="G2430">
            <v>45</v>
          </cell>
          <cell r="H2430" t="str">
            <v>四川省仁寿县贵平镇中岗村12组</v>
          </cell>
          <cell r="I2430">
            <v>17381138951</v>
          </cell>
        </row>
        <row r="2431">
          <cell r="C2431" t="str">
            <v>513822199802186931</v>
          </cell>
          <cell r="D2431" t="str">
            <v>男</v>
          </cell>
          <cell r="E2431" t="str">
            <v>汉族</v>
          </cell>
          <cell r="F2431" t="str">
            <v>19980218</v>
          </cell>
          <cell r="G2431">
            <v>23</v>
          </cell>
          <cell r="H2431" t="str">
            <v>四川省仁寿县贵平镇中岗村12组</v>
          </cell>
          <cell r="I2431">
            <v>13219261125</v>
          </cell>
        </row>
        <row r="2432">
          <cell r="C2432" t="str">
            <v>511121197606216931</v>
          </cell>
          <cell r="D2432" t="str">
            <v>男</v>
          </cell>
          <cell r="E2432" t="str">
            <v>汉族</v>
          </cell>
          <cell r="F2432" t="str">
            <v>19760621</v>
          </cell>
          <cell r="G2432">
            <v>45</v>
          </cell>
          <cell r="H2432" t="str">
            <v>四川省仁寿县贵平镇中岗村12组</v>
          </cell>
          <cell r="I2432">
            <v>15928538303</v>
          </cell>
        </row>
        <row r="2433">
          <cell r="C2433" t="str">
            <v>510921197810071322</v>
          </cell>
          <cell r="D2433" t="str">
            <v>女</v>
          </cell>
          <cell r="E2433" t="str">
            <v>汉族</v>
          </cell>
          <cell r="F2433" t="str">
            <v>19781007</v>
          </cell>
          <cell r="G2433">
            <v>43</v>
          </cell>
          <cell r="H2433" t="str">
            <v>四川省仁寿县贵平镇中岗村12组</v>
          </cell>
          <cell r="I2433">
            <v>13540488836</v>
          </cell>
        </row>
        <row r="2434">
          <cell r="C2434" t="str">
            <v>513822200302246745</v>
          </cell>
          <cell r="D2434" t="str">
            <v>女</v>
          </cell>
          <cell r="E2434" t="str">
            <v>汉族</v>
          </cell>
          <cell r="F2434" t="str">
            <v>20030224</v>
          </cell>
          <cell r="G2434">
            <v>18</v>
          </cell>
          <cell r="H2434" t="str">
            <v>四川省仁寿县贵平镇中岗村12组</v>
          </cell>
          <cell r="I2434">
            <v>13548018832</v>
          </cell>
        </row>
        <row r="2435">
          <cell r="C2435" t="str">
            <v>51112119420922693X</v>
          </cell>
          <cell r="D2435" t="str">
            <v>男</v>
          </cell>
          <cell r="E2435" t="str">
            <v>汉族</v>
          </cell>
          <cell r="F2435" t="str">
            <v>19420922</v>
          </cell>
          <cell r="G2435">
            <v>79</v>
          </cell>
          <cell r="H2435" t="str">
            <v>四川省仁寿县贵平镇中岗村12组</v>
          </cell>
          <cell r="I2435">
            <v>18008058213</v>
          </cell>
        </row>
        <row r="2436">
          <cell r="C2436" t="str">
            <v>511121197010256959</v>
          </cell>
          <cell r="D2436" t="str">
            <v>男</v>
          </cell>
          <cell r="E2436" t="str">
            <v>汉族</v>
          </cell>
          <cell r="F2436" t="str">
            <v>19701025</v>
          </cell>
          <cell r="G2436">
            <v>51</v>
          </cell>
          <cell r="H2436" t="str">
            <v>四川省仁寿县贵平镇中岗村12组</v>
          </cell>
          <cell r="I2436">
            <v>17381139651</v>
          </cell>
        </row>
        <row r="2437">
          <cell r="C2437" t="str">
            <v>511121196812136946</v>
          </cell>
          <cell r="D2437" t="str">
            <v>女</v>
          </cell>
          <cell r="E2437" t="str">
            <v>汉族</v>
          </cell>
          <cell r="F2437" t="str">
            <v>19681213</v>
          </cell>
          <cell r="G2437">
            <v>53</v>
          </cell>
          <cell r="H2437" t="str">
            <v>四川省仁寿县贵平镇中岗村12组</v>
          </cell>
          <cell r="I2437">
            <v>15160919759</v>
          </cell>
        </row>
        <row r="2438">
          <cell r="C2438" t="str">
            <v>511121196505236891</v>
          </cell>
          <cell r="D2438" t="str">
            <v>男</v>
          </cell>
          <cell r="E2438" t="str">
            <v>汉族</v>
          </cell>
          <cell r="F2438" t="str">
            <v>19650523</v>
          </cell>
          <cell r="G2438">
            <v>56</v>
          </cell>
          <cell r="H2438" t="str">
            <v>四川省仁寿县贵平镇中岗村12组</v>
          </cell>
          <cell r="I2438">
            <v>18980878071</v>
          </cell>
        </row>
        <row r="2439">
          <cell r="C2439" t="str">
            <v>511121196501106942</v>
          </cell>
          <cell r="D2439" t="str">
            <v>女</v>
          </cell>
          <cell r="E2439" t="str">
            <v>汉族</v>
          </cell>
          <cell r="F2439" t="str">
            <v>19650110</v>
          </cell>
          <cell r="G2439">
            <v>56</v>
          </cell>
          <cell r="H2439" t="str">
            <v>四川省仁寿县贵平镇中岗村12组</v>
          </cell>
          <cell r="I2439">
            <v>18080188440</v>
          </cell>
        </row>
        <row r="2440">
          <cell r="C2440" t="str">
            <v>513822199005126936</v>
          </cell>
          <cell r="D2440" t="str">
            <v>男</v>
          </cell>
          <cell r="E2440" t="str">
            <v>汉族</v>
          </cell>
          <cell r="F2440" t="str">
            <v>19900512</v>
          </cell>
          <cell r="G2440">
            <v>31</v>
          </cell>
          <cell r="H2440" t="str">
            <v>四川省仁寿县贵平镇中岗村12组</v>
          </cell>
          <cell r="I2440">
            <v>18081149730</v>
          </cell>
        </row>
        <row r="2441">
          <cell r="C2441" t="str">
            <v>511121196604166972</v>
          </cell>
          <cell r="D2441" t="str">
            <v>男</v>
          </cell>
          <cell r="E2441" t="str">
            <v>汉族</v>
          </cell>
          <cell r="F2441" t="str">
            <v>19660416</v>
          </cell>
          <cell r="G2441">
            <v>55</v>
          </cell>
          <cell r="H2441" t="str">
            <v>四川省仁寿县贵平镇中岗村12组</v>
          </cell>
          <cell r="I2441">
            <v>18328105499</v>
          </cell>
        </row>
        <row r="2442">
          <cell r="C2442" t="str">
            <v>511121196805256931</v>
          </cell>
          <cell r="D2442" t="str">
            <v>男</v>
          </cell>
          <cell r="E2442" t="str">
            <v>汉族</v>
          </cell>
          <cell r="F2442" t="str">
            <v>19680525</v>
          </cell>
          <cell r="G2442">
            <v>53</v>
          </cell>
          <cell r="H2442" t="str">
            <v>四川省仁寿县贵平镇中岗村12组</v>
          </cell>
          <cell r="I2442">
            <v>17381139851</v>
          </cell>
        </row>
        <row r="2443">
          <cell r="C2443" t="str">
            <v>511121196909168944</v>
          </cell>
          <cell r="D2443" t="str">
            <v>女</v>
          </cell>
          <cell r="E2443" t="str">
            <v>汉族</v>
          </cell>
          <cell r="F2443" t="str">
            <v>19690916</v>
          </cell>
          <cell r="G2443">
            <v>52</v>
          </cell>
          <cell r="H2443" t="str">
            <v>四川省仁寿县贵平镇中岗村12组</v>
          </cell>
          <cell r="I2443">
            <v>17311373265</v>
          </cell>
        </row>
        <row r="2444">
          <cell r="C2444" t="str">
            <v>513822199306256937</v>
          </cell>
          <cell r="D2444" t="str">
            <v>男</v>
          </cell>
          <cell r="E2444" t="str">
            <v>汉族</v>
          </cell>
          <cell r="F2444" t="str">
            <v>19930625</v>
          </cell>
          <cell r="G2444">
            <v>28</v>
          </cell>
          <cell r="H2444" t="str">
            <v>四川省仁寿县贵平镇中岗村12组</v>
          </cell>
          <cell r="I2444">
            <v>15051674912</v>
          </cell>
        </row>
        <row r="2445">
          <cell r="C2445" t="str">
            <v>511121195405156937</v>
          </cell>
          <cell r="D2445" t="str">
            <v>男</v>
          </cell>
          <cell r="E2445" t="str">
            <v>汉族</v>
          </cell>
          <cell r="F2445" t="str">
            <v>19540515</v>
          </cell>
          <cell r="G2445">
            <v>67</v>
          </cell>
          <cell r="H2445" t="str">
            <v>四川省仁寿县贵平镇中岗村12组</v>
          </cell>
          <cell r="I2445">
            <v>13036613481</v>
          </cell>
        </row>
        <row r="2446">
          <cell r="C2446" t="str">
            <v>511121195802086944</v>
          </cell>
          <cell r="D2446" t="str">
            <v>女</v>
          </cell>
          <cell r="E2446" t="str">
            <v>汉族</v>
          </cell>
          <cell r="F2446" t="str">
            <v>19580208</v>
          </cell>
          <cell r="G2446">
            <v>63</v>
          </cell>
          <cell r="H2446" t="str">
            <v>四川省仁寿县贵平镇中岗村12组</v>
          </cell>
        </row>
        <row r="2447">
          <cell r="C2447" t="str">
            <v>513822199202276941</v>
          </cell>
          <cell r="D2447" t="str">
            <v>女</v>
          </cell>
          <cell r="E2447" t="str">
            <v>汉族</v>
          </cell>
          <cell r="F2447" t="str">
            <v>19920227</v>
          </cell>
          <cell r="G2447">
            <v>29</v>
          </cell>
          <cell r="H2447" t="str">
            <v>四川省仁寿县贵平镇中岗村12组</v>
          </cell>
          <cell r="I2447">
            <v>18328382397</v>
          </cell>
        </row>
        <row r="2448">
          <cell r="C2448" t="str">
            <v>511121198010126948</v>
          </cell>
          <cell r="D2448" t="str">
            <v>女</v>
          </cell>
          <cell r="E2448" t="str">
            <v>汉族</v>
          </cell>
          <cell r="F2448" t="str">
            <v>19801012</v>
          </cell>
          <cell r="G2448">
            <v>41</v>
          </cell>
          <cell r="H2448" t="str">
            <v>四川省仁寿县贵平镇中岗村12组</v>
          </cell>
          <cell r="I2448">
            <v>15928532446</v>
          </cell>
        </row>
        <row r="2449">
          <cell r="C2449" t="str">
            <v>51112119550815693X</v>
          </cell>
          <cell r="D2449" t="str">
            <v>男</v>
          </cell>
          <cell r="E2449" t="str">
            <v>汉族</v>
          </cell>
          <cell r="F2449" t="str">
            <v>19550815</v>
          </cell>
          <cell r="G2449">
            <v>66</v>
          </cell>
          <cell r="H2449" t="str">
            <v>四川省仁寿县贵平镇中岗村12组</v>
          </cell>
          <cell r="I2449">
            <v>17883002018</v>
          </cell>
        </row>
        <row r="2450">
          <cell r="C2450" t="str">
            <v>511121195311056943</v>
          </cell>
          <cell r="D2450" t="str">
            <v>女</v>
          </cell>
          <cell r="E2450" t="str">
            <v>汉族</v>
          </cell>
          <cell r="F2450" t="str">
            <v>19531105</v>
          </cell>
          <cell r="G2450">
            <v>68</v>
          </cell>
          <cell r="H2450" t="str">
            <v>四川省仁寿县贵平镇中岗村12组</v>
          </cell>
          <cell r="I2450">
            <v>13198623937</v>
          </cell>
        </row>
        <row r="2451">
          <cell r="C2451" t="str">
            <v>511121197910046930</v>
          </cell>
          <cell r="D2451" t="str">
            <v>男</v>
          </cell>
          <cell r="E2451" t="str">
            <v>汉族</v>
          </cell>
          <cell r="F2451" t="str">
            <v>19791004</v>
          </cell>
          <cell r="G2451">
            <v>42</v>
          </cell>
          <cell r="H2451" t="str">
            <v>四川省仁寿县贵平镇中岗村12组</v>
          </cell>
          <cell r="I2451">
            <v>13018282270</v>
          </cell>
        </row>
        <row r="2452">
          <cell r="C2452" t="str">
            <v>511121194603056959</v>
          </cell>
          <cell r="D2452" t="str">
            <v>男</v>
          </cell>
          <cell r="E2452" t="str">
            <v>汉族</v>
          </cell>
          <cell r="F2452" t="str">
            <v>19460305</v>
          </cell>
          <cell r="G2452">
            <v>75</v>
          </cell>
          <cell r="H2452" t="str">
            <v>四川省仁寿县贵平镇中岗村12组</v>
          </cell>
          <cell r="I2452">
            <v>17032639918</v>
          </cell>
        </row>
        <row r="2453">
          <cell r="C2453" t="str">
            <v>511121195111246945</v>
          </cell>
          <cell r="D2453" t="str">
            <v>女</v>
          </cell>
          <cell r="E2453" t="str">
            <v>汉族</v>
          </cell>
          <cell r="F2453" t="str">
            <v>19511124</v>
          </cell>
          <cell r="G2453">
            <v>70</v>
          </cell>
          <cell r="H2453" t="str">
            <v>四川省仁寿县贵平镇中岗村12组</v>
          </cell>
          <cell r="I2453">
            <v>17381139080</v>
          </cell>
        </row>
        <row r="2454">
          <cell r="C2454" t="str">
            <v>511121197606226953</v>
          </cell>
          <cell r="D2454" t="str">
            <v>男</v>
          </cell>
          <cell r="E2454" t="str">
            <v>汉族</v>
          </cell>
          <cell r="F2454" t="str">
            <v>19760622</v>
          </cell>
          <cell r="G2454">
            <v>45</v>
          </cell>
          <cell r="H2454" t="str">
            <v>四川省仁寿县贵平镇中岗村12组</v>
          </cell>
          <cell r="I2454">
            <v>13882276828</v>
          </cell>
        </row>
        <row r="2455">
          <cell r="C2455" t="str">
            <v>511121197207016975</v>
          </cell>
          <cell r="D2455" t="str">
            <v>男</v>
          </cell>
          <cell r="E2455" t="str">
            <v>汉族</v>
          </cell>
          <cell r="F2455" t="str">
            <v>19720701</v>
          </cell>
          <cell r="G2455">
            <v>49</v>
          </cell>
          <cell r="H2455" t="str">
            <v>四川省仁寿县贵平镇中岗村12组</v>
          </cell>
          <cell r="I2455">
            <v>13666213748</v>
          </cell>
        </row>
        <row r="2456">
          <cell r="C2456" t="str">
            <v>511121194008166942</v>
          </cell>
          <cell r="D2456" t="str">
            <v>女</v>
          </cell>
          <cell r="E2456" t="str">
            <v>汉族</v>
          </cell>
          <cell r="F2456" t="str">
            <v>19400816</v>
          </cell>
          <cell r="G2456">
            <v>81</v>
          </cell>
          <cell r="H2456" t="str">
            <v>四川省仁寿县贵平镇中岗村12组</v>
          </cell>
          <cell r="I2456">
            <v>15328758030</v>
          </cell>
        </row>
        <row r="2457">
          <cell r="C2457" t="str">
            <v>511121196404226934</v>
          </cell>
          <cell r="D2457" t="str">
            <v>男</v>
          </cell>
          <cell r="E2457" t="str">
            <v>汉族</v>
          </cell>
          <cell r="F2457" t="str">
            <v>19640422</v>
          </cell>
          <cell r="G2457">
            <v>57</v>
          </cell>
          <cell r="H2457" t="str">
            <v>四川省仁寿县贵平镇中岗村12组</v>
          </cell>
          <cell r="I2457">
            <v>15208233975</v>
          </cell>
        </row>
        <row r="2458">
          <cell r="C2458" t="str">
            <v>513822200401196886</v>
          </cell>
          <cell r="D2458" t="str">
            <v>女</v>
          </cell>
          <cell r="E2458" t="str">
            <v>汉族</v>
          </cell>
          <cell r="F2458" t="str">
            <v>20040119</v>
          </cell>
          <cell r="G2458">
            <v>17</v>
          </cell>
          <cell r="H2458" t="str">
            <v>四川省仁寿县贵平镇中岗村12组</v>
          </cell>
        </row>
        <row r="2459">
          <cell r="C2459" t="str">
            <v>511121194509076937</v>
          </cell>
          <cell r="D2459" t="str">
            <v>男</v>
          </cell>
          <cell r="E2459" t="str">
            <v>汉族</v>
          </cell>
          <cell r="F2459" t="str">
            <v>19450907</v>
          </cell>
          <cell r="G2459">
            <v>76</v>
          </cell>
          <cell r="H2459" t="str">
            <v>四川省仁寿县贵平镇中岗村12组</v>
          </cell>
          <cell r="I2459">
            <v>15196465166</v>
          </cell>
        </row>
        <row r="2460">
          <cell r="C2460" t="str">
            <v>511121194505286945</v>
          </cell>
          <cell r="D2460" t="str">
            <v>女</v>
          </cell>
          <cell r="E2460" t="str">
            <v>汉族</v>
          </cell>
          <cell r="F2460" t="str">
            <v>19450528</v>
          </cell>
          <cell r="G2460">
            <v>76</v>
          </cell>
          <cell r="H2460" t="str">
            <v>四川省仁寿县贵平镇中岗村12组</v>
          </cell>
        </row>
        <row r="2461">
          <cell r="C2461" t="str">
            <v>511121197503016937</v>
          </cell>
          <cell r="D2461" t="str">
            <v>男</v>
          </cell>
          <cell r="E2461" t="str">
            <v>汉族</v>
          </cell>
          <cell r="F2461" t="str">
            <v>19750301</v>
          </cell>
          <cell r="G2461">
            <v>46</v>
          </cell>
          <cell r="H2461" t="str">
            <v>四川省仁寿县贵平镇中岗村12组</v>
          </cell>
          <cell r="I2461">
            <v>15208420026</v>
          </cell>
        </row>
        <row r="2462">
          <cell r="C2462" t="str">
            <v>511121195311056935</v>
          </cell>
          <cell r="D2462" t="str">
            <v>男</v>
          </cell>
          <cell r="E2462" t="str">
            <v>汉族</v>
          </cell>
          <cell r="F2462" t="str">
            <v>19531105</v>
          </cell>
          <cell r="G2462">
            <v>68</v>
          </cell>
          <cell r="H2462" t="str">
            <v>四川省仁寿县贵平镇中岗村12组</v>
          </cell>
          <cell r="I2462">
            <v>18089503407</v>
          </cell>
        </row>
        <row r="2463">
          <cell r="C2463" t="str">
            <v>511121195611016943</v>
          </cell>
          <cell r="D2463" t="str">
            <v>女</v>
          </cell>
          <cell r="E2463" t="str">
            <v>汉族</v>
          </cell>
          <cell r="F2463" t="str">
            <v>19561101</v>
          </cell>
          <cell r="G2463">
            <v>65</v>
          </cell>
          <cell r="H2463" t="str">
            <v>四川省仁寿县贵平镇中岗村12组</v>
          </cell>
          <cell r="I2463">
            <v>15884343476</v>
          </cell>
        </row>
        <row r="2464">
          <cell r="C2464" t="str">
            <v>511121197207016959</v>
          </cell>
          <cell r="D2464" t="str">
            <v>男</v>
          </cell>
          <cell r="E2464" t="str">
            <v>汉族</v>
          </cell>
          <cell r="F2464" t="str">
            <v>19720701</v>
          </cell>
          <cell r="G2464">
            <v>49</v>
          </cell>
          <cell r="H2464" t="str">
            <v>四川省仁寿县贵平镇中岗村12组</v>
          </cell>
          <cell r="I2464">
            <v>13330931463</v>
          </cell>
        </row>
        <row r="2465">
          <cell r="C2465" t="str">
            <v>511121193510226942</v>
          </cell>
          <cell r="D2465" t="str">
            <v>女</v>
          </cell>
          <cell r="E2465" t="str">
            <v>汉族</v>
          </cell>
          <cell r="F2465" t="str">
            <v>19351022</v>
          </cell>
          <cell r="G2465">
            <v>86</v>
          </cell>
          <cell r="H2465" t="str">
            <v>四川省仁寿县贵平镇中岗村12组</v>
          </cell>
        </row>
        <row r="2466">
          <cell r="C2466" t="str">
            <v>511121196611056958</v>
          </cell>
          <cell r="D2466" t="str">
            <v>男</v>
          </cell>
          <cell r="E2466" t="str">
            <v>汉族</v>
          </cell>
          <cell r="F2466" t="str">
            <v>19661105</v>
          </cell>
          <cell r="G2466">
            <v>55</v>
          </cell>
          <cell r="H2466" t="str">
            <v>四川省仁寿县贵平镇中岗村12组</v>
          </cell>
          <cell r="I2466">
            <v>13808778765</v>
          </cell>
        </row>
        <row r="2467">
          <cell r="C2467" t="str">
            <v>511121196310126932</v>
          </cell>
          <cell r="D2467" t="str">
            <v>男</v>
          </cell>
          <cell r="E2467" t="str">
            <v>汉族</v>
          </cell>
          <cell r="F2467" t="str">
            <v>19631012</v>
          </cell>
          <cell r="G2467">
            <v>58</v>
          </cell>
          <cell r="H2467" t="str">
            <v>四川省仁寿县贵平镇中岗村12组</v>
          </cell>
          <cell r="I2467">
            <v>14787084129</v>
          </cell>
        </row>
        <row r="2468">
          <cell r="C2468" t="str">
            <v>511121196410026939</v>
          </cell>
          <cell r="D2468" t="str">
            <v>男</v>
          </cell>
          <cell r="E2468" t="str">
            <v>汉族</v>
          </cell>
          <cell r="F2468" t="str">
            <v>19641002</v>
          </cell>
          <cell r="G2468">
            <v>57</v>
          </cell>
          <cell r="H2468" t="str">
            <v>四川省仁寿县贵平镇中岗村12组</v>
          </cell>
          <cell r="I2468">
            <v>17311374608</v>
          </cell>
        </row>
        <row r="2469">
          <cell r="C2469" t="str">
            <v>511121196401116940</v>
          </cell>
          <cell r="D2469" t="str">
            <v>女</v>
          </cell>
          <cell r="E2469" t="str">
            <v>汉族</v>
          </cell>
          <cell r="F2469" t="str">
            <v>19640111</v>
          </cell>
          <cell r="G2469">
            <v>57</v>
          </cell>
          <cell r="H2469" t="str">
            <v>四川省仁寿县贵平镇中岗村12组</v>
          </cell>
        </row>
        <row r="2470">
          <cell r="C2470" t="str">
            <v>511121196906206933</v>
          </cell>
          <cell r="D2470" t="str">
            <v>男</v>
          </cell>
          <cell r="E2470" t="str">
            <v>汉族</v>
          </cell>
          <cell r="F2470" t="str">
            <v>19690620</v>
          </cell>
          <cell r="G2470">
            <v>52</v>
          </cell>
          <cell r="H2470" t="str">
            <v>四川省仁寿县贵平镇中岗村12组</v>
          </cell>
          <cell r="I2470">
            <v>18398566276</v>
          </cell>
        </row>
        <row r="2471">
          <cell r="C2471" t="str">
            <v>511121197208156953</v>
          </cell>
          <cell r="D2471" t="str">
            <v>男</v>
          </cell>
          <cell r="E2471" t="str">
            <v>汉族</v>
          </cell>
          <cell r="F2471" t="str">
            <v>19720815</v>
          </cell>
          <cell r="G2471">
            <v>49</v>
          </cell>
          <cell r="H2471" t="str">
            <v>四川省仁寿县贵平镇中岗村12组</v>
          </cell>
          <cell r="I2471">
            <v>15828388930</v>
          </cell>
        </row>
        <row r="2472">
          <cell r="C2472" t="str">
            <v>511121197201026945</v>
          </cell>
          <cell r="D2472" t="str">
            <v>女</v>
          </cell>
          <cell r="E2472" t="str">
            <v>汉族</v>
          </cell>
          <cell r="F2472" t="str">
            <v>19720102</v>
          </cell>
          <cell r="G2472">
            <v>49</v>
          </cell>
          <cell r="H2472" t="str">
            <v>四川省仁寿县贵平镇中岗村12组</v>
          </cell>
          <cell r="I2472">
            <v>13982057924</v>
          </cell>
        </row>
        <row r="2473">
          <cell r="C2473" t="str">
            <v>51142119950310676X</v>
          </cell>
          <cell r="D2473" t="str">
            <v>女</v>
          </cell>
          <cell r="E2473" t="str">
            <v>汉族</v>
          </cell>
          <cell r="F2473" t="str">
            <v>19950310</v>
          </cell>
          <cell r="G2473">
            <v>26</v>
          </cell>
          <cell r="H2473" t="str">
            <v>四川省仁寿县贵平镇中岗村12组</v>
          </cell>
          <cell r="I2473">
            <v>18228043972</v>
          </cell>
        </row>
        <row r="2474">
          <cell r="C2474" t="str">
            <v>511602199403017219</v>
          </cell>
          <cell r="D2474" t="str">
            <v>男</v>
          </cell>
          <cell r="E2474" t="str">
            <v>汉族</v>
          </cell>
          <cell r="F2474" t="str">
            <v>19940301</v>
          </cell>
          <cell r="G2474">
            <v>27</v>
          </cell>
          <cell r="H2474" t="str">
            <v>四川省仁寿县贵平镇中岗村12组</v>
          </cell>
          <cell r="I2474">
            <v>18728681520</v>
          </cell>
        </row>
        <row r="2475">
          <cell r="C2475" t="str">
            <v>511121193302196937</v>
          </cell>
          <cell r="D2475" t="str">
            <v>男</v>
          </cell>
          <cell r="E2475" t="str">
            <v>汉族</v>
          </cell>
          <cell r="F2475" t="str">
            <v>19330219</v>
          </cell>
          <cell r="G2475">
            <v>88</v>
          </cell>
          <cell r="H2475" t="str">
            <v>四川省仁寿县贵平镇中岗村12组</v>
          </cell>
        </row>
        <row r="2476">
          <cell r="C2476" t="str">
            <v>511421201111286853</v>
          </cell>
          <cell r="D2476" t="str">
            <v>男</v>
          </cell>
          <cell r="E2476" t="str">
            <v>汉族</v>
          </cell>
          <cell r="F2476" t="str">
            <v>20111128</v>
          </cell>
          <cell r="G2476">
            <v>10</v>
          </cell>
          <cell r="H2476" t="str">
            <v>四川省仁寿县贵平镇中岗村12组</v>
          </cell>
        </row>
        <row r="2477">
          <cell r="C2477" t="str">
            <v>511121197102276930</v>
          </cell>
          <cell r="D2477" t="str">
            <v>男</v>
          </cell>
          <cell r="E2477" t="str">
            <v>汉族</v>
          </cell>
          <cell r="F2477" t="str">
            <v>19710227</v>
          </cell>
          <cell r="G2477">
            <v>50</v>
          </cell>
          <cell r="H2477" t="str">
            <v>四川省仁寿县贵平镇中岗村12组</v>
          </cell>
          <cell r="I2477">
            <v>13529805838</v>
          </cell>
        </row>
        <row r="2478">
          <cell r="C2478" t="str">
            <v>532525197010271720</v>
          </cell>
          <cell r="D2478" t="str">
            <v>女</v>
          </cell>
          <cell r="E2478" t="str">
            <v>汉族</v>
          </cell>
          <cell r="F2478" t="str">
            <v>19701027</v>
          </cell>
          <cell r="G2478">
            <v>51</v>
          </cell>
          <cell r="H2478" t="str">
            <v>四川省仁寿县贵平镇中岗村12组</v>
          </cell>
          <cell r="I2478">
            <v>13648736756</v>
          </cell>
        </row>
        <row r="2479">
          <cell r="C2479" t="str">
            <v>532525200110211711</v>
          </cell>
          <cell r="D2479" t="str">
            <v>男</v>
          </cell>
          <cell r="E2479" t="str">
            <v>汉族</v>
          </cell>
          <cell r="F2479" t="str">
            <v>20011021</v>
          </cell>
          <cell r="G2479">
            <v>20</v>
          </cell>
          <cell r="H2479" t="str">
            <v>四川省仁寿县贵平镇中岗村12组</v>
          </cell>
          <cell r="I2479">
            <v>13529805838</v>
          </cell>
        </row>
        <row r="2480">
          <cell r="C2480" t="str">
            <v>511121197005076953</v>
          </cell>
          <cell r="D2480" t="str">
            <v>男</v>
          </cell>
          <cell r="E2480" t="str">
            <v>汉族</v>
          </cell>
          <cell r="F2480" t="str">
            <v>19700507</v>
          </cell>
          <cell r="G2480">
            <v>51</v>
          </cell>
          <cell r="H2480" t="str">
            <v>四川省仁寿县贵平镇中岗村12组</v>
          </cell>
          <cell r="I2480">
            <v>18096376152</v>
          </cell>
        </row>
        <row r="2481">
          <cell r="C2481" t="str">
            <v>532501197101062827</v>
          </cell>
          <cell r="D2481" t="str">
            <v>女</v>
          </cell>
          <cell r="E2481" t="str">
            <v>汉族</v>
          </cell>
          <cell r="F2481" t="str">
            <v>19710106</v>
          </cell>
          <cell r="G2481">
            <v>50</v>
          </cell>
          <cell r="H2481" t="str">
            <v>四川省仁寿县贵平镇中岗村12组</v>
          </cell>
          <cell r="I2481">
            <v>13649752839</v>
          </cell>
        </row>
        <row r="2482">
          <cell r="C2482" t="str">
            <v>511121193503026942</v>
          </cell>
          <cell r="D2482" t="str">
            <v>女</v>
          </cell>
          <cell r="E2482" t="str">
            <v>汉族</v>
          </cell>
          <cell r="F2482" t="str">
            <v>19350302</v>
          </cell>
          <cell r="G2482">
            <v>86</v>
          </cell>
          <cell r="H2482" t="str">
            <v>四川省仁寿县贵平镇中岗村12组</v>
          </cell>
          <cell r="I2482">
            <v>15244846238</v>
          </cell>
        </row>
        <row r="2483">
          <cell r="C2483" t="str">
            <v>511121194011146934</v>
          </cell>
          <cell r="D2483" t="str">
            <v>男</v>
          </cell>
          <cell r="E2483" t="str">
            <v>汉族</v>
          </cell>
          <cell r="F2483" t="str">
            <v>19401114</v>
          </cell>
          <cell r="G2483">
            <v>81</v>
          </cell>
          <cell r="H2483" t="str">
            <v>四川省仁寿县贵平镇中岗村12组</v>
          </cell>
        </row>
        <row r="2484">
          <cell r="C2484" t="str">
            <v>511121194502146947</v>
          </cell>
          <cell r="D2484" t="str">
            <v>女</v>
          </cell>
          <cell r="E2484" t="str">
            <v>汉族</v>
          </cell>
          <cell r="F2484" t="str">
            <v>19450214</v>
          </cell>
          <cell r="G2484">
            <v>76</v>
          </cell>
          <cell r="H2484" t="str">
            <v>四川省仁寿县贵平镇中岗村12组</v>
          </cell>
          <cell r="I2484">
            <v>17380945801</v>
          </cell>
        </row>
        <row r="2485">
          <cell r="C2485" t="str">
            <v>511121197409116931</v>
          </cell>
          <cell r="D2485" t="str">
            <v>男</v>
          </cell>
          <cell r="E2485" t="str">
            <v>汉族</v>
          </cell>
          <cell r="F2485" t="str">
            <v>19740911</v>
          </cell>
          <cell r="G2485">
            <v>47</v>
          </cell>
          <cell r="H2485" t="str">
            <v>四川省仁寿县贵平镇中岗村12组</v>
          </cell>
          <cell r="I2485">
            <v>18313501020</v>
          </cell>
        </row>
        <row r="2486">
          <cell r="C2486" t="str">
            <v>511121197601106944</v>
          </cell>
          <cell r="D2486" t="str">
            <v>女</v>
          </cell>
          <cell r="E2486" t="str">
            <v>汉族</v>
          </cell>
          <cell r="F2486" t="str">
            <v>19760110</v>
          </cell>
          <cell r="G2486">
            <v>45</v>
          </cell>
          <cell r="H2486" t="str">
            <v>四川省仁寿县贵平镇中岗村12组</v>
          </cell>
          <cell r="I2486">
            <v>15877874052</v>
          </cell>
        </row>
        <row r="2487">
          <cell r="C2487" t="str">
            <v>511421200609076752</v>
          </cell>
          <cell r="D2487" t="str">
            <v>男</v>
          </cell>
          <cell r="E2487" t="str">
            <v>汉族</v>
          </cell>
          <cell r="F2487" t="str">
            <v>20060907</v>
          </cell>
          <cell r="G2487">
            <v>15</v>
          </cell>
          <cell r="H2487" t="str">
            <v>四川省仁寿县贵平镇中岗村12组</v>
          </cell>
        </row>
        <row r="2488">
          <cell r="C2488" t="str">
            <v>513822199609256934</v>
          </cell>
          <cell r="D2488" t="str">
            <v>男</v>
          </cell>
          <cell r="E2488" t="str">
            <v>汉族</v>
          </cell>
          <cell r="F2488" t="str">
            <v>19960925</v>
          </cell>
          <cell r="G2488">
            <v>25</v>
          </cell>
          <cell r="H2488" t="str">
            <v>四川省仁寿县贵平镇中岗村12组</v>
          </cell>
          <cell r="I2488">
            <v>18388591150</v>
          </cell>
        </row>
        <row r="2489">
          <cell r="C2489" t="str">
            <v>511421201904050146</v>
          </cell>
          <cell r="D2489" t="str">
            <v>女</v>
          </cell>
          <cell r="E2489" t="str">
            <v>汉族</v>
          </cell>
          <cell r="F2489" t="str">
            <v>20190405</v>
          </cell>
          <cell r="G2489">
            <v>2</v>
          </cell>
          <cell r="H2489" t="str">
            <v>四川省仁寿县贵平镇中岗村12组</v>
          </cell>
        </row>
        <row r="2490">
          <cell r="C2490" t="str">
            <v>51112119761110693X</v>
          </cell>
          <cell r="D2490" t="str">
            <v>男</v>
          </cell>
          <cell r="E2490" t="str">
            <v>汉族</v>
          </cell>
          <cell r="F2490" t="str">
            <v>19761110</v>
          </cell>
          <cell r="G2490">
            <v>45</v>
          </cell>
          <cell r="H2490" t="str">
            <v>四川省仁寿县贵平镇中岗村12组</v>
          </cell>
          <cell r="I2490">
            <v>17381139892</v>
          </cell>
        </row>
        <row r="2491">
          <cell r="C2491" t="str">
            <v>511121198102014820</v>
          </cell>
          <cell r="D2491" t="str">
            <v>女</v>
          </cell>
          <cell r="E2491" t="str">
            <v>汉族</v>
          </cell>
          <cell r="F2491" t="str">
            <v>19810201</v>
          </cell>
          <cell r="G2491">
            <v>40</v>
          </cell>
          <cell r="H2491" t="str">
            <v>四川省仁寿县贵平镇中岗村12组</v>
          </cell>
          <cell r="I2491">
            <v>17381138965</v>
          </cell>
        </row>
        <row r="2492">
          <cell r="C2492" t="str">
            <v>513822200311304820</v>
          </cell>
          <cell r="D2492" t="str">
            <v>女</v>
          </cell>
          <cell r="E2492" t="str">
            <v>汉族</v>
          </cell>
          <cell r="F2492" t="str">
            <v>20031130</v>
          </cell>
          <cell r="G2492">
            <v>18</v>
          </cell>
          <cell r="H2492" t="str">
            <v>四川省仁寿县贵平镇中岗村12组</v>
          </cell>
          <cell r="I2492">
            <v>17381540192</v>
          </cell>
        </row>
        <row r="2493">
          <cell r="C2493" t="str">
            <v>511121194512226940</v>
          </cell>
          <cell r="D2493" t="str">
            <v>女</v>
          </cell>
          <cell r="E2493" t="str">
            <v>汉族</v>
          </cell>
          <cell r="F2493" t="str">
            <v>19451222</v>
          </cell>
          <cell r="G2493">
            <v>76</v>
          </cell>
          <cell r="H2493" t="str">
            <v>四川省仁寿县贵平镇中岗村12组</v>
          </cell>
          <cell r="I2493">
            <v>18089503094</v>
          </cell>
        </row>
        <row r="2494">
          <cell r="C2494" t="str">
            <v>511121194909196938</v>
          </cell>
          <cell r="D2494" t="str">
            <v>男</v>
          </cell>
          <cell r="E2494" t="str">
            <v>汉族</v>
          </cell>
          <cell r="F2494" t="str">
            <v>19490919</v>
          </cell>
          <cell r="G2494">
            <v>72</v>
          </cell>
          <cell r="H2494" t="str">
            <v>四川省仁寿县贵平镇中岗中心街500号</v>
          </cell>
          <cell r="I2494">
            <v>36850388</v>
          </cell>
        </row>
        <row r="2495">
          <cell r="C2495" t="str">
            <v>511121197107216937</v>
          </cell>
          <cell r="D2495" t="str">
            <v>男</v>
          </cell>
          <cell r="E2495" t="str">
            <v>汉族</v>
          </cell>
          <cell r="F2495" t="str">
            <v>19710721</v>
          </cell>
          <cell r="G2495">
            <v>50</v>
          </cell>
          <cell r="H2495" t="str">
            <v>四川省仁寿县贵平镇中岗村12组</v>
          </cell>
          <cell r="I2495">
            <v>18080386511</v>
          </cell>
        </row>
        <row r="2496">
          <cell r="C2496" t="str">
            <v>51112119701015694X</v>
          </cell>
          <cell r="D2496" t="str">
            <v>女</v>
          </cell>
          <cell r="E2496" t="str">
            <v>汉族</v>
          </cell>
          <cell r="F2496" t="str">
            <v>19701015</v>
          </cell>
          <cell r="G2496">
            <v>51</v>
          </cell>
          <cell r="H2496" t="str">
            <v>四川省仁寿县贵平镇中岗村12组</v>
          </cell>
          <cell r="I2496">
            <v>18121848732</v>
          </cell>
        </row>
        <row r="2497">
          <cell r="C2497" t="str">
            <v>513822199302046967</v>
          </cell>
          <cell r="D2497" t="str">
            <v>女</v>
          </cell>
          <cell r="E2497" t="str">
            <v>汉族</v>
          </cell>
          <cell r="F2497" t="str">
            <v>19930204</v>
          </cell>
          <cell r="G2497">
            <v>28</v>
          </cell>
          <cell r="H2497" t="str">
            <v>四川省仁寿县贵平镇中岗村12组</v>
          </cell>
          <cell r="I2497">
            <v>18919917372</v>
          </cell>
        </row>
        <row r="2498">
          <cell r="C2498" t="str">
            <v>513822199412026940</v>
          </cell>
          <cell r="D2498" t="str">
            <v>女</v>
          </cell>
          <cell r="E2498" t="str">
            <v>汉族</v>
          </cell>
          <cell r="F2498" t="str">
            <v>19941202</v>
          </cell>
          <cell r="G2498">
            <v>27</v>
          </cell>
          <cell r="H2498" t="str">
            <v>四川省仁寿县贵平镇中岗村12组</v>
          </cell>
          <cell r="I2498">
            <v>15182233417</v>
          </cell>
        </row>
        <row r="2499">
          <cell r="C2499" t="str">
            <v>511421201907060067</v>
          </cell>
          <cell r="D2499" t="str">
            <v>女</v>
          </cell>
          <cell r="E2499" t="str">
            <v>汉族</v>
          </cell>
          <cell r="F2499" t="str">
            <v>20190706</v>
          </cell>
          <cell r="G2499">
            <v>2</v>
          </cell>
          <cell r="H2499" t="str">
            <v>四川省仁寿县贵平镇中岗村12组</v>
          </cell>
        </row>
        <row r="2500">
          <cell r="C2500" t="str">
            <v>511121196501076931</v>
          </cell>
          <cell r="D2500" t="str">
            <v>男</v>
          </cell>
          <cell r="E2500" t="str">
            <v>汉族</v>
          </cell>
          <cell r="F2500" t="str">
            <v>19650107</v>
          </cell>
          <cell r="G2500">
            <v>56</v>
          </cell>
          <cell r="H2500" t="str">
            <v>四川省仁寿县贵平镇中岗村12组</v>
          </cell>
          <cell r="I2500">
            <v>17380943187</v>
          </cell>
        </row>
        <row r="2501">
          <cell r="C2501" t="str">
            <v>51112119660604694X</v>
          </cell>
          <cell r="D2501" t="str">
            <v>女</v>
          </cell>
          <cell r="E2501" t="str">
            <v>汉族</v>
          </cell>
          <cell r="F2501" t="str">
            <v>19660604</v>
          </cell>
          <cell r="G2501">
            <v>55</v>
          </cell>
          <cell r="H2501" t="str">
            <v>四川省仁寿县贵平镇中岗村12组</v>
          </cell>
          <cell r="I2501">
            <v>17380943187</v>
          </cell>
        </row>
        <row r="2502">
          <cell r="C2502" t="str">
            <v>513822198511026933</v>
          </cell>
          <cell r="D2502" t="str">
            <v>男</v>
          </cell>
          <cell r="E2502" t="str">
            <v>汉族</v>
          </cell>
          <cell r="F2502" t="str">
            <v>19851102</v>
          </cell>
          <cell r="G2502">
            <v>36</v>
          </cell>
          <cell r="H2502" t="str">
            <v>四川省仁寿县贵平镇中岗村12组</v>
          </cell>
          <cell r="I2502">
            <v>15888251402</v>
          </cell>
        </row>
        <row r="2503">
          <cell r="C2503" t="str">
            <v>511421200705276738</v>
          </cell>
          <cell r="D2503" t="str">
            <v>男</v>
          </cell>
          <cell r="E2503" t="str">
            <v>汉族</v>
          </cell>
          <cell r="F2503" t="str">
            <v>20070527</v>
          </cell>
          <cell r="G2503">
            <v>14</v>
          </cell>
          <cell r="H2503" t="str">
            <v>四川省仁寿县贵平镇中岗村12组</v>
          </cell>
        </row>
        <row r="2504">
          <cell r="C2504" t="str">
            <v>511421201507296863</v>
          </cell>
          <cell r="D2504" t="str">
            <v>女</v>
          </cell>
          <cell r="E2504" t="str">
            <v>汉族</v>
          </cell>
          <cell r="F2504" t="str">
            <v>20150729</v>
          </cell>
          <cell r="G2504">
            <v>6</v>
          </cell>
          <cell r="H2504" t="str">
            <v>四川省仁寿县贵平镇中岗村12组</v>
          </cell>
        </row>
        <row r="2505">
          <cell r="C2505" t="str">
            <v>512927197009244320</v>
          </cell>
          <cell r="D2505" t="str">
            <v>女</v>
          </cell>
          <cell r="E2505" t="str">
            <v>汉族</v>
          </cell>
          <cell r="F2505" t="str">
            <v>19700924</v>
          </cell>
          <cell r="G2505">
            <v>51</v>
          </cell>
          <cell r="H2505" t="str">
            <v>四川省仁寿县贵平镇中岗村12组</v>
          </cell>
          <cell r="I2505">
            <v>18980636118</v>
          </cell>
        </row>
        <row r="2506">
          <cell r="C2506" t="str">
            <v>511121197312156937</v>
          </cell>
          <cell r="D2506" t="str">
            <v>男</v>
          </cell>
          <cell r="E2506" t="str">
            <v>汉族</v>
          </cell>
          <cell r="F2506" t="str">
            <v>19731215</v>
          </cell>
          <cell r="G2506">
            <v>48</v>
          </cell>
          <cell r="H2506" t="str">
            <v>四川省仁寿县贵平镇中岗村12组</v>
          </cell>
          <cell r="I2506">
            <v>18982238658</v>
          </cell>
        </row>
        <row r="2507">
          <cell r="C2507" t="str">
            <v>510902197912106187</v>
          </cell>
          <cell r="D2507" t="str">
            <v>女</v>
          </cell>
          <cell r="E2507" t="str">
            <v>汉族</v>
          </cell>
          <cell r="F2507" t="str">
            <v>19791210</v>
          </cell>
          <cell r="G2507">
            <v>42</v>
          </cell>
          <cell r="H2507" t="str">
            <v>四川省仁寿县贵平镇中岗村12组</v>
          </cell>
          <cell r="I2507">
            <v>18980935868</v>
          </cell>
        </row>
        <row r="2508">
          <cell r="C2508" t="str">
            <v>510904201503036546</v>
          </cell>
          <cell r="D2508" t="str">
            <v>女</v>
          </cell>
          <cell r="E2508" t="str">
            <v>汉族</v>
          </cell>
          <cell r="F2508" t="str">
            <v>20150303</v>
          </cell>
          <cell r="G2508">
            <v>6</v>
          </cell>
          <cell r="H2508" t="str">
            <v>四川省仁寿县贵平镇中岗村12组</v>
          </cell>
        </row>
        <row r="2509">
          <cell r="C2509" t="str">
            <v>51112119420110695X</v>
          </cell>
          <cell r="D2509" t="str">
            <v>男</v>
          </cell>
          <cell r="E2509" t="str">
            <v>汉族</v>
          </cell>
          <cell r="F2509" t="str">
            <v>19420110</v>
          </cell>
          <cell r="G2509">
            <v>79</v>
          </cell>
          <cell r="H2509" t="str">
            <v>四川省仁寿县贵平镇中岗村12组</v>
          </cell>
          <cell r="I2509">
            <v>14780117178</v>
          </cell>
        </row>
        <row r="2510">
          <cell r="C2510" t="str">
            <v>511121194609116967</v>
          </cell>
          <cell r="D2510" t="str">
            <v>女</v>
          </cell>
          <cell r="E2510" t="str">
            <v>汉族</v>
          </cell>
          <cell r="F2510" t="str">
            <v>19460911</v>
          </cell>
          <cell r="G2510">
            <v>75</v>
          </cell>
          <cell r="H2510" t="str">
            <v>四川省仁寿县贵平镇中岗村12组</v>
          </cell>
          <cell r="I2510">
            <v>18123309918</v>
          </cell>
        </row>
        <row r="2511">
          <cell r="C2511" t="str">
            <v>511121196709076957</v>
          </cell>
          <cell r="D2511" t="str">
            <v>男</v>
          </cell>
          <cell r="E2511" t="str">
            <v>汉族</v>
          </cell>
          <cell r="F2511" t="str">
            <v>19670907</v>
          </cell>
          <cell r="G2511">
            <v>54</v>
          </cell>
          <cell r="H2511" t="str">
            <v>四川省仁寿县贵平镇中岗村12组</v>
          </cell>
          <cell r="I2511">
            <v>13568801628</v>
          </cell>
        </row>
        <row r="2512">
          <cell r="C2512" t="str">
            <v>511121196712206943</v>
          </cell>
          <cell r="D2512" t="str">
            <v>女</v>
          </cell>
          <cell r="E2512" t="str">
            <v>汉族</v>
          </cell>
          <cell r="F2512" t="str">
            <v>19671220</v>
          </cell>
          <cell r="G2512">
            <v>54</v>
          </cell>
          <cell r="H2512" t="str">
            <v>四川省仁寿县贵平镇中岗村12组</v>
          </cell>
          <cell r="I2512">
            <v>1368347688</v>
          </cell>
        </row>
        <row r="2513">
          <cell r="C2513" t="str">
            <v>511121196909176952</v>
          </cell>
          <cell r="D2513" t="str">
            <v>男</v>
          </cell>
          <cell r="E2513" t="str">
            <v>汉族</v>
          </cell>
          <cell r="F2513" t="str">
            <v>19690917</v>
          </cell>
          <cell r="G2513">
            <v>52</v>
          </cell>
          <cell r="H2513" t="str">
            <v>四川省仁寿县贵平镇中岗村12组</v>
          </cell>
          <cell r="I2513">
            <v>18728378823</v>
          </cell>
        </row>
        <row r="2514">
          <cell r="C2514" t="str">
            <v>511121197111036947</v>
          </cell>
          <cell r="D2514" t="str">
            <v>女</v>
          </cell>
          <cell r="E2514" t="str">
            <v>汉族</v>
          </cell>
          <cell r="F2514" t="str">
            <v>19711103</v>
          </cell>
          <cell r="G2514">
            <v>50</v>
          </cell>
          <cell r="H2514" t="str">
            <v>四川省仁寿县贵平镇中岗村12组</v>
          </cell>
          <cell r="I2514">
            <v>13882144840</v>
          </cell>
        </row>
        <row r="2515">
          <cell r="C2515" t="str">
            <v>513822199602106933</v>
          </cell>
          <cell r="D2515" t="str">
            <v>男</v>
          </cell>
          <cell r="E2515" t="str">
            <v>汉族</v>
          </cell>
          <cell r="F2515" t="str">
            <v>19960210</v>
          </cell>
          <cell r="G2515">
            <v>25</v>
          </cell>
          <cell r="H2515" t="str">
            <v>四川省仁寿县贵平镇中岗村12组</v>
          </cell>
          <cell r="I2515">
            <v>18581830660</v>
          </cell>
        </row>
        <row r="2516">
          <cell r="C2516" t="str">
            <v>511421200709266799</v>
          </cell>
          <cell r="D2516" t="str">
            <v>男</v>
          </cell>
          <cell r="E2516" t="str">
            <v>汉族</v>
          </cell>
          <cell r="F2516" t="str">
            <v>20070926</v>
          </cell>
          <cell r="G2516">
            <v>14</v>
          </cell>
          <cell r="H2516" t="str">
            <v>四川省仁寿县贵平镇中岗村12组</v>
          </cell>
        </row>
        <row r="2517">
          <cell r="C2517" t="str">
            <v>511121195307086939</v>
          </cell>
          <cell r="D2517" t="str">
            <v>男</v>
          </cell>
          <cell r="E2517" t="str">
            <v>汉族</v>
          </cell>
          <cell r="F2517" t="str">
            <v>19530708</v>
          </cell>
          <cell r="G2517">
            <v>68</v>
          </cell>
          <cell r="H2517" t="str">
            <v>四川省仁寿县贵平镇中岗村12组</v>
          </cell>
        </row>
        <row r="2518">
          <cell r="C2518" t="str">
            <v>511121195308156943</v>
          </cell>
          <cell r="D2518" t="str">
            <v>女</v>
          </cell>
          <cell r="E2518" t="str">
            <v>汉族</v>
          </cell>
          <cell r="F2518" t="str">
            <v>19530815</v>
          </cell>
          <cell r="G2518">
            <v>68</v>
          </cell>
          <cell r="H2518" t="str">
            <v>四川省仁寿县贵平镇中岗村12组</v>
          </cell>
          <cell r="I2518">
            <v>14780159355</v>
          </cell>
        </row>
        <row r="2519">
          <cell r="C2519" t="str">
            <v>511121197305086934</v>
          </cell>
          <cell r="D2519" t="str">
            <v>男</v>
          </cell>
          <cell r="E2519" t="str">
            <v>汉族</v>
          </cell>
          <cell r="F2519" t="str">
            <v>19730508</v>
          </cell>
          <cell r="G2519">
            <v>48</v>
          </cell>
          <cell r="H2519" t="str">
            <v>四川省仁寿县贵平镇中岗村12组</v>
          </cell>
          <cell r="I2519">
            <v>13882197732</v>
          </cell>
        </row>
        <row r="2520">
          <cell r="C2520" t="str">
            <v>510723197111023729</v>
          </cell>
          <cell r="D2520" t="str">
            <v>女</v>
          </cell>
          <cell r="E2520" t="str">
            <v>汉族</v>
          </cell>
          <cell r="F2520" t="str">
            <v>19711102</v>
          </cell>
          <cell r="G2520">
            <v>50</v>
          </cell>
          <cell r="H2520" t="str">
            <v>四川省仁寿县贵平镇中岗村12组</v>
          </cell>
        </row>
        <row r="2521">
          <cell r="C2521" t="str">
            <v>511421200012136740</v>
          </cell>
          <cell r="D2521" t="str">
            <v>女</v>
          </cell>
          <cell r="E2521" t="str">
            <v>汉族</v>
          </cell>
          <cell r="F2521" t="str">
            <v>20001213</v>
          </cell>
          <cell r="G2521">
            <v>21</v>
          </cell>
          <cell r="H2521" t="str">
            <v>四川省仁寿县贵平镇中岗村12组</v>
          </cell>
          <cell r="I2521">
            <v>15928873194</v>
          </cell>
        </row>
        <row r="2522">
          <cell r="C2522" t="str">
            <v>511121197605306935</v>
          </cell>
          <cell r="D2522" t="str">
            <v>男</v>
          </cell>
          <cell r="E2522" t="str">
            <v>汉族</v>
          </cell>
          <cell r="F2522" t="str">
            <v>19760530</v>
          </cell>
          <cell r="G2522">
            <v>45</v>
          </cell>
          <cell r="H2522" t="str">
            <v>四川省仁寿县贵平镇中岗村12组</v>
          </cell>
        </row>
        <row r="2523">
          <cell r="C2523" t="str">
            <v>511121196310036945</v>
          </cell>
          <cell r="D2523" t="str">
            <v>女</v>
          </cell>
          <cell r="E2523" t="str">
            <v>汉族</v>
          </cell>
          <cell r="F2523" t="str">
            <v>19631003</v>
          </cell>
          <cell r="G2523">
            <v>58</v>
          </cell>
          <cell r="H2523" t="str">
            <v>四川省仁寿县贵平镇中岗村12组</v>
          </cell>
          <cell r="I2523">
            <v>13880829580</v>
          </cell>
        </row>
        <row r="2524">
          <cell r="C2524" t="str">
            <v>513822198510196930</v>
          </cell>
          <cell r="D2524" t="str">
            <v>男</v>
          </cell>
          <cell r="E2524" t="str">
            <v>汉族</v>
          </cell>
          <cell r="F2524" t="str">
            <v>19851019</v>
          </cell>
          <cell r="G2524">
            <v>36</v>
          </cell>
          <cell r="H2524" t="str">
            <v>四川省仁寿县贵平镇中岗村12组</v>
          </cell>
          <cell r="I2524">
            <v>13408083494</v>
          </cell>
        </row>
        <row r="2525">
          <cell r="C2525" t="str">
            <v>511421201207167103</v>
          </cell>
          <cell r="D2525" t="str">
            <v>女</v>
          </cell>
          <cell r="E2525" t="str">
            <v>汉族</v>
          </cell>
          <cell r="F2525" t="str">
            <v>20120716</v>
          </cell>
          <cell r="G2525">
            <v>9</v>
          </cell>
          <cell r="H2525" t="str">
            <v>四川省仁寿县贵平镇中岗村12组</v>
          </cell>
        </row>
        <row r="2526">
          <cell r="C2526" t="str">
            <v>513822198911246951</v>
          </cell>
          <cell r="D2526" t="str">
            <v>男</v>
          </cell>
          <cell r="E2526" t="str">
            <v>汉族</v>
          </cell>
          <cell r="F2526" t="str">
            <v>19891124</v>
          </cell>
          <cell r="G2526">
            <v>32</v>
          </cell>
          <cell r="H2526" t="str">
            <v>四川省仁寿县贵平镇中岗村12组</v>
          </cell>
          <cell r="I2526">
            <v>13679019131</v>
          </cell>
        </row>
        <row r="2527">
          <cell r="C2527" t="str">
            <v>51112119380705693X</v>
          </cell>
          <cell r="D2527" t="str">
            <v>男</v>
          </cell>
          <cell r="E2527" t="str">
            <v>汉族</v>
          </cell>
          <cell r="F2527" t="str">
            <v>19380705</v>
          </cell>
          <cell r="G2527">
            <v>83</v>
          </cell>
          <cell r="H2527" t="str">
            <v>四川省仁寿县贵平镇中岗村12组</v>
          </cell>
          <cell r="I2527">
            <v>13678212620</v>
          </cell>
        </row>
        <row r="2528">
          <cell r="C2528" t="str">
            <v>511121193701096941</v>
          </cell>
          <cell r="D2528" t="str">
            <v>女</v>
          </cell>
          <cell r="E2528" t="str">
            <v>汉族</v>
          </cell>
          <cell r="F2528" t="str">
            <v>19370109</v>
          </cell>
          <cell r="G2528">
            <v>84</v>
          </cell>
          <cell r="H2528" t="str">
            <v>四川省仁寿县贵平镇中岗村12组</v>
          </cell>
        </row>
        <row r="2529">
          <cell r="C2529" t="str">
            <v>511121192409236930</v>
          </cell>
          <cell r="D2529" t="str">
            <v>男</v>
          </cell>
          <cell r="E2529" t="str">
            <v>汉族</v>
          </cell>
          <cell r="F2529" t="str">
            <v>19240923</v>
          </cell>
          <cell r="G2529">
            <v>97</v>
          </cell>
          <cell r="H2529" t="str">
            <v>四川省仁寿县贵平镇中岗村12组</v>
          </cell>
        </row>
        <row r="2530">
          <cell r="C2530" t="str">
            <v>511121197201236942</v>
          </cell>
          <cell r="D2530" t="str">
            <v>女</v>
          </cell>
          <cell r="E2530" t="str">
            <v>汉族</v>
          </cell>
          <cell r="F2530" t="str">
            <v>19720123</v>
          </cell>
          <cell r="G2530">
            <v>49</v>
          </cell>
          <cell r="H2530" t="str">
            <v>四川省仁寿县贵平镇中岗村12组</v>
          </cell>
        </row>
        <row r="2531">
          <cell r="C2531" t="str">
            <v>513822199802246949</v>
          </cell>
          <cell r="D2531" t="str">
            <v>女</v>
          </cell>
          <cell r="E2531" t="str">
            <v>汉族</v>
          </cell>
          <cell r="F2531" t="str">
            <v>19980224</v>
          </cell>
          <cell r="G2531">
            <v>23</v>
          </cell>
          <cell r="H2531" t="str">
            <v>四川省仁寿县贵平镇中岗村12组</v>
          </cell>
          <cell r="I2531">
            <v>13982236697</v>
          </cell>
        </row>
        <row r="2532">
          <cell r="C2532" t="str">
            <v>511121197502066940</v>
          </cell>
          <cell r="D2532" t="str">
            <v>女</v>
          </cell>
          <cell r="E2532" t="str">
            <v>汉族</v>
          </cell>
          <cell r="F2532" t="str">
            <v>19750206</v>
          </cell>
          <cell r="G2532">
            <v>46</v>
          </cell>
          <cell r="H2532" t="str">
            <v>四川省仁寿县贵平镇中岗村12组</v>
          </cell>
        </row>
        <row r="2533">
          <cell r="C2533" t="str">
            <v>511121197609106973</v>
          </cell>
          <cell r="D2533" t="str">
            <v>男</v>
          </cell>
          <cell r="E2533" t="str">
            <v>汉族</v>
          </cell>
          <cell r="F2533" t="str">
            <v>19760910</v>
          </cell>
          <cell r="G2533">
            <v>45</v>
          </cell>
          <cell r="H2533" t="str">
            <v>四川省仁寿县贵平镇中岗村12组</v>
          </cell>
          <cell r="I2533">
            <v>13540487537</v>
          </cell>
        </row>
        <row r="2534">
          <cell r="C2534" t="str">
            <v>513822200001086696</v>
          </cell>
          <cell r="D2534" t="str">
            <v>男</v>
          </cell>
          <cell r="E2534" t="str">
            <v>汉族</v>
          </cell>
          <cell r="F2534" t="str">
            <v>20000108</v>
          </cell>
          <cell r="G2534">
            <v>21</v>
          </cell>
          <cell r="H2534" t="str">
            <v>四川省仁寿县贵平镇中岗村12组</v>
          </cell>
          <cell r="I2534">
            <v>15583982130</v>
          </cell>
        </row>
        <row r="2535">
          <cell r="C2535" t="str">
            <v>513822198609206932</v>
          </cell>
          <cell r="D2535" t="str">
            <v>男</v>
          </cell>
          <cell r="E2535" t="str">
            <v>汉族</v>
          </cell>
          <cell r="F2535" t="str">
            <v>19860920</v>
          </cell>
          <cell r="G2535">
            <v>35</v>
          </cell>
          <cell r="H2535" t="str">
            <v>四川省仁寿县贵平镇中岗村12组</v>
          </cell>
          <cell r="I2535">
            <v>18728314866</v>
          </cell>
        </row>
        <row r="2536">
          <cell r="C2536" t="str">
            <v>511421201011126940</v>
          </cell>
          <cell r="D2536" t="str">
            <v>女</v>
          </cell>
          <cell r="E2536" t="str">
            <v>汉族</v>
          </cell>
          <cell r="F2536" t="str">
            <v>20101112</v>
          </cell>
          <cell r="G2536">
            <v>11</v>
          </cell>
          <cell r="H2536" t="str">
            <v>四川省仁寿县贵平镇中岗村12组</v>
          </cell>
        </row>
        <row r="2537">
          <cell r="C2537" t="str">
            <v>511421201211236861</v>
          </cell>
          <cell r="D2537" t="str">
            <v>女</v>
          </cell>
          <cell r="E2537" t="str">
            <v>汉族</v>
          </cell>
          <cell r="F2537" t="str">
            <v>20121123</v>
          </cell>
          <cell r="G2537">
            <v>9</v>
          </cell>
          <cell r="H2537" t="str">
            <v>四川省仁寿县贵平镇中岗村12组</v>
          </cell>
        </row>
        <row r="2538">
          <cell r="C2538" t="str">
            <v>513822198807176930</v>
          </cell>
          <cell r="D2538" t="str">
            <v>男</v>
          </cell>
          <cell r="E2538" t="str">
            <v>汉族</v>
          </cell>
          <cell r="F2538" t="str">
            <v>19880717</v>
          </cell>
          <cell r="G2538">
            <v>33</v>
          </cell>
          <cell r="H2538" t="str">
            <v>四川省仁寿县贵平镇中岗村12组</v>
          </cell>
          <cell r="I2538">
            <v>15982201503</v>
          </cell>
        </row>
        <row r="2539">
          <cell r="C2539" t="str">
            <v>511421201704220067</v>
          </cell>
          <cell r="D2539" t="str">
            <v>女</v>
          </cell>
          <cell r="E2539" t="str">
            <v>汉族</v>
          </cell>
          <cell r="F2539" t="str">
            <v>20170422</v>
          </cell>
          <cell r="G2539">
            <v>4</v>
          </cell>
          <cell r="H2539" t="str">
            <v>四川省仁寿县贵平镇中岗村12组</v>
          </cell>
        </row>
        <row r="2540">
          <cell r="C2540" t="str">
            <v>511027197504018814</v>
          </cell>
          <cell r="D2540" t="str">
            <v>男</v>
          </cell>
          <cell r="E2540" t="str">
            <v>汉族</v>
          </cell>
          <cell r="F2540" t="str">
            <v>19750401</v>
          </cell>
          <cell r="G2540">
            <v>46</v>
          </cell>
          <cell r="H2540" t="str">
            <v>四川省仁寿县贵平镇中岗村12组</v>
          </cell>
          <cell r="I2540">
            <v>18628949188</v>
          </cell>
        </row>
        <row r="2541">
          <cell r="C2541" t="str">
            <v>513902199707118826</v>
          </cell>
          <cell r="D2541" t="str">
            <v>女</v>
          </cell>
          <cell r="E2541" t="str">
            <v>汉族</v>
          </cell>
          <cell r="F2541" t="str">
            <v>19970711</v>
          </cell>
          <cell r="G2541">
            <v>24</v>
          </cell>
          <cell r="H2541" t="str">
            <v>四川省仁寿县贵平镇中岗村12组</v>
          </cell>
          <cell r="I2541">
            <v>13541225712</v>
          </cell>
        </row>
        <row r="2542">
          <cell r="C2542" t="str">
            <v>511121198006296936</v>
          </cell>
          <cell r="D2542" t="str">
            <v>男</v>
          </cell>
          <cell r="E2542" t="str">
            <v>汉族</v>
          </cell>
          <cell r="F2542" t="str">
            <v>19800629</v>
          </cell>
          <cell r="G2542">
            <v>41</v>
          </cell>
          <cell r="H2542" t="str">
            <v>四川省仁寿县贵平镇中岗村12组</v>
          </cell>
          <cell r="I2542">
            <v>15884520831</v>
          </cell>
        </row>
        <row r="2543">
          <cell r="C2543" t="str">
            <v>511421200910156807</v>
          </cell>
          <cell r="D2543" t="str">
            <v>女</v>
          </cell>
          <cell r="E2543" t="str">
            <v>汉族</v>
          </cell>
          <cell r="F2543" t="str">
            <v>20091015</v>
          </cell>
          <cell r="G2543">
            <v>12</v>
          </cell>
          <cell r="H2543" t="str">
            <v>四川省仁寿县贵平镇中岗村12组</v>
          </cell>
        </row>
        <row r="2544">
          <cell r="C2544" t="str">
            <v>511421201701070016</v>
          </cell>
          <cell r="D2544" t="str">
            <v>男</v>
          </cell>
          <cell r="E2544" t="str">
            <v>汉族</v>
          </cell>
          <cell r="F2544" t="str">
            <v>20170107</v>
          </cell>
          <cell r="G2544">
            <v>4</v>
          </cell>
          <cell r="H2544" t="str">
            <v>四川省仁寿县贵平镇中岗村12组</v>
          </cell>
        </row>
        <row r="2545">
          <cell r="C2545" t="str">
            <v>511121194402146931</v>
          </cell>
          <cell r="D2545" t="str">
            <v>男</v>
          </cell>
          <cell r="E2545" t="str">
            <v>汉族</v>
          </cell>
          <cell r="F2545" t="str">
            <v>19440214</v>
          </cell>
          <cell r="G2545">
            <v>77</v>
          </cell>
          <cell r="H2545" t="str">
            <v>四川省仁寿县贵平镇中岗村12组</v>
          </cell>
          <cell r="I2545">
            <v>13683450441</v>
          </cell>
        </row>
        <row r="2546">
          <cell r="C2546" t="str">
            <v>511121194409056947</v>
          </cell>
          <cell r="D2546" t="str">
            <v>女</v>
          </cell>
          <cell r="E2546" t="str">
            <v>汉族</v>
          </cell>
          <cell r="F2546" t="str">
            <v>19440905</v>
          </cell>
          <cell r="G2546">
            <v>77</v>
          </cell>
          <cell r="H2546" t="str">
            <v>四川省仁寿县贵平镇中岗村12组</v>
          </cell>
          <cell r="I2546">
            <v>13683450441</v>
          </cell>
        </row>
        <row r="2547">
          <cell r="C2547" t="str">
            <v>511121197110086977</v>
          </cell>
          <cell r="D2547" t="str">
            <v>男</v>
          </cell>
          <cell r="E2547" t="str">
            <v>汉族</v>
          </cell>
          <cell r="F2547" t="str">
            <v>19711008</v>
          </cell>
          <cell r="G2547">
            <v>50</v>
          </cell>
          <cell r="H2547" t="str">
            <v>四川省仁寿县贵平镇中岗村12组</v>
          </cell>
          <cell r="I2547">
            <v>18208160519</v>
          </cell>
        </row>
        <row r="2548">
          <cell r="C2548" t="str">
            <v>513822199502276943</v>
          </cell>
          <cell r="D2548" t="str">
            <v>女</v>
          </cell>
          <cell r="E2548" t="str">
            <v>汉族</v>
          </cell>
          <cell r="F2548" t="str">
            <v>19950227</v>
          </cell>
          <cell r="G2548">
            <v>26</v>
          </cell>
          <cell r="H2548" t="str">
            <v>四川省仁寿县贵平镇中岗村12组</v>
          </cell>
          <cell r="I2548">
            <v>15775927110</v>
          </cell>
        </row>
        <row r="2549">
          <cell r="C2549" t="str">
            <v>513822199806186947</v>
          </cell>
          <cell r="D2549" t="str">
            <v>女</v>
          </cell>
          <cell r="E2549" t="str">
            <v>汉族</v>
          </cell>
          <cell r="F2549" t="str">
            <v>19980618</v>
          </cell>
          <cell r="G2549">
            <v>23</v>
          </cell>
          <cell r="H2549" t="str">
            <v>四川省仁寿县贵平镇中岗村12组</v>
          </cell>
          <cell r="I2549">
            <v>18349910981</v>
          </cell>
        </row>
        <row r="2550">
          <cell r="C2550" t="str">
            <v>511027197301098826</v>
          </cell>
          <cell r="D2550" t="str">
            <v>女</v>
          </cell>
          <cell r="E2550" t="str">
            <v>汉族</v>
          </cell>
          <cell r="F2550" t="str">
            <v>19730109</v>
          </cell>
          <cell r="G2550">
            <v>48</v>
          </cell>
          <cell r="H2550" t="str">
            <v>四川省仁寿县贵平镇中岗村12组</v>
          </cell>
          <cell r="I2550">
            <v>18380109715</v>
          </cell>
        </row>
        <row r="2551">
          <cell r="C2551" t="str">
            <v>511121196510136959</v>
          </cell>
          <cell r="D2551" t="str">
            <v>男</v>
          </cell>
          <cell r="E2551" t="str">
            <v>汉族</v>
          </cell>
          <cell r="F2551" t="str">
            <v>19651013</v>
          </cell>
          <cell r="G2551">
            <v>56</v>
          </cell>
          <cell r="H2551" t="str">
            <v>四川省仁寿县贵平镇中岗村12组</v>
          </cell>
          <cell r="I2551">
            <v>18782908478</v>
          </cell>
        </row>
        <row r="2552">
          <cell r="C2552" t="str">
            <v>511121196611016948</v>
          </cell>
          <cell r="D2552" t="str">
            <v>女</v>
          </cell>
          <cell r="E2552" t="str">
            <v>汉族</v>
          </cell>
          <cell r="F2552" t="str">
            <v>19661101</v>
          </cell>
          <cell r="G2552">
            <v>55</v>
          </cell>
          <cell r="H2552" t="str">
            <v>四川省仁寿县贵平镇中岗村12组</v>
          </cell>
          <cell r="I2552">
            <v>13540471460</v>
          </cell>
        </row>
        <row r="2553">
          <cell r="C2553" t="str">
            <v>513822199108156943</v>
          </cell>
          <cell r="D2553" t="str">
            <v>女</v>
          </cell>
          <cell r="E2553" t="str">
            <v>汉族</v>
          </cell>
          <cell r="F2553" t="str">
            <v>19910815</v>
          </cell>
          <cell r="G2553">
            <v>30</v>
          </cell>
          <cell r="H2553" t="str">
            <v>四川省仁寿县贵平镇中岗村12组</v>
          </cell>
          <cell r="I2553">
            <v>13488950523</v>
          </cell>
        </row>
        <row r="2554">
          <cell r="C2554" t="str">
            <v>513423199203160726</v>
          </cell>
          <cell r="D2554" t="str">
            <v>女</v>
          </cell>
          <cell r="E2554" t="str">
            <v>汉族</v>
          </cell>
          <cell r="F2554" t="str">
            <v>19920316</v>
          </cell>
          <cell r="G2554">
            <v>29</v>
          </cell>
          <cell r="H2554" t="str">
            <v>四川省仁寿县贵平镇中岗村12组</v>
          </cell>
          <cell r="I2554">
            <v>13540805279</v>
          </cell>
        </row>
        <row r="2555">
          <cell r="C2555" t="str">
            <v>511421201212216993</v>
          </cell>
          <cell r="D2555" t="str">
            <v>男</v>
          </cell>
          <cell r="E2555" t="str">
            <v>汉族</v>
          </cell>
          <cell r="F2555" t="str">
            <v>20121221</v>
          </cell>
          <cell r="G2555">
            <v>9</v>
          </cell>
          <cell r="H2555" t="str">
            <v>四川省仁寿县贵平镇中岗村12组</v>
          </cell>
        </row>
        <row r="2556">
          <cell r="C2556" t="str">
            <v>513822198709286933</v>
          </cell>
          <cell r="D2556" t="str">
            <v>男</v>
          </cell>
          <cell r="E2556" t="str">
            <v>汉族</v>
          </cell>
          <cell r="F2556" t="str">
            <v>19870928</v>
          </cell>
          <cell r="G2556">
            <v>34</v>
          </cell>
          <cell r="H2556" t="str">
            <v>四川省仁寿县贵平镇中岗村12组</v>
          </cell>
          <cell r="I2556">
            <v>18780012497</v>
          </cell>
        </row>
        <row r="2557">
          <cell r="C2557" t="str">
            <v>511121196712286955</v>
          </cell>
          <cell r="D2557" t="str">
            <v>男</v>
          </cell>
          <cell r="E2557" t="str">
            <v>汉族</v>
          </cell>
          <cell r="F2557" t="str">
            <v>19671228</v>
          </cell>
          <cell r="G2557">
            <v>54</v>
          </cell>
          <cell r="H2557" t="str">
            <v>四川省仁寿县贵平镇中岗村12组</v>
          </cell>
          <cell r="I2557">
            <v>13713881361</v>
          </cell>
        </row>
        <row r="2558">
          <cell r="C2558" t="str">
            <v>342130197802020464</v>
          </cell>
          <cell r="D2558" t="str">
            <v>女</v>
          </cell>
          <cell r="E2558" t="str">
            <v>汉族</v>
          </cell>
          <cell r="F2558" t="str">
            <v>19780202</v>
          </cell>
          <cell r="G2558">
            <v>43</v>
          </cell>
          <cell r="H2558" t="str">
            <v>四川省仁寿县贵平镇中岗村12组</v>
          </cell>
          <cell r="I2558">
            <v>13713881361</v>
          </cell>
        </row>
        <row r="2559">
          <cell r="C2559" t="str">
            <v>34162320121002042X</v>
          </cell>
          <cell r="D2559" t="str">
            <v>女</v>
          </cell>
          <cell r="E2559" t="str">
            <v>汉族</v>
          </cell>
          <cell r="F2559" t="str">
            <v>20121002</v>
          </cell>
          <cell r="G2559">
            <v>9</v>
          </cell>
          <cell r="H2559" t="str">
            <v>四川省仁寿县贵平镇中岗村12组</v>
          </cell>
        </row>
        <row r="2560">
          <cell r="C2560" t="str">
            <v>511121193710286931</v>
          </cell>
          <cell r="D2560" t="str">
            <v>男</v>
          </cell>
          <cell r="E2560" t="str">
            <v>汉族</v>
          </cell>
          <cell r="F2560" t="str">
            <v>19371028</v>
          </cell>
          <cell r="G2560">
            <v>84</v>
          </cell>
          <cell r="H2560" t="str">
            <v>四川省仁寿县贵平镇中岗村12组</v>
          </cell>
          <cell r="I2560">
            <v>15244846810</v>
          </cell>
        </row>
        <row r="2561">
          <cell r="C2561" t="str">
            <v>511421200608136784</v>
          </cell>
          <cell r="D2561" t="str">
            <v>女</v>
          </cell>
          <cell r="E2561" t="str">
            <v>汉族</v>
          </cell>
          <cell r="F2561" t="str">
            <v>20060813</v>
          </cell>
          <cell r="G2561">
            <v>15</v>
          </cell>
          <cell r="H2561" t="str">
            <v>四川省仁寿县贵平镇中岗村12组</v>
          </cell>
        </row>
        <row r="2562">
          <cell r="C2562" t="str">
            <v>51112119410402694X</v>
          </cell>
          <cell r="D2562" t="str">
            <v>女</v>
          </cell>
          <cell r="E2562" t="str">
            <v>汉族</v>
          </cell>
          <cell r="F2562" t="str">
            <v>19410402</v>
          </cell>
          <cell r="G2562">
            <v>80</v>
          </cell>
          <cell r="H2562" t="str">
            <v>四川省仁寿县贵平镇中岗村12组</v>
          </cell>
        </row>
        <row r="2563">
          <cell r="C2563" t="str">
            <v>511121197103176931</v>
          </cell>
          <cell r="D2563" t="str">
            <v>男</v>
          </cell>
          <cell r="E2563" t="str">
            <v>汉族</v>
          </cell>
          <cell r="F2563" t="str">
            <v>19710317</v>
          </cell>
          <cell r="G2563">
            <v>50</v>
          </cell>
          <cell r="H2563" t="str">
            <v>四川省仁寿县贵平镇中岗村12组</v>
          </cell>
          <cell r="I2563">
            <v>13550545484</v>
          </cell>
        </row>
        <row r="2564">
          <cell r="C2564" t="str">
            <v>513822199707246940</v>
          </cell>
          <cell r="D2564" t="str">
            <v>女</v>
          </cell>
          <cell r="E2564" t="str">
            <v>汉族</v>
          </cell>
          <cell r="F2564" t="str">
            <v>19970724</v>
          </cell>
          <cell r="G2564">
            <v>24</v>
          </cell>
          <cell r="H2564" t="str">
            <v>四川省仁寿县贵平镇中岗村12组</v>
          </cell>
          <cell r="I2564">
            <v>15388377258</v>
          </cell>
        </row>
        <row r="2565">
          <cell r="C2565" t="str">
            <v>51112119731011694X</v>
          </cell>
          <cell r="D2565" t="str">
            <v>女</v>
          </cell>
          <cell r="E2565" t="str">
            <v>汉族</v>
          </cell>
          <cell r="F2565" t="str">
            <v>19731011</v>
          </cell>
          <cell r="G2565">
            <v>48</v>
          </cell>
          <cell r="H2565" t="str">
            <v>四川省仁寿县贵平镇中岗村12组</v>
          </cell>
          <cell r="I2565">
            <v>13219455013</v>
          </cell>
        </row>
        <row r="2566">
          <cell r="C2566" t="str">
            <v>513822199408126930</v>
          </cell>
          <cell r="D2566" t="str">
            <v>男</v>
          </cell>
          <cell r="E2566" t="str">
            <v>汉族</v>
          </cell>
          <cell r="F2566" t="str">
            <v>19940812</v>
          </cell>
          <cell r="G2566">
            <v>27</v>
          </cell>
          <cell r="H2566" t="str">
            <v>四川省仁寿县贵平镇中岗村12组</v>
          </cell>
          <cell r="I2566">
            <v>18382139266</v>
          </cell>
        </row>
        <row r="2567">
          <cell r="C2567" t="str">
            <v>511421201205266781</v>
          </cell>
          <cell r="D2567" t="str">
            <v>女</v>
          </cell>
          <cell r="E2567" t="str">
            <v>汉族</v>
          </cell>
          <cell r="F2567" t="str">
            <v>20120526</v>
          </cell>
          <cell r="G2567">
            <v>9</v>
          </cell>
          <cell r="H2567" t="str">
            <v>四川省仁寿县贵平镇中岗村12组</v>
          </cell>
        </row>
        <row r="2568">
          <cell r="C2568" t="str">
            <v>511121196302136962</v>
          </cell>
          <cell r="D2568" t="str">
            <v>女</v>
          </cell>
          <cell r="E2568" t="str">
            <v>汉族</v>
          </cell>
          <cell r="F2568" t="str">
            <v>19630213</v>
          </cell>
          <cell r="G2568">
            <v>58</v>
          </cell>
          <cell r="H2568" t="str">
            <v>四川省仁寿县贵平镇中岗村12组</v>
          </cell>
          <cell r="I2568">
            <v>13530789548</v>
          </cell>
        </row>
        <row r="2569">
          <cell r="C2569" t="str">
            <v>513822198803206936</v>
          </cell>
          <cell r="D2569" t="str">
            <v>男</v>
          </cell>
          <cell r="E2569" t="str">
            <v>汉族</v>
          </cell>
          <cell r="F2569" t="str">
            <v>19880320</v>
          </cell>
          <cell r="G2569">
            <v>33</v>
          </cell>
          <cell r="H2569" t="str">
            <v>四川省仁寿县贵平镇中岗村12组</v>
          </cell>
          <cell r="I2569">
            <v>15828355406</v>
          </cell>
        </row>
        <row r="2570">
          <cell r="C2570" t="str">
            <v>511421201707290124</v>
          </cell>
          <cell r="D2570" t="str">
            <v>女</v>
          </cell>
          <cell r="E2570" t="str">
            <v>汉族</v>
          </cell>
          <cell r="F2570" t="str">
            <v>20170729</v>
          </cell>
          <cell r="G2570">
            <v>4</v>
          </cell>
          <cell r="H2570" t="str">
            <v>四川省仁寿县贵平镇中岗村12组</v>
          </cell>
        </row>
        <row r="2571">
          <cell r="C2571" t="str">
            <v>511121196310196957</v>
          </cell>
          <cell r="D2571" t="str">
            <v>男</v>
          </cell>
          <cell r="E2571" t="str">
            <v>汉族</v>
          </cell>
          <cell r="F2571" t="str">
            <v>19631019</v>
          </cell>
          <cell r="G2571">
            <v>58</v>
          </cell>
          <cell r="H2571" t="str">
            <v>四川省仁寿县贵平镇中岗村12组</v>
          </cell>
          <cell r="I2571">
            <v>13530789048</v>
          </cell>
        </row>
        <row r="2572">
          <cell r="C2572" t="str">
            <v>51112119651130693X</v>
          </cell>
          <cell r="D2572" t="str">
            <v>男</v>
          </cell>
          <cell r="E2572" t="str">
            <v>汉族</v>
          </cell>
          <cell r="F2572" t="str">
            <v>19651130</v>
          </cell>
          <cell r="G2572">
            <v>56</v>
          </cell>
          <cell r="H2572" t="str">
            <v>四川省仁寿县贵平镇中岗村12组</v>
          </cell>
          <cell r="I2572">
            <v>18089521836</v>
          </cell>
        </row>
        <row r="2573">
          <cell r="C2573" t="str">
            <v>511121195405206930</v>
          </cell>
          <cell r="D2573" t="str">
            <v>男</v>
          </cell>
          <cell r="E2573" t="str">
            <v>汉族</v>
          </cell>
          <cell r="F2573" t="str">
            <v>19540520</v>
          </cell>
          <cell r="G2573">
            <v>67</v>
          </cell>
          <cell r="H2573" t="str">
            <v>四川省仁寿县贵平镇中岗村12组</v>
          </cell>
          <cell r="I2573">
            <v>13880783361</v>
          </cell>
        </row>
        <row r="2574">
          <cell r="C2574" t="str">
            <v>511421200904096772</v>
          </cell>
          <cell r="D2574" t="str">
            <v>男</v>
          </cell>
          <cell r="E2574" t="str">
            <v>汉族</v>
          </cell>
          <cell r="F2574" t="str">
            <v>20090409</v>
          </cell>
          <cell r="G2574">
            <v>12</v>
          </cell>
          <cell r="H2574" t="str">
            <v>四川省仁寿县贵平镇中岗村12组</v>
          </cell>
        </row>
        <row r="2575">
          <cell r="C2575" t="str">
            <v>511121195404026946</v>
          </cell>
          <cell r="D2575" t="str">
            <v>女</v>
          </cell>
          <cell r="E2575" t="str">
            <v>汉族</v>
          </cell>
          <cell r="F2575" t="str">
            <v>19540402</v>
          </cell>
          <cell r="G2575">
            <v>67</v>
          </cell>
          <cell r="H2575" t="str">
            <v>四川省仁寿县贵平镇中岗村12组</v>
          </cell>
          <cell r="I2575">
            <v>15882002902</v>
          </cell>
        </row>
        <row r="2576">
          <cell r="C2576" t="str">
            <v>511121197908126931</v>
          </cell>
          <cell r="D2576" t="str">
            <v>男</v>
          </cell>
          <cell r="E2576" t="str">
            <v>汉族</v>
          </cell>
          <cell r="F2576" t="str">
            <v>19790812</v>
          </cell>
          <cell r="G2576">
            <v>42</v>
          </cell>
          <cell r="H2576" t="str">
            <v>四川省仁寿县贵平镇中岗村12组</v>
          </cell>
          <cell r="I2576">
            <v>13982052539</v>
          </cell>
        </row>
        <row r="2577">
          <cell r="C2577" t="str">
            <v>511128198001022527</v>
          </cell>
          <cell r="D2577" t="str">
            <v>女</v>
          </cell>
          <cell r="E2577" t="str">
            <v>汉族</v>
          </cell>
          <cell r="F2577" t="str">
            <v>19800102</v>
          </cell>
          <cell r="G2577">
            <v>41</v>
          </cell>
          <cell r="H2577" t="str">
            <v>四川省仁寿县贵平镇中岗村12组</v>
          </cell>
          <cell r="I2577">
            <v>13982052539</v>
          </cell>
        </row>
        <row r="2578">
          <cell r="C2578" t="str">
            <v>511121197704086931</v>
          </cell>
          <cell r="D2578" t="str">
            <v>男</v>
          </cell>
          <cell r="E2578" t="str">
            <v>汉族</v>
          </cell>
          <cell r="F2578" t="str">
            <v>19770408</v>
          </cell>
          <cell r="G2578">
            <v>44</v>
          </cell>
          <cell r="H2578" t="str">
            <v>四川省仁寿县贵平镇中岗村12组</v>
          </cell>
          <cell r="I2578">
            <v>15802808073</v>
          </cell>
        </row>
        <row r="2579">
          <cell r="C2579" t="str">
            <v>34082319870728192X</v>
          </cell>
          <cell r="D2579" t="str">
            <v>女</v>
          </cell>
          <cell r="E2579" t="str">
            <v>汉族</v>
          </cell>
          <cell r="F2579" t="str">
            <v>19870728</v>
          </cell>
          <cell r="G2579">
            <v>34</v>
          </cell>
          <cell r="H2579" t="str">
            <v>四川省仁寿县贵平镇中岗村12组</v>
          </cell>
          <cell r="I2579">
            <v>13547891563</v>
          </cell>
        </row>
        <row r="2580">
          <cell r="C2580" t="str">
            <v>511421200712166748</v>
          </cell>
          <cell r="D2580" t="str">
            <v>女</v>
          </cell>
          <cell r="E2580" t="str">
            <v>汉族</v>
          </cell>
          <cell r="F2580" t="str">
            <v>20071216</v>
          </cell>
          <cell r="G2580">
            <v>14</v>
          </cell>
          <cell r="H2580" t="str">
            <v>四川省仁寿县贵平镇中岗村12组</v>
          </cell>
        </row>
        <row r="2581">
          <cell r="C2581" t="str">
            <v>511421200712166764</v>
          </cell>
          <cell r="D2581" t="str">
            <v>女</v>
          </cell>
          <cell r="E2581" t="str">
            <v>汉族</v>
          </cell>
          <cell r="F2581" t="str">
            <v>20071216</v>
          </cell>
          <cell r="G2581">
            <v>14</v>
          </cell>
          <cell r="H2581" t="str">
            <v>四川省仁寿县贵平镇中岗村12组</v>
          </cell>
        </row>
        <row r="2582">
          <cell r="C2582" t="str">
            <v>511121194711126934</v>
          </cell>
          <cell r="D2582" t="str">
            <v>男</v>
          </cell>
          <cell r="E2582" t="str">
            <v>汉族</v>
          </cell>
          <cell r="F2582" t="str">
            <v>19471112</v>
          </cell>
          <cell r="G2582">
            <v>74</v>
          </cell>
          <cell r="H2582" t="str">
            <v>四川省仁寿县贵平镇中岗村12组</v>
          </cell>
          <cell r="I2582">
            <v>17380945014</v>
          </cell>
        </row>
        <row r="2583">
          <cell r="C2583" t="str">
            <v>511121195006016961</v>
          </cell>
          <cell r="D2583" t="str">
            <v>女</v>
          </cell>
          <cell r="E2583" t="str">
            <v>汉族</v>
          </cell>
          <cell r="F2583" t="str">
            <v>19500601</v>
          </cell>
          <cell r="G2583">
            <v>71</v>
          </cell>
          <cell r="H2583" t="str">
            <v>四川省仁寿县贵平镇中岗村12组</v>
          </cell>
        </row>
        <row r="2584">
          <cell r="C2584" t="str">
            <v>511121197801166933</v>
          </cell>
          <cell r="D2584" t="str">
            <v>男</v>
          </cell>
          <cell r="E2584" t="str">
            <v>汉族</v>
          </cell>
          <cell r="F2584" t="str">
            <v>19780116</v>
          </cell>
          <cell r="G2584">
            <v>43</v>
          </cell>
          <cell r="H2584" t="str">
            <v>四川省仁寿县贵平镇中岗村12组</v>
          </cell>
          <cell r="I2584">
            <v>13060096684</v>
          </cell>
        </row>
        <row r="2585">
          <cell r="C2585" t="str">
            <v>511121197006036937</v>
          </cell>
          <cell r="D2585" t="str">
            <v>男</v>
          </cell>
          <cell r="E2585" t="str">
            <v>汉族</v>
          </cell>
          <cell r="F2585" t="str">
            <v>19700603</v>
          </cell>
          <cell r="G2585">
            <v>51</v>
          </cell>
          <cell r="H2585" t="str">
            <v>四川省仁寿县贵平镇中岗村12组</v>
          </cell>
          <cell r="I2585">
            <v>18980818036</v>
          </cell>
        </row>
        <row r="2586">
          <cell r="C2586" t="str">
            <v>511121197012286940</v>
          </cell>
          <cell r="D2586" t="str">
            <v>女</v>
          </cell>
          <cell r="E2586" t="str">
            <v>汉族</v>
          </cell>
          <cell r="F2586" t="str">
            <v>19701228</v>
          </cell>
          <cell r="G2586">
            <v>51</v>
          </cell>
          <cell r="H2586" t="str">
            <v>四川省仁寿县贵平镇中岗村12组</v>
          </cell>
          <cell r="I2586">
            <v>18200204356</v>
          </cell>
        </row>
        <row r="2587">
          <cell r="C2587" t="str">
            <v>513822199108026946</v>
          </cell>
          <cell r="D2587" t="str">
            <v>女</v>
          </cell>
          <cell r="E2587" t="str">
            <v>汉族</v>
          </cell>
          <cell r="F2587" t="str">
            <v>19910802</v>
          </cell>
          <cell r="G2587">
            <v>30</v>
          </cell>
          <cell r="H2587" t="str">
            <v>四川省仁寿县贵平镇中岗村12组</v>
          </cell>
          <cell r="I2587">
            <v>18980941310</v>
          </cell>
        </row>
        <row r="2588">
          <cell r="C2588" t="str">
            <v>513822199406016949</v>
          </cell>
          <cell r="D2588" t="str">
            <v>女</v>
          </cell>
          <cell r="E2588" t="str">
            <v>汉族</v>
          </cell>
          <cell r="F2588" t="str">
            <v>19940601</v>
          </cell>
          <cell r="G2588">
            <v>27</v>
          </cell>
          <cell r="H2588" t="str">
            <v>四川省仁寿县贵平镇中岗村12组</v>
          </cell>
          <cell r="I2588">
            <v>13518139742</v>
          </cell>
        </row>
        <row r="2589">
          <cell r="C2589" t="str">
            <v>511121194101166947</v>
          </cell>
          <cell r="D2589" t="str">
            <v>女</v>
          </cell>
          <cell r="E2589" t="str">
            <v>汉族</v>
          </cell>
          <cell r="F2589" t="str">
            <v>19410116</v>
          </cell>
          <cell r="G2589">
            <v>80</v>
          </cell>
          <cell r="H2589" t="str">
            <v>四川省仁寿县贵平镇中岗村12组</v>
          </cell>
        </row>
        <row r="2590">
          <cell r="C2590" t="str">
            <v>511121197005166959</v>
          </cell>
          <cell r="D2590" t="str">
            <v>男</v>
          </cell>
          <cell r="E2590" t="str">
            <v>汉族</v>
          </cell>
          <cell r="F2590" t="str">
            <v>19700516</v>
          </cell>
          <cell r="G2590">
            <v>51</v>
          </cell>
          <cell r="H2590" t="str">
            <v>四川省仁寿县贵平镇中岗村12组</v>
          </cell>
          <cell r="I2590">
            <v>13118357707</v>
          </cell>
        </row>
        <row r="2591">
          <cell r="C2591" t="str">
            <v>513822199412136947</v>
          </cell>
          <cell r="D2591" t="str">
            <v>女</v>
          </cell>
          <cell r="E2591" t="str">
            <v>汉族</v>
          </cell>
          <cell r="F2591" t="str">
            <v>19941213</v>
          </cell>
          <cell r="G2591">
            <v>27</v>
          </cell>
          <cell r="H2591" t="str">
            <v>四川省仁寿县贵平镇中岗村12组</v>
          </cell>
          <cell r="I2591">
            <v>18282037087</v>
          </cell>
        </row>
        <row r="2592">
          <cell r="C2592" t="str">
            <v>511121197104156940</v>
          </cell>
          <cell r="D2592" t="str">
            <v>女</v>
          </cell>
          <cell r="E2592" t="str">
            <v>汉族</v>
          </cell>
          <cell r="F2592" t="str">
            <v>19710415</v>
          </cell>
          <cell r="G2592">
            <v>50</v>
          </cell>
          <cell r="H2592" t="str">
            <v>四川省仁寿县贵平镇中岗村12组</v>
          </cell>
          <cell r="I2592">
            <v>13981799483</v>
          </cell>
        </row>
        <row r="2593">
          <cell r="C2593" t="str">
            <v>513822199312286964</v>
          </cell>
          <cell r="D2593" t="str">
            <v>女</v>
          </cell>
          <cell r="E2593" t="str">
            <v>汉族</v>
          </cell>
          <cell r="F2593" t="str">
            <v>19931228</v>
          </cell>
          <cell r="G2593">
            <v>28</v>
          </cell>
          <cell r="H2593" t="str">
            <v>四川省仁寿县贵平镇中岗村12组</v>
          </cell>
          <cell r="I2593">
            <v>17318617135</v>
          </cell>
        </row>
        <row r="2594">
          <cell r="C2594" t="str">
            <v>511121196305026937</v>
          </cell>
          <cell r="D2594" t="str">
            <v>男</v>
          </cell>
          <cell r="E2594" t="str">
            <v>汉族</v>
          </cell>
          <cell r="F2594" t="str">
            <v>19630502</v>
          </cell>
          <cell r="G2594">
            <v>58</v>
          </cell>
          <cell r="H2594" t="str">
            <v>四川省仁寿县贵平镇中岗村12组</v>
          </cell>
          <cell r="I2594">
            <v>17381135639</v>
          </cell>
        </row>
        <row r="2595">
          <cell r="C2595" t="str">
            <v>511121197210176937</v>
          </cell>
          <cell r="D2595" t="str">
            <v>男</v>
          </cell>
          <cell r="E2595" t="str">
            <v>汉族</v>
          </cell>
          <cell r="F2595" t="str">
            <v>19721017</v>
          </cell>
          <cell r="G2595">
            <v>49</v>
          </cell>
          <cell r="H2595" t="str">
            <v>四川省仁寿县贵平镇中岗村12组</v>
          </cell>
          <cell r="I2595">
            <v>18228128819</v>
          </cell>
        </row>
        <row r="2596">
          <cell r="C2596" t="str">
            <v>513822199706026946</v>
          </cell>
          <cell r="D2596" t="str">
            <v>女</v>
          </cell>
          <cell r="E2596" t="str">
            <v>汉族</v>
          </cell>
          <cell r="F2596" t="str">
            <v>19970602</v>
          </cell>
          <cell r="G2596">
            <v>24</v>
          </cell>
          <cell r="H2596" t="str">
            <v>四川省仁寿县贵平镇中岗村12组</v>
          </cell>
        </row>
        <row r="2597">
          <cell r="C2597" t="str">
            <v>511121196107056932</v>
          </cell>
          <cell r="D2597" t="str">
            <v>男</v>
          </cell>
          <cell r="E2597" t="str">
            <v>汉族</v>
          </cell>
          <cell r="F2597" t="str">
            <v>19610705</v>
          </cell>
          <cell r="G2597">
            <v>60</v>
          </cell>
          <cell r="H2597" t="str">
            <v>四川省仁寿县贵平镇中岗村12组</v>
          </cell>
          <cell r="I2597">
            <v>13662437580</v>
          </cell>
        </row>
        <row r="2598">
          <cell r="C2598" t="str">
            <v>511121196310056946</v>
          </cell>
          <cell r="D2598" t="str">
            <v>女</v>
          </cell>
          <cell r="E2598" t="str">
            <v>汉族</v>
          </cell>
          <cell r="F2598" t="str">
            <v>19631005</v>
          </cell>
          <cell r="G2598">
            <v>58</v>
          </cell>
          <cell r="H2598" t="str">
            <v>四川省仁寿县贵平镇中岗村12组</v>
          </cell>
          <cell r="I2598">
            <v>13739497241</v>
          </cell>
        </row>
        <row r="2599">
          <cell r="C2599" t="str">
            <v>511121195310076934</v>
          </cell>
          <cell r="D2599" t="str">
            <v>男</v>
          </cell>
          <cell r="E2599" t="str">
            <v>汉族</v>
          </cell>
          <cell r="F2599" t="str">
            <v>19531007</v>
          </cell>
          <cell r="G2599">
            <v>68</v>
          </cell>
          <cell r="H2599" t="str">
            <v>四川省仁寿县贵平镇中岗村12组</v>
          </cell>
          <cell r="I2599">
            <v>13683430496</v>
          </cell>
        </row>
        <row r="2600">
          <cell r="C2600" t="str">
            <v>511121198010166931</v>
          </cell>
          <cell r="D2600" t="str">
            <v>男</v>
          </cell>
          <cell r="E2600" t="str">
            <v>汉族</v>
          </cell>
          <cell r="F2600" t="str">
            <v>19801016</v>
          </cell>
          <cell r="G2600">
            <v>41</v>
          </cell>
          <cell r="H2600" t="str">
            <v>四川省仁寿县贵平镇中岗村12组</v>
          </cell>
          <cell r="I2600">
            <v>18200162180</v>
          </cell>
        </row>
        <row r="2601">
          <cell r="C2601" t="str">
            <v>513423198705270728</v>
          </cell>
          <cell r="D2601" t="str">
            <v>女</v>
          </cell>
          <cell r="E2601" t="str">
            <v>汉族</v>
          </cell>
          <cell r="F2601" t="str">
            <v>19870527</v>
          </cell>
          <cell r="G2601">
            <v>34</v>
          </cell>
          <cell r="H2601" t="str">
            <v>四川省仁寿县贵平镇中岗村12组</v>
          </cell>
          <cell r="I2601">
            <v>18381431899</v>
          </cell>
        </row>
        <row r="2602">
          <cell r="C2602" t="str">
            <v>51142120081008675X</v>
          </cell>
          <cell r="D2602" t="str">
            <v>男</v>
          </cell>
          <cell r="E2602" t="str">
            <v>汉族</v>
          </cell>
          <cell r="F2602" t="str">
            <v>20081008</v>
          </cell>
          <cell r="G2602">
            <v>13</v>
          </cell>
          <cell r="H2602" t="str">
            <v>四川省仁寿县贵平镇中岗村12组</v>
          </cell>
        </row>
        <row r="2603">
          <cell r="C2603" t="str">
            <v>511121195602076944</v>
          </cell>
          <cell r="D2603" t="str">
            <v>女</v>
          </cell>
          <cell r="E2603" t="str">
            <v>汉族</v>
          </cell>
          <cell r="F2603" t="str">
            <v>19560207</v>
          </cell>
          <cell r="G2603">
            <v>65</v>
          </cell>
          <cell r="H2603" t="str">
            <v>四川省仁寿县贵平镇中岗村12组</v>
          </cell>
          <cell r="I2603">
            <v>18011293703</v>
          </cell>
        </row>
        <row r="2604">
          <cell r="C2604" t="str">
            <v>511121196612206938</v>
          </cell>
          <cell r="D2604" t="str">
            <v>男</v>
          </cell>
          <cell r="E2604" t="str">
            <v>汉族</v>
          </cell>
          <cell r="F2604" t="str">
            <v>19661220</v>
          </cell>
          <cell r="G2604">
            <v>55</v>
          </cell>
          <cell r="H2604" t="str">
            <v>四川省仁寿县贵平镇中岗村12组</v>
          </cell>
          <cell r="I2604">
            <v>13980066465</v>
          </cell>
        </row>
        <row r="2605">
          <cell r="C2605" t="str">
            <v>513822198907216944</v>
          </cell>
          <cell r="D2605" t="str">
            <v>女</v>
          </cell>
          <cell r="E2605" t="str">
            <v>汉族</v>
          </cell>
          <cell r="F2605" t="str">
            <v>19890721</v>
          </cell>
          <cell r="G2605">
            <v>32</v>
          </cell>
          <cell r="H2605" t="str">
            <v>四川省仁寿县贵平镇中岗村12组</v>
          </cell>
          <cell r="I2605">
            <v>18200128706</v>
          </cell>
        </row>
        <row r="2606">
          <cell r="C2606" t="str">
            <v>511421201508146883</v>
          </cell>
          <cell r="D2606" t="str">
            <v>女</v>
          </cell>
          <cell r="E2606" t="str">
            <v>汉族</v>
          </cell>
          <cell r="F2606" t="str">
            <v>20150814</v>
          </cell>
          <cell r="G2606">
            <v>6</v>
          </cell>
          <cell r="H2606" t="str">
            <v>四川省仁寿县贵平镇中岗村12组</v>
          </cell>
        </row>
        <row r="2607">
          <cell r="C2607" t="str">
            <v>511121197311236724</v>
          </cell>
          <cell r="D2607" t="str">
            <v>女</v>
          </cell>
          <cell r="E2607" t="str">
            <v>汉族</v>
          </cell>
          <cell r="F2607" t="str">
            <v>19731123</v>
          </cell>
          <cell r="G2607">
            <v>48</v>
          </cell>
          <cell r="H2607" t="str">
            <v>四川省仁寿县贵平镇中岗村12组</v>
          </cell>
          <cell r="I2607">
            <v>15884571968</v>
          </cell>
        </row>
        <row r="2608">
          <cell r="C2608" t="str">
            <v>51112119400116694X</v>
          </cell>
          <cell r="D2608" t="str">
            <v>女</v>
          </cell>
          <cell r="E2608" t="str">
            <v>汉族</v>
          </cell>
          <cell r="F2608" t="str">
            <v>19400116</v>
          </cell>
          <cell r="G2608">
            <v>81</v>
          </cell>
          <cell r="H2608" t="str">
            <v>四川省仁寿县贵平镇中岗村12组</v>
          </cell>
          <cell r="I2608">
            <v>1738176262</v>
          </cell>
        </row>
        <row r="2609">
          <cell r="C2609" t="str">
            <v>511121196305166956</v>
          </cell>
          <cell r="D2609" t="str">
            <v>男</v>
          </cell>
          <cell r="E2609" t="str">
            <v>汉族</v>
          </cell>
          <cell r="F2609" t="str">
            <v>19630516</v>
          </cell>
          <cell r="G2609">
            <v>58</v>
          </cell>
          <cell r="H2609" t="str">
            <v>四川省仁寿县贵平镇中岗村12组</v>
          </cell>
          <cell r="I2609">
            <v>17381132685</v>
          </cell>
        </row>
        <row r="2610">
          <cell r="C2610" t="str">
            <v>511121196203026944</v>
          </cell>
          <cell r="D2610" t="str">
            <v>女</v>
          </cell>
          <cell r="E2610" t="str">
            <v>汉族</v>
          </cell>
          <cell r="F2610" t="str">
            <v>19620302</v>
          </cell>
          <cell r="G2610">
            <v>59</v>
          </cell>
          <cell r="H2610" t="str">
            <v>四川省仁寿县贵平镇中岗村12组</v>
          </cell>
          <cell r="I2610">
            <v>17711293095</v>
          </cell>
        </row>
        <row r="2611">
          <cell r="C2611" t="str">
            <v>513822199105026932</v>
          </cell>
          <cell r="D2611" t="str">
            <v>男</v>
          </cell>
          <cell r="E2611" t="str">
            <v>汉族</v>
          </cell>
          <cell r="F2611" t="str">
            <v>19910502</v>
          </cell>
          <cell r="G2611">
            <v>30</v>
          </cell>
          <cell r="H2611" t="str">
            <v>四川省仁寿县贵平镇中岗村12组</v>
          </cell>
          <cell r="I2611">
            <v>18728491616</v>
          </cell>
        </row>
        <row r="2612">
          <cell r="C2612" t="str">
            <v>511121196805066935</v>
          </cell>
          <cell r="D2612" t="str">
            <v>男</v>
          </cell>
          <cell r="E2612" t="str">
            <v>汉族</v>
          </cell>
          <cell r="F2612" t="str">
            <v>19680506</v>
          </cell>
          <cell r="G2612">
            <v>53</v>
          </cell>
          <cell r="H2612" t="str">
            <v>四川省仁寿县贵平镇中岗村12组</v>
          </cell>
          <cell r="I2612">
            <v>18109064040</v>
          </cell>
        </row>
        <row r="2613">
          <cell r="C2613" t="str">
            <v>511121197005129007</v>
          </cell>
          <cell r="D2613" t="str">
            <v>女</v>
          </cell>
          <cell r="E2613" t="str">
            <v>汉族</v>
          </cell>
          <cell r="F2613" t="str">
            <v>19700512</v>
          </cell>
          <cell r="G2613">
            <v>51</v>
          </cell>
          <cell r="H2613" t="str">
            <v>四川省仁寿县贵平镇中岗村12组</v>
          </cell>
          <cell r="I2613">
            <v>18010574040</v>
          </cell>
        </row>
        <row r="2614">
          <cell r="C2614" t="str">
            <v>513822199110026937</v>
          </cell>
          <cell r="D2614" t="str">
            <v>男</v>
          </cell>
          <cell r="E2614" t="str">
            <v>汉族</v>
          </cell>
          <cell r="F2614" t="str">
            <v>19911002</v>
          </cell>
          <cell r="G2614">
            <v>30</v>
          </cell>
          <cell r="H2614" t="str">
            <v>四川省仁寿县贵平镇中岗村12组</v>
          </cell>
          <cell r="I2614">
            <v>13980489829</v>
          </cell>
        </row>
        <row r="2615">
          <cell r="C2615" t="str">
            <v>513822199403156946</v>
          </cell>
          <cell r="D2615" t="str">
            <v>女</v>
          </cell>
          <cell r="E2615" t="str">
            <v>汉族</v>
          </cell>
          <cell r="F2615" t="str">
            <v>19940315</v>
          </cell>
          <cell r="G2615">
            <v>27</v>
          </cell>
          <cell r="H2615" t="str">
            <v>四川省仁寿县贵平镇中岗村12组</v>
          </cell>
          <cell r="I2615">
            <v>18780029379</v>
          </cell>
        </row>
        <row r="2616">
          <cell r="C2616" t="str">
            <v>510904199506231902</v>
          </cell>
          <cell r="D2616" t="str">
            <v>女</v>
          </cell>
          <cell r="E2616" t="str">
            <v>汉族</v>
          </cell>
          <cell r="F2616" t="str">
            <v>19950623</v>
          </cell>
          <cell r="G2616">
            <v>26</v>
          </cell>
          <cell r="H2616" t="str">
            <v>四川省仁寿县贵平镇中岗村12组</v>
          </cell>
          <cell r="I2616">
            <v>15756219124</v>
          </cell>
        </row>
        <row r="2617">
          <cell r="C2617" t="str">
            <v>51112119630804695X</v>
          </cell>
          <cell r="D2617" t="str">
            <v>男</v>
          </cell>
          <cell r="E2617" t="str">
            <v>汉族</v>
          </cell>
          <cell r="F2617" t="str">
            <v>19630804</v>
          </cell>
          <cell r="G2617">
            <v>58</v>
          </cell>
          <cell r="H2617" t="str">
            <v>四川省仁寿县贵平镇中岗村12组</v>
          </cell>
          <cell r="I2617">
            <v>13881905823</v>
          </cell>
        </row>
        <row r="2618">
          <cell r="C2618" t="str">
            <v>511121196609046945</v>
          </cell>
          <cell r="D2618" t="str">
            <v>女</v>
          </cell>
          <cell r="E2618" t="str">
            <v>汉族</v>
          </cell>
          <cell r="F2618" t="str">
            <v>19660904</v>
          </cell>
          <cell r="G2618">
            <v>55</v>
          </cell>
          <cell r="H2618" t="str">
            <v>四川省仁寿县贵平镇中岗村12组</v>
          </cell>
          <cell r="I2618">
            <v>18781966793</v>
          </cell>
        </row>
        <row r="2619">
          <cell r="C2619" t="str">
            <v>513822198810086936</v>
          </cell>
          <cell r="D2619" t="str">
            <v>男</v>
          </cell>
          <cell r="E2619" t="str">
            <v>汉族</v>
          </cell>
          <cell r="F2619" t="str">
            <v>19881008</v>
          </cell>
          <cell r="G2619">
            <v>33</v>
          </cell>
          <cell r="H2619" t="str">
            <v>四川省仁寿县贵平镇中岗村12组</v>
          </cell>
          <cell r="I2619">
            <v>13980951581</v>
          </cell>
        </row>
        <row r="2620">
          <cell r="C2620" t="str">
            <v>511121195606216940</v>
          </cell>
          <cell r="D2620" t="str">
            <v>女</v>
          </cell>
          <cell r="E2620" t="str">
            <v>汉族</v>
          </cell>
          <cell r="F2620" t="str">
            <v>19560621</v>
          </cell>
          <cell r="G2620">
            <v>65</v>
          </cell>
          <cell r="H2620" t="str">
            <v>四川省仁寿县贵平镇中岗村12组</v>
          </cell>
          <cell r="I2620">
            <v>18081891826</v>
          </cell>
        </row>
        <row r="2621">
          <cell r="C2621" t="str">
            <v>511121195812026937</v>
          </cell>
          <cell r="D2621" t="str">
            <v>男</v>
          </cell>
          <cell r="E2621" t="str">
            <v>汉族</v>
          </cell>
          <cell r="F2621" t="str">
            <v>19581202</v>
          </cell>
          <cell r="G2621">
            <v>63</v>
          </cell>
          <cell r="H2621" t="str">
            <v>四川省仁寿县贵平镇中岗村12组</v>
          </cell>
          <cell r="I2621">
            <v>18208127566</v>
          </cell>
        </row>
        <row r="2622">
          <cell r="C2622" t="str">
            <v>511121196102056941</v>
          </cell>
          <cell r="D2622" t="str">
            <v>女</v>
          </cell>
          <cell r="E2622" t="str">
            <v>汉族</v>
          </cell>
          <cell r="F2622" t="str">
            <v>19610205</v>
          </cell>
          <cell r="G2622">
            <v>60</v>
          </cell>
          <cell r="H2622" t="str">
            <v>四川省仁寿县贵平镇中岗村12组</v>
          </cell>
          <cell r="I2622">
            <v>18328572924</v>
          </cell>
        </row>
        <row r="2623">
          <cell r="C2623" t="str">
            <v>513822198308126963</v>
          </cell>
          <cell r="D2623" t="str">
            <v>女</v>
          </cell>
          <cell r="E2623" t="str">
            <v>汉族</v>
          </cell>
          <cell r="F2623" t="str">
            <v>19830812</v>
          </cell>
          <cell r="G2623">
            <v>38</v>
          </cell>
          <cell r="H2623" t="str">
            <v>四川省仁寿县贵平镇中岗村12组</v>
          </cell>
          <cell r="I2623">
            <v>13524132686</v>
          </cell>
        </row>
        <row r="2624">
          <cell r="C2624" t="str">
            <v>511121197611036951</v>
          </cell>
          <cell r="D2624" t="str">
            <v>男</v>
          </cell>
          <cell r="E2624" t="str">
            <v>汉族</v>
          </cell>
          <cell r="F2624" t="str">
            <v>19761103</v>
          </cell>
          <cell r="G2624">
            <v>45</v>
          </cell>
          <cell r="H2624" t="str">
            <v>四川省仁寿县贵平镇中岗村12组</v>
          </cell>
          <cell r="I2624">
            <v>18628945716</v>
          </cell>
        </row>
        <row r="2625">
          <cell r="C2625" t="str">
            <v>511121198104126949</v>
          </cell>
          <cell r="D2625" t="str">
            <v>女</v>
          </cell>
          <cell r="E2625" t="str">
            <v>汉族</v>
          </cell>
          <cell r="F2625" t="str">
            <v>19810412</v>
          </cell>
          <cell r="G2625">
            <v>40</v>
          </cell>
          <cell r="H2625" t="str">
            <v>四川省仁寿县贵平镇中岗村12组</v>
          </cell>
          <cell r="I2625">
            <v>18200585838</v>
          </cell>
        </row>
        <row r="2626">
          <cell r="C2626" t="str">
            <v>513822200303046753</v>
          </cell>
          <cell r="D2626" t="str">
            <v>男</v>
          </cell>
          <cell r="E2626" t="str">
            <v>汉族</v>
          </cell>
          <cell r="F2626" t="str">
            <v>20030304</v>
          </cell>
          <cell r="G2626">
            <v>18</v>
          </cell>
          <cell r="H2626" t="str">
            <v>四川省仁寿县贵平镇中岗村12组</v>
          </cell>
        </row>
        <row r="2627">
          <cell r="C2627" t="str">
            <v>513822199804226968</v>
          </cell>
          <cell r="D2627" t="str">
            <v>女</v>
          </cell>
          <cell r="E2627" t="str">
            <v>汉族</v>
          </cell>
          <cell r="F2627" t="str">
            <v>19980422</v>
          </cell>
          <cell r="G2627">
            <v>23</v>
          </cell>
          <cell r="H2627" t="str">
            <v>四川省仁寿县贵平镇中岗村12组</v>
          </cell>
          <cell r="I2627">
            <v>18784433526</v>
          </cell>
        </row>
        <row r="2628">
          <cell r="C2628" t="str">
            <v>511121196712016939</v>
          </cell>
          <cell r="D2628" t="str">
            <v>男</v>
          </cell>
          <cell r="E2628" t="str">
            <v>汉族</v>
          </cell>
          <cell r="F2628" t="str">
            <v>19671201</v>
          </cell>
          <cell r="G2628">
            <v>54</v>
          </cell>
          <cell r="H2628" t="str">
            <v>四川省仁寿县贵平镇中岗村12组</v>
          </cell>
          <cell r="I2628">
            <v>15244811360</v>
          </cell>
        </row>
        <row r="2629">
          <cell r="C2629" t="str">
            <v>511121195110176930</v>
          </cell>
          <cell r="D2629" t="str">
            <v>男</v>
          </cell>
          <cell r="E2629" t="str">
            <v>汉族</v>
          </cell>
          <cell r="F2629" t="str">
            <v>19511017</v>
          </cell>
          <cell r="G2629">
            <v>70</v>
          </cell>
          <cell r="H2629" t="str">
            <v>四川省仁寿县贵平镇中岗村12组</v>
          </cell>
          <cell r="I2629">
            <v>18328176692</v>
          </cell>
        </row>
        <row r="2630">
          <cell r="C2630" t="str">
            <v>511121195208176947</v>
          </cell>
          <cell r="D2630" t="str">
            <v>女</v>
          </cell>
          <cell r="E2630" t="str">
            <v>汉族</v>
          </cell>
          <cell r="F2630" t="str">
            <v>19520817</v>
          </cell>
          <cell r="G2630">
            <v>69</v>
          </cell>
          <cell r="H2630" t="str">
            <v>四川省仁寿县贵平镇中岗村12组</v>
          </cell>
          <cell r="I2630">
            <v>13608034124</v>
          </cell>
        </row>
        <row r="2631">
          <cell r="C2631" t="str">
            <v>511121198010206948</v>
          </cell>
          <cell r="D2631" t="str">
            <v>女</v>
          </cell>
          <cell r="E2631" t="str">
            <v>汉族</v>
          </cell>
          <cell r="F2631" t="str">
            <v>19801020</v>
          </cell>
          <cell r="G2631">
            <v>41</v>
          </cell>
          <cell r="H2631" t="str">
            <v>四川省仁寿县贵平镇中岗村12组</v>
          </cell>
          <cell r="I2631">
            <v>19938481050</v>
          </cell>
        </row>
        <row r="2632">
          <cell r="C2632" t="str">
            <v>513021198203157632</v>
          </cell>
          <cell r="D2632" t="str">
            <v>男</v>
          </cell>
          <cell r="E2632" t="str">
            <v>汉族</v>
          </cell>
          <cell r="F2632" t="str">
            <v>19820315</v>
          </cell>
          <cell r="G2632">
            <v>39</v>
          </cell>
          <cell r="H2632" t="str">
            <v>四川省仁寿县贵平镇中岗村12组</v>
          </cell>
          <cell r="I2632">
            <v>17360281607</v>
          </cell>
        </row>
        <row r="2633">
          <cell r="C2633" t="str">
            <v>511421201908090241</v>
          </cell>
          <cell r="D2633" t="str">
            <v>女</v>
          </cell>
          <cell r="E2633" t="str">
            <v>汉族</v>
          </cell>
          <cell r="F2633" t="str">
            <v>20190809</v>
          </cell>
          <cell r="G2633">
            <v>2</v>
          </cell>
          <cell r="H2633" t="str">
            <v>四川省仁寿县贵平镇中岗村12组</v>
          </cell>
        </row>
        <row r="2634">
          <cell r="C2634" t="str">
            <v>511421201010046789</v>
          </cell>
          <cell r="D2634" t="str">
            <v>女</v>
          </cell>
          <cell r="E2634" t="str">
            <v>汉族</v>
          </cell>
          <cell r="F2634" t="str">
            <v>20101004</v>
          </cell>
          <cell r="G2634">
            <v>11</v>
          </cell>
          <cell r="H2634" t="str">
            <v>四川省仁寿县贵平镇中岗村12组</v>
          </cell>
        </row>
        <row r="2635">
          <cell r="C2635" t="str">
            <v>511121197508246934</v>
          </cell>
          <cell r="D2635" t="str">
            <v>男</v>
          </cell>
          <cell r="E2635" t="str">
            <v>汉族</v>
          </cell>
          <cell r="F2635" t="str">
            <v>19750824</v>
          </cell>
          <cell r="G2635">
            <v>46</v>
          </cell>
          <cell r="H2635" t="str">
            <v>四川省仁寿县贵平镇中岗村12组</v>
          </cell>
          <cell r="I2635">
            <v>13890319836</v>
          </cell>
        </row>
        <row r="2636">
          <cell r="C2636" t="str">
            <v>511121197104129109</v>
          </cell>
          <cell r="D2636" t="str">
            <v>女</v>
          </cell>
          <cell r="E2636" t="str">
            <v>汉族</v>
          </cell>
          <cell r="F2636" t="str">
            <v>19710412</v>
          </cell>
          <cell r="G2636">
            <v>50</v>
          </cell>
          <cell r="H2636" t="str">
            <v>四川省仁寿县贵平镇中岗村12组</v>
          </cell>
          <cell r="I2636">
            <v>13890319896</v>
          </cell>
        </row>
        <row r="2637">
          <cell r="C2637" t="str">
            <v>513822199712266938</v>
          </cell>
          <cell r="D2637" t="str">
            <v>男</v>
          </cell>
          <cell r="E2637" t="str">
            <v>汉族</v>
          </cell>
          <cell r="F2637" t="str">
            <v>19971226</v>
          </cell>
          <cell r="G2637">
            <v>24</v>
          </cell>
          <cell r="H2637" t="str">
            <v>四川省仁寿县贵平镇中岗村12组</v>
          </cell>
          <cell r="I2637">
            <v>13890319896</v>
          </cell>
        </row>
        <row r="2638">
          <cell r="C2638" t="str">
            <v>511121197908166933</v>
          </cell>
          <cell r="D2638" t="str">
            <v>男</v>
          </cell>
          <cell r="E2638" t="str">
            <v>汉族</v>
          </cell>
          <cell r="F2638" t="str">
            <v>19790816</v>
          </cell>
          <cell r="G2638">
            <v>42</v>
          </cell>
          <cell r="H2638" t="str">
            <v>四川省仁寿县贵平镇中岗村12组</v>
          </cell>
          <cell r="I2638">
            <v>18228513922</v>
          </cell>
        </row>
        <row r="2639">
          <cell r="C2639" t="str">
            <v>511121193907036936</v>
          </cell>
          <cell r="D2639" t="str">
            <v>男</v>
          </cell>
          <cell r="E2639" t="str">
            <v>汉族</v>
          </cell>
          <cell r="F2639" t="str">
            <v>19390703</v>
          </cell>
          <cell r="G2639">
            <v>82</v>
          </cell>
          <cell r="H2639" t="str">
            <v>四川省仁寿县贵平镇中岗村12组</v>
          </cell>
          <cell r="I2639">
            <v>18384783876</v>
          </cell>
        </row>
        <row r="2640">
          <cell r="C2640" t="str">
            <v>511421200509278701</v>
          </cell>
          <cell r="D2640" t="str">
            <v>女</v>
          </cell>
          <cell r="E2640" t="str">
            <v>汉族</v>
          </cell>
          <cell r="F2640" t="str">
            <v>20050927</v>
          </cell>
          <cell r="G2640">
            <v>16</v>
          </cell>
          <cell r="H2640" t="str">
            <v>四川省仁寿县贵平镇中岗村12组</v>
          </cell>
        </row>
        <row r="2641">
          <cell r="C2641" t="str">
            <v>513822199008266934</v>
          </cell>
          <cell r="D2641" t="str">
            <v>男</v>
          </cell>
          <cell r="E2641" t="str">
            <v>汉族</v>
          </cell>
          <cell r="F2641" t="str">
            <v>19900826</v>
          </cell>
          <cell r="G2641">
            <v>31</v>
          </cell>
          <cell r="H2641" t="str">
            <v>四川省仁寿县贵平镇中岗村12组</v>
          </cell>
          <cell r="I2641">
            <v>13890342717</v>
          </cell>
        </row>
        <row r="2642">
          <cell r="C2642" t="str">
            <v>511421202009120245</v>
          </cell>
          <cell r="D2642" t="str">
            <v>女</v>
          </cell>
          <cell r="E2642" t="str">
            <v>汉族</v>
          </cell>
          <cell r="F2642" t="str">
            <v>20200912</v>
          </cell>
          <cell r="G2642">
            <v>1</v>
          </cell>
          <cell r="H2642" t="str">
            <v>四川省仁寿县贵平镇中岗村12组</v>
          </cell>
        </row>
        <row r="2643">
          <cell r="C2643" t="str">
            <v>51112119450603693X</v>
          </cell>
          <cell r="D2643" t="str">
            <v>男</v>
          </cell>
          <cell r="E2643" t="str">
            <v>汉族</v>
          </cell>
          <cell r="F2643" t="str">
            <v>19450603</v>
          </cell>
          <cell r="G2643">
            <v>76</v>
          </cell>
          <cell r="H2643" t="str">
            <v>四川省仁寿县贵平镇中岗村12组</v>
          </cell>
          <cell r="I2643">
            <v>15244836489</v>
          </cell>
        </row>
        <row r="2644">
          <cell r="C2644" t="str">
            <v>511121194710196949</v>
          </cell>
          <cell r="D2644" t="str">
            <v>女</v>
          </cell>
          <cell r="E2644" t="str">
            <v>汉族</v>
          </cell>
          <cell r="F2644" t="str">
            <v>19471019</v>
          </cell>
          <cell r="G2644">
            <v>74</v>
          </cell>
          <cell r="H2644" t="str">
            <v>四川省仁寿县贵平镇中岗村12组</v>
          </cell>
          <cell r="I2644">
            <v>15244822019</v>
          </cell>
        </row>
        <row r="2645">
          <cell r="C2645" t="str">
            <v>511121194302196931</v>
          </cell>
          <cell r="D2645" t="str">
            <v>男</v>
          </cell>
          <cell r="E2645" t="str">
            <v>汉族</v>
          </cell>
          <cell r="F2645" t="str">
            <v>19430219</v>
          </cell>
          <cell r="G2645">
            <v>78</v>
          </cell>
          <cell r="H2645" t="str">
            <v>四川省仁寿县贵平镇中岗村12组</v>
          </cell>
          <cell r="I2645">
            <v>18180031663</v>
          </cell>
        </row>
        <row r="2646">
          <cell r="C2646" t="str">
            <v>521027197311148841</v>
          </cell>
          <cell r="D2646" t="str">
            <v>女</v>
          </cell>
          <cell r="E2646" t="str">
            <v>汉族</v>
          </cell>
          <cell r="F2646" t="str">
            <v>19731114</v>
          </cell>
          <cell r="G2646">
            <v>48</v>
          </cell>
          <cell r="H2646" t="str">
            <v>四川省仁寿县贵平镇中岗村12组</v>
          </cell>
          <cell r="I2646">
            <v>15351206275</v>
          </cell>
        </row>
        <row r="2647">
          <cell r="C2647" t="str">
            <v>511121194703176966</v>
          </cell>
          <cell r="D2647" t="str">
            <v>女</v>
          </cell>
          <cell r="E2647" t="str">
            <v>汉族</v>
          </cell>
          <cell r="F2647" t="str">
            <v>19470317</v>
          </cell>
          <cell r="G2647">
            <v>74</v>
          </cell>
          <cell r="H2647" t="str">
            <v>四川省仁寿县贵平镇中岗村12组</v>
          </cell>
          <cell r="I2647">
            <v>18180031663</v>
          </cell>
        </row>
        <row r="2648">
          <cell r="C2648" t="str">
            <v>513822199712256940</v>
          </cell>
          <cell r="D2648" t="str">
            <v>女</v>
          </cell>
          <cell r="E2648" t="str">
            <v>汉族</v>
          </cell>
          <cell r="F2648" t="str">
            <v>19971225</v>
          </cell>
          <cell r="G2648">
            <v>24</v>
          </cell>
          <cell r="H2648" t="str">
            <v>四川省仁寿县贵平镇中岗村12组</v>
          </cell>
          <cell r="I2648">
            <v>13540805279</v>
          </cell>
        </row>
        <row r="2649">
          <cell r="C2649" t="str">
            <v>511121197212046933</v>
          </cell>
          <cell r="D2649" t="str">
            <v>男</v>
          </cell>
          <cell r="E2649" t="str">
            <v>汉族</v>
          </cell>
          <cell r="F2649" t="str">
            <v>19721204</v>
          </cell>
          <cell r="G2649">
            <v>49</v>
          </cell>
          <cell r="H2649" t="str">
            <v>四川省仁寿县贵平镇中岗村12组</v>
          </cell>
          <cell r="I2649">
            <v>13980734553</v>
          </cell>
        </row>
        <row r="2650">
          <cell r="C2650" t="str">
            <v>511121196505256999</v>
          </cell>
          <cell r="D2650" t="str">
            <v>男</v>
          </cell>
          <cell r="E2650" t="str">
            <v>汉族</v>
          </cell>
          <cell r="F2650" t="str">
            <v>19650525</v>
          </cell>
          <cell r="G2650">
            <v>56</v>
          </cell>
          <cell r="H2650" t="str">
            <v>四川省仁寿县贵平镇中岗村12组</v>
          </cell>
          <cell r="I2650">
            <v>13880810591</v>
          </cell>
        </row>
        <row r="2651">
          <cell r="C2651" t="str">
            <v>511121196710256963</v>
          </cell>
          <cell r="D2651" t="str">
            <v>女</v>
          </cell>
          <cell r="E2651" t="str">
            <v>汉族</v>
          </cell>
          <cell r="F2651" t="str">
            <v>19671025</v>
          </cell>
          <cell r="G2651">
            <v>54</v>
          </cell>
          <cell r="H2651" t="str">
            <v>四川省仁寿县贵平镇中岗村12组</v>
          </cell>
          <cell r="I2651">
            <v>13558676738</v>
          </cell>
        </row>
        <row r="2652">
          <cell r="C2652" t="str">
            <v>513822199105296940</v>
          </cell>
          <cell r="D2652" t="str">
            <v>女</v>
          </cell>
          <cell r="E2652" t="str">
            <v>汉族</v>
          </cell>
          <cell r="F2652" t="str">
            <v>19910529</v>
          </cell>
          <cell r="G2652">
            <v>30</v>
          </cell>
          <cell r="H2652" t="str">
            <v>四川省仁寿县贵平镇中岗村12组</v>
          </cell>
          <cell r="I2652">
            <v>13666281432</v>
          </cell>
        </row>
        <row r="2653">
          <cell r="C2653" t="str">
            <v>511121197507086932</v>
          </cell>
          <cell r="D2653" t="str">
            <v>男</v>
          </cell>
          <cell r="E2653" t="str">
            <v>汉族</v>
          </cell>
          <cell r="F2653" t="str">
            <v>19750708</v>
          </cell>
          <cell r="G2653">
            <v>46</v>
          </cell>
          <cell r="H2653" t="str">
            <v>四川省仁寿县贵平镇中岗村12组</v>
          </cell>
          <cell r="I2653">
            <v>15182180318</v>
          </cell>
        </row>
        <row r="2654">
          <cell r="C2654" t="str">
            <v>513822200608316769</v>
          </cell>
          <cell r="D2654" t="str">
            <v>女</v>
          </cell>
          <cell r="E2654" t="str">
            <v>汉族</v>
          </cell>
          <cell r="F2654" t="str">
            <v>20060831</v>
          </cell>
          <cell r="G2654">
            <v>15</v>
          </cell>
          <cell r="H2654" t="str">
            <v>四川省仁寿县贵平镇中岗村12组</v>
          </cell>
        </row>
        <row r="2655">
          <cell r="C2655" t="str">
            <v>511121194011206933</v>
          </cell>
          <cell r="D2655" t="str">
            <v>男</v>
          </cell>
          <cell r="E2655" t="str">
            <v>汉族</v>
          </cell>
          <cell r="F2655" t="str">
            <v>19401120</v>
          </cell>
          <cell r="G2655">
            <v>81</v>
          </cell>
          <cell r="H2655" t="str">
            <v>四川省仁寿县贵平镇中岗村12组</v>
          </cell>
        </row>
        <row r="2656">
          <cell r="C2656" t="str">
            <v>511121197301026934</v>
          </cell>
          <cell r="D2656" t="str">
            <v>男</v>
          </cell>
          <cell r="E2656" t="str">
            <v>汉族</v>
          </cell>
          <cell r="F2656" t="str">
            <v>19730102</v>
          </cell>
          <cell r="G2656">
            <v>48</v>
          </cell>
          <cell r="H2656" t="str">
            <v>四川省仁寿县贵平镇中岗村12组</v>
          </cell>
          <cell r="I2656">
            <v>15282320371</v>
          </cell>
        </row>
        <row r="2657">
          <cell r="C2657" t="str">
            <v>513822199907246937</v>
          </cell>
          <cell r="D2657" t="str">
            <v>男</v>
          </cell>
          <cell r="E2657" t="str">
            <v>汉族</v>
          </cell>
          <cell r="F2657" t="str">
            <v>19990724</v>
          </cell>
          <cell r="G2657">
            <v>22</v>
          </cell>
          <cell r="H2657" t="str">
            <v>四川省仁寿县贵平镇中岗村12组</v>
          </cell>
          <cell r="I2657">
            <v>13708072891</v>
          </cell>
        </row>
        <row r="2658">
          <cell r="C2658" t="str">
            <v>51112119750323693X</v>
          </cell>
          <cell r="D2658" t="str">
            <v>男</v>
          </cell>
          <cell r="E2658" t="str">
            <v>汉族</v>
          </cell>
          <cell r="F2658" t="str">
            <v>19750323</v>
          </cell>
          <cell r="G2658">
            <v>46</v>
          </cell>
          <cell r="H2658" t="str">
            <v>四川省仁寿县贵平镇中岗村12组</v>
          </cell>
          <cell r="I2658">
            <v>18362085742</v>
          </cell>
        </row>
        <row r="2659">
          <cell r="C2659" t="str">
            <v>513902199605022540</v>
          </cell>
          <cell r="D2659" t="str">
            <v>女</v>
          </cell>
          <cell r="E2659" t="str">
            <v>汉族</v>
          </cell>
          <cell r="F2659" t="str">
            <v>19960502</v>
          </cell>
          <cell r="G2659">
            <v>25</v>
          </cell>
          <cell r="H2659" t="str">
            <v>四川省仁寿县贵平镇中岗村12组</v>
          </cell>
          <cell r="I2659">
            <v>15884309681</v>
          </cell>
        </row>
        <row r="2660">
          <cell r="C2660" t="str">
            <v>511121197605209107</v>
          </cell>
          <cell r="D2660" t="str">
            <v>女</v>
          </cell>
          <cell r="E2660" t="str">
            <v>汉族</v>
          </cell>
          <cell r="F2660" t="str">
            <v>19760520</v>
          </cell>
          <cell r="G2660">
            <v>45</v>
          </cell>
          <cell r="H2660" t="str">
            <v>四川省仁寿县贵平镇中岗村12组</v>
          </cell>
          <cell r="I2660">
            <v>13550535472</v>
          </cell>
        </row>
        <row r="2661">
          <cell r="C2661" t="str">
            <v>511121195106066931</v>
          </cell>
          <cell r="D2661" t="str">
            <v>男</v>
          </cell>
          <cell r="E2661" t="str">
            <v>汉族</v>
          </cell>
          <cell r="F2661" t="str">
            <v>19510606</v>
          </cell>
          <cell r="G2661">
            <v>70</v>
          </cell>
          <cell r="H2661" t="str">
            <v>四川省仁寿县贵平镇中岗村12组</v>
          </cell>
          <cell r="I2661">
            <v>13056613391</v>
          </cell>
        </row>
        <row r="2662">
          <cell r="C2662" t="str">
            <v>51142120070330669X</v>
          </cell>
          <cell r="D2662" t="str">
            <v>男</v>
          </cell>
          <cell r="E2662" t="str">
            <v>汉族</v>
          </cell>
          <cell r="F2662" t="str">
            <v>20070330</v>
          </cell>
          <cell r="G2662">
            <v>14</v>
          </cell>
          <cell r="H2662" t="str">
            <v>四川省仁寿县贵平镇中岗村12组</v>
          </cell>
        </row>
        <row r="2663">
          <cell r="C2663" t="str">
            <v>511121197707026934</v>
          </cell>
          <cell r="D2663" t="str">
            <v>男</v>
          </cell>
          <cell r="E2663" t="str">
            <v>汉族</v>
          </cell>
          <cell r="F2663" t="str">
            <v>19770702</v>
          </cell>
          <cell r="G2663">
            <v>44</v>
          </cell>
          <cell r="H2663" t="str">
            <v>四川省仁寿县贵平镇中岗村12组</v>
          </cell>
          <cell r="I2663">
            <v>15828504996</v>
          </cell>
        </row>
        <row r="2664">
          <cell r="C2664" t="str">
            <v>513822200302206735</v>
          </cell>
          <cell r="D2664" t="str">
            <v>男</v>
          </cell>
          <cell r="E2664" t="str">
            <v>汉族</v>
          </cell>
          <cell r="F2664" t="str">
            <v>20030220</v>
          </cell>
          <cell r="G2664">
            <v>18</v>
          </cell>
          <cell r="H2664" t="str">
            <v>四川省仁寿县贵平镇中岗村12组</v>
          </cell>
        </row>
        <row r="2665">
          <cell r="C2665" t="str">
            <v>511421201302196850</v>
          </cell>
          <cell r="D2665" t="str">
            <v>男</v>
          </cell>
          <cell r="E2665" t="str">
            <v>汉族</v>
          </cell>
          <cell r="F2665" t="str">
            <v>20130219</v>
          </cell>
          <cell r="G2665">
            <v>8</v>
          </cell>
          <cell r="H2665" t="str">
            <v>四川省仁寿县贵平镇中岗村12组</v>
          </cell>
        </row>
        <row r="2666">
          <cell r="C2666" t="str">
            <v>513822199006066939</v>
          </cell>
          <cell r="D2666" t="str">
            <v>男</v>
          </cell>
          <cell r="E2666" t="str">
            <v>汉族</v>
          </cell>
          <cell r="F2666" t="str">
            <v>19900606</v>
          </cell>
          <cell r="G2666">
            <v>31</v>
          </cell>
          <cell r="H2666" t="str">
            <v>四川省仁寿县贵平镇中岗村12组</v>
          </cell>
          <cell r="I2666">
            <v>13683413258</v>
          </cell>
        </row>
        <row r="2667">
          <cell r="C2667" t="str">
            <v>51112119511112696X</v>
          </cell>
          <cell r="D2667" t="str">
            <v>女</v>
          </cell>
          <cell r="E2667" t="str">
            <v>汉族</v>
          </cell>
          <cell r="F2667" t="str">
            <v>19511112</v>
          </cell>
          <cell r="G2667">
            <v>70</v>
          </cell>
          <cell r="H2667" t="str">
            <v>四川省仁寿县贵平镇中岗村12组</v>
          </cell>
          <cell r="I2667">
            <v>13795543742</v>
          </cell>
        </row>
        <row r="2668">
          <cell r="C2668" t="str">
            <v>511121197408086937</v>
          </cell>
          <cell r="D2668" t="str">
            <v>男</v>
          </cell>
          <cell r="E2668" t="str">
            <v>汉族</v>
          </cell>
          <cell r="F2668" t="str">
            <v>19740808</v>
          </cell>
          <cell r="G2668">
            <v>47</v>
          </cell>
          <cell r="H2668" t="str">
            <v>四川省仁寿县贵平镇中岗村12组</v>
          </cell>
          <cell r="I2668">
            <v>15884322856</v>
          </cell>
        </row>
        <row r="2669">
          <cell r="C2669" t="str">
            <v>511121197408149045</v>
          </cell>
          <cell r="D2669" t="str">
            <v>女</v>
          </cell>
          <cell r="E2669" t="str">
            <v>汉族</v>
          </cell>
          <cell r="F2669" t="str">
            <v>19740814</v>
          </cell>
          <cell r="G2669">
            <v>47</v>
          </cell>
          <cell r="H2669" t="str">
            <v>四川省仁寿县贵平镇中岗村12组</v>
          </cell>
          <cell r="I2669">
            <v>13330945331</v>
          </cell>
        </row>
        <row r="2670">
          <cell r="C2670" t="str">
            <v>513822199512066931</v>
          </cell>
          <cell r="D2670" t="str">
            <v>男</v>
          </cell>
          <cell r="E2670" t="str">
            <v>汉族</v>
          </cell>
          <cell r="F2670" t="str">
            <v>19951206</v>
          </cell>
          <cell r="G2670">
            <v>26</v>
          </cell>
          <cell r="H2670" t="str">
            <v>四川省仁寿县贵平镇中岗村12组</v>
          </cell>
          <cell r="I2670">
            <v>15884322856</v>
          </cell>
        </row>
        <row r="2671">
          <cell r="C2671" t="str">
            <v>513822200412036693</v>
          </cell>
          <cell r="D2671" t="str">
            <v>男</v>
          </cell>
          <cell r="E2671" t="str">
            <v>汉族</v>
          </cell>
          <cell r="F2671" t="str">
            <v>20041203</v>
          </cell>
          <cell r="G2671">
            <v>17</v>
          </cell>
          <cell r="H2671" t="str">
            <v>四川省仁寿县贵平镇中岗村12组</v>
          </cell>
        </row>
        <row r="2672">
          <cell r="C2672" t="str">
            <v>513822200106258714</v>
          </cell>
          <cell r="D2672" t="str">
            <v>男</v>
          </cell>
          <cell r="E2672" t="str">
            <v>汉族</v>
          </cell>
          <cell r="F2672" t="str">
            <v>20010625</v>
          </cell>
          <cell r="G2672">
            <v>20</v>
          </cell>
          <cell r="H2672" t="str">
            <v>四川省仁寿县贵平镇中岗村12组</v>
          </cell>
          <cell r="I2672">
            <v>17380945628</v>
          </cell>
        </row>
        <row r="2673">
          <cell r="C2673" t="str">
            <v>511121197502086933</v>
          </cell>
          <cell r="D2673" t="str">
            <v>男</v>
          </cell>
          <cell r="E2673" t="str">
            <v>汉族</v>
          </cell>
          <cell r="F2673" t="str">
            <v>19750208</v>
          </cell>
          <cell r="G2673">
            <v>46</v>
          </cell>
          <cell r="H2673" t="str">
            <v>四川省仁寿县贵平镇中岗村12组</v>
          </cell>
          <cell r="I2673">
            <v>15378630230</v>
          </cell>
        </row>
        <row r="2674">
          <cell r="C2674" t="str">
            <v>511121197912056956</v>
          </cell>
          <cell r="D2674" t="str">
            <v>男</v>
          </cell>
          <cell r="E2674" t="str">
            <v>汉族</v>
          </cell>
          <cell r="F2674" t="str">
            <v>19791205</v>
          </cell>
          <cell r="G2674">
            <v>42</v>
          </cell>
          <cell r="H2674" t="str">
            <v>四川省仁寿县贵平镇中岗村12组</v>
          </cell>
          <cell r="I2674">
            <v>15397607659</v>
          </cell>
        </row>
        <row r="2675">
          <cell r="C2675" t="str">
            <v>511025198111054947</v>
          </cell>
          <cell r="D2675" t="str">
            <v>女</v>
          </cell>
          <cell r="E2675" t="str">
            <v>汉族</v>
          </cell>
          <cell r="F2675" t="str">
            <v>19811105</v>
          </cell>
          <cell r="G2675">
            <v>40</v>
          </cell>
          <cell r="H2675" t="str">
            <v>四川省仁寿县贵平镇中岗村12组</v>
          </cell>
          <cell r="I2675">
            <v>15397605396</v>
          </cell>
        </row>
        <row r="2676">
          <cell r="C2676" t="str">
            <v>513822200201176696</v>
          </cell>
          <cell r="D2676" t="str">
            <v>男</v>
          </cell>
          <cell r="E2676" t="str">
            <v>汉族</v>
          </cell>
          <cell r="F2676" t="str">
            <v>20020117</v>
          </cell>
          <cell r="G2676">
            <v>19</v>
          </cell>
          <cell r="H2676" t="str">
            <v>四川省仁寿县贵平镇中岗村12组</v>
          </cell>
          <cell r="I2676">
            <v>15397609259</v>
          </cell>
        </row>
        <row r="2677">
          <cell r="C2677" t="str">
            <v>511121197506036941</v>
          </cell>
          <cell r="D2677" t="str">
            <v>女</v>
          </cell>
          <cell r="E2677" t="str">
            <v>汉族</v>
          </cell>
          <cell r="F2677" t="str">
            <v>19750603</v>
          </cell>
          <cell r="G2677">
            <v>46</v>
          </cell>
          <cell r="H2677" t="str">
            <v>四川省仁寿县贵平镇中岗村12组</v>
          </cell>
          <cell r="I2677">
            <v>15108425037</v>
          </cell>
        </row>
        <row r="2678">
          <cell r="C2678" t="str">
            <v>513822199710116944</v>
          </cell>
          <cell r="D2678" t="str">
            <v>女</v>
          </cell>
          <cell r="E2678" t="str">
            <v>汉族</v>
          </cell>
          <cell r="F2678" t="str">
            <v>19971011</v>
          </cell>
          <cell r="G2678">
            <v>24</v>
          </cell>
          <cell r="H2678" t="str">
            <v>四川省仁寿县贵平镇中岗村12组</v>
          </cell>
          <cell r="I2678">
            <v>15208423703</v>
          </cell>
        </row>
        <row r="2679">
          <cell r="C2679" t="str">
            <v>511121196304096933</v>
          </cell>
          <cell r="D2679" t="str">
            <v>男</v>
          </cell>
          <cell r="E2679" t="str">
            <v>汉族</v>
          </cell>
          <cell r="F2679" t="str">
            <v>19630409</v>
          </cell>
          <cell r="G2679">
            <v>58</v>
          </cell>
          <cell r="H2679" t="str">
            <v>四川省仁寿县贵平镇中岗村12组</v>
          </cell>
          <cell r="I2679">
            <v>18290889730</v>
          </cell>
        </row>
        <row r="2680">
          <cell r="C2680" t="str">
            <v>511121196404106967</v>
          </cell>
          <cell r="D2680" t="str">
            <v>女</v>
          </cell>
          <cell r="E2680" t="str">
            <v>汉族</v>
          </cell>
          <cell r="F2680" t="str">
            <v>19640410</v>
          </cell>
          <cell r="G2680">
            <v>57</v>
          </cell>
          <cell r="H2680" t="str">
            <v>四川省仁寿县贵平镇中岗村12组</v>
          </cell>
          <cell r="I2680">
            <v>18784433515</v>
          </cell>
        </row>
        <row r="2681">
          <cell r="C2681" t="str">
            <v>513822198707026935</v>
          </cell>
          <cell r="D2681" t="str">
            <v>男</v>
          </cell>
          <cell r="E2681" t="str">
            <v>汉族</v>
          </cell>
          <cell r="F2681" t="str">
            <v>19870702</v>
          </cell>
          <cell r="G2681">
            <v>34</v>
          </cell>
          <cell r="H2681" t="str">
            <v>四川省仁寿县贵平镇中岗村12组</v>
          </cell>
          <cell r="I2681">
            <v>18228158338</v>
          </cell>
        </row>
        <row r="2682">
          <cell r="C2682" t="str">
            <v>513434198112145904</v>
          </cell>
          <cell r="D2682" t="str">
            <v>女</v>
          </cell>
          <cell r="E2682" t="str">
            <v>彝族</v>
          </cell>
          <cell r="F2682" t="str">
            <v>19811214</v>
          </cell>
          <cell r="G2682">
            <v>40</v>
          </cell>
          <cell r="H2682" t="str">
            <v>四川省仁寿县贵平镇中岗村12组</v>
          </cell>
          <cell r="I2682">
            <v>18228102515</v>
          </cell>
        </row>
        <row r="2683">
          <cell r="C2683" t="str">
            <v>511424201906120371</v>
          </cell>
          <cell r="D2683" t="str">
            <v>男</v>
          </cell>
          <cell r="E2683" t="str">
            <v>汉族</v>
          </cell>
          <cell r="F2683" t="str">
            <v>20190612</v>
          </cell>
          <cell r="G2683">
            <v>2</v>
          </cell>
          <cell r="H2683" t="str">
            <v>四川省仁寿县贵平镇中岗村12组</v>
          </cell>
        </row>
        <row r="2684">
          <cell r="C2684" t="str">
            <v>511121195307076933</v>
          </cell>
          <cell r="D2684" t="str">
            <v>男</v>
          </cell>
          <cell r="E2684" t="str">
            <v>汉族</v>
          </cell>
          <cell r="F2684" t="str">
            <v>19530707</v>
          </cell>
          <cell r="G2684">
            <v>68</v>
          </cell>
          <cell r="H2684" t="str">
            <v>四川省仁寿县贵平镇中岗村12组</v>
          </cell>
          <cell r="I2684">
            <v>15282359194</v>
          </cell>
        </row>
        <row r="2685">
          <cell r="C2685" t="str">
            <v>511121195705066941</v>
          </cell>
          <cell r="D2685" t="str">
            <v>女</v>
          </cell>
          <cell r="E2685" t="str">
            <v>汉族</v>
          </cell>
          <cell r="F2685" t="str">
            <v>19570506</v>
          </cell>
          <cell r="G2685">
            <v>64</v>
          </cell>
          <cell r="H2685" t="str">
            <v>四川省仁寿县贵平镇中岗村12组</v>
          </cell>
        </row>
        <row r="2686">
          <cell r="C2686" t="str">
            <v>513822198803106943</v>
          </cell>
          <cell r="D2686" t="str">
            <v>女</v>
          </cell>
          <cell r="E2686" t="str">
            <v>汉族</v>
          </cell>
          <cell r="F2686" t="str">
            <v>19880310</v>
          </cell>
          <cell r="G2686">
            <v>33</v>
          </cell>
          <cell r="H2686" t="str">
            <v>四川省仁寿县贵平镇中岗村12组</v>
          </cell>
          <cell r="I2686">
            <v>18384733540</v>
          </cell>
        </row>
        <row r="2687">
          <cell r="C2687" t="str">
            <v>511024198810253818</v>
          </cell>
          <cell r="D2687" t="str">
            <v>男</v>
          </cell>
          <cell r="E2687" t="str">
            <v>汉族</v>
          </cell>
          <cell r="F2687" t="str">
            <v>19881025</v>
          </cell>
          <cell r="G2687">
            <v>33</v>
          </cell>
          <cell r="H2687" t="str">
            <v>四川省仁寿县贵平镇中岗村12组</v>
          </cell>
          <cell r="I2687">
            <v>18328715690</v>
          </cell>
        </row>
        <row r="2688">
          <cell r="C2688" t="str">
            <v>511121197111186937</v>
          </cell>
          <cell r="D2688" t="str">
            <v>男</v>
          </cell>
          <cell r="E2688" t="str">
            <v>汉族</v>
          </cell>
          <cell r="F2688" t="str">
            <v>19711118</v>
          </cell>
          <cell r="G2688">
            <v>50</v>
          </cell>
          <cell r="H2688" t="str">
            <v>四川省仁寿县贵平镇中岗村12组</v>
          </cell>
          <cell r="I2688">
            <v>15828518603</v>
          </cell>
        </row>
        <row r="2689">
          <cell r="C2689" t="str">
            <v>511521198305284689</v>
          </cell>
          <cell r="D2689" t="str">
            <v>女</v>
          </cell>
          <cell r="E2689" t="str">
            <v>汉族</v>
          </cell>
          <cell r="F2689" t="str">
            <v>19830528</v>
          </cell>
          <cell r="G2689">
            <v>38</v>
          </cell>
          <cell r="H2689" t="str">
            <v>四川省仁寿县贵平镇中岗村12组</v>
          </cell>
          <cell r="I2689">
            <v>15108413602</v>
          </cell>
        </row>
        <row r="2690">
          <cell r="C2690" t="str">
            <v>511421200012066746</v>
          </cell>
          <cell r="D2690" t="str">
            <v>女</v>
          </cell>
          <cell r="E2690" t="str">
            <v>汉族</v>
          </cell>
          <cell r="F2690" t="str">
            <v>20001206</v>
          </cell>
          <cell r="G2690">
            <v>21</v>
          </cell>
          <cell r="H2690" t="str">
            <v>四川省仁寿县贵平镇中岗村12组</v>
          </cell>
        </row>
        <row r="2691">
          <cell r="C2691" t="str">
            <v>511121196807026935</v>
          </cell>
          <cell r="D2691" t="str">
            <v>男</v>
          </cell>
          <cell r="E2691" t="str">
            <v>汉族</v>
          </cell>
          <cell r="F2691" t="str">
            <v>19680702</v>
          </cell>
          <cell r="G2691">
            <v>53</v>
          </cell>
          <cell r="H2691" t="str">
            <v>四川省仁寿县贵平镇中岗村12组</v>
          </cell>
          <cell r="I2691">
            <v>15008459211</v>
          </cell>
        </row>
        <row r="2692">
          <cell r="C2692" t="str">
            <v>511121196612276944</v>
          </cell>
          <cell r="D2692" t="str">
            <v>女</v>
          </cell>
          <cell r="E2692" t="str">
            <v>汉族</v>
          </cell>
          <cell r="F2692" t="str">
            <v>19661227</v>
          </cell>
          <cell r="G2692">
            <v>55</v>
          </cell>
          <cell r="H2692" t="str">
            <v>四川省仁寿县贵平镇中岗村12组</v>
          </cell>
          <cell r="I2692">
            <v>15756265262</v>
          </cell>
        </row>
        <row r="2693">
          <cell r="C2693" t="str">
            <v>51382219880707693X</v>
          </cell>
          <cell r="D2693" t="str">
            <v>男</v>
          </cell>
          <cell r="E2693" t="str">
            <v>汉族</v>
          </cell>
          <cell r="F2693" t="str">
            <v>19880707</v>
          </cell>
          <cell r="G2693">
            <v>33</v>
          </cell>
          <cell r="H2693" t="str">
            <v>四川省仁寿县贵平镇中岗村12组</v>
          </cell>
          <cell r="I2693">
            <v>15198189463</v>
          </cell>
        </row>
        <row r="2694">
          <cell r="C2694" t="str">
            <v>513822198901053267</v>
          </cell>
          <cell r="D2694" t="str">
            <v>女</v>
          </cell>
          <cell r="E2694" t="str">
            <v>汉族</v>
          </cell>
          <cell r="F2694" t="str">
            <v>19890105</v>
          </cell>
          <cell r="G2694">
            <v>32</v>
          </cell>
          <cell r="H2694" t="str">
            <v>四川省仁寿县贵平镇中岗村12组</v>
          </cell>
          <cell r="I2694">
            <v>13679644857</v>
          </cell>
        </row>
        <row r="2695">
          <cell r="C2695" t="str">
            <v>51142120110407326X</v>
          </cell>
          <cell r="D2695" t="str">
            <v>女</v>
          </cell>
          <cell r="E2695" t="str">
            <v>汉族</v>
          </cell>
          <cell r="F2695" t="str">
            <v>20110407</v>
          </cell>
          <cell r="G2695">
            <v>10</v>
          </cell>
          <cell r="H2695" t="str">
            <v>四川省仁寿县贵平镇中岗村12组</v>
          </cell>
        </row>
        <row r="2696">
          <cell r="C2696" t="str">
            <v>511424201809250369</v>
          </cell>
          <cell r="D2696" t="str">
            <v>女</v>
          </cell>
          <cell r="E2696" t="str">
            <v>汉族</v>
          </cell>
          <cell r="F2696" t="str">
            <v>20180925</v>
          </cell>
          <cell r="G2696">
            <v>3</v>
          </cell>
          <cell r="H2696" t="str">
            <v>四川省仁寿县贵平镇中岗村12组</v>
          </cell>
        </row>
        <row r="2697">
          <cell r="C2697" t="str">
            <v>511121196308206933</v>
          </cell>
          <cell r="D2697" t="str">
            <v>男</v>
          </cell>
          <cell r="E2697" t="str">
            <v>汉族</v>
          </cell>
          <cell r="F2697" t="str">
            <v>19630820</v>
          </cell>
          <cell r="G2697">
            <v>58</v>
          </cell>
          <cell r="H2697" t="str">
            <v>四川省仁寿县贵平镇中岗村12组</v>
          </cell>
          <cell r="I2697">
            <v>13183659983</v>
          </cell>
        </row>
        <row r="2698">
          <cell r="C2698" t="str">
            <v>511121196404256965</v>
          </cell>
          <cell r="D2698" t="str">
            <v>女</v>
          </cell>
          <cell r="E2698" t="str">
            <v>汉族</v>
          </cell>
          <cell r="F2698" t="str">
            <v>19640425</v>
          </cell>
          <cell r="G2698">
            <v>57</v>
          </cell>
          <cell r="H2698" t="str">
            <v>四川省仁寿县贵平镇中岗村12组</v>
          </cell>
          <cell r="I2698">
            <v>1502337828</v>
          </cell>
        </row>
        <row r="2699">
          <cell r="C2699" t="str">
            <v>513822198508206933</v>
          </cell>
          <cell r="D2699" t="str">
            <v>男</v>
          </cell>
          <cell r="E2699" t="str">
            <v>汉族</v>
          </cell>
          <cell r="F2699" t="str">
            <v>19850820</v>
          </cell>
          <cell r="G2699">
            <v>36</v>
          </cell>
          <cell r="H2699" t="str">
            <v>四川省仁寿县贵平镇中岗村12组</v>
          </cell>
          <cell r="I2699">
            <v>13902694531</v>
          </cell>
        </row>
        <row r="2700">
          <cell r="C2700" t="str">
            <v>511121197811026934</v>
          </cell>
          <cell r="D2700" t="str">
            <v>男</v>
          </cell>
          <cell r="E2700" t="str">
            <v>汉族</v>
          </cell>
          <cell r="F2700" t="str">
            <v>19781102</v>
          </cell>
          <cell r="G2700">
            <v>43</v>
          </cell>
          <cell r="H2700" t="str">
            <v>四川省仁寿县贵平镇中岗村12组</v>
          </cell>
          <cell r="I2700">
            <v>13980401303</v>
          </cell>
        </row>
        <row r="2701">
          <cell r="C2701" t="str">
            <v>511121197202276946</v>
          </cell>
          <cell r="D2701" t="str">
            <v>女</v>
          </cell>
          <cell r="E2701" t="str">
            <v>汉族</v>
          </cell>
          <cell r="F2701" t="str">
            <v>19720227</v>
          </cell>
          <cell r="G2701">
            <v>49</v>
          </cell>
          <cell r="H2701" t="str">
            <v>四川省仁寿县贵平镇中岗村12组</v>
          </cell>
          <cell r="I2701">
            <v>13813262264</v>
          </cell>
        </row>
        <row r="2702">
          <cell r="C2702" t="str">
            <v>511421200607126752</v>
          </cell>
          <cell r="D2702" t="str">
            <v>男</v>
          </cell>
          <cell r="E2702" t="str">
            <v>汉族</v>
          </cell>
          <cell r="F2702" t="str">
            <v>20060712</v>
          </cell>
          <cell r="G2702">
            <v>15</v>
          </cell>
          <cell r="H2702" t="str">
            <v>四川省仁寿县贵平镇中岗村12组</v>
          </cell>
        </row>
        <row r="2703">
          <cell r="C2703" t="str">
            <v>511121197412148424</v>
          </cell>
          <cell r="D2703" t="str">
            <v>女</v>
          </cell>
          <cell r="E2703" t="str">
            <v>汉族</v>
          </cell>
          <cell r="F2703" t="str">
            <v>19741214</v>
          </cell>
          <cell r="G2703">
            <v>47</v>
          </cell>
          <cell r="H2703" t="str">
            <v>四川省仁寿县贵平镇中岗村12组</v>
          </cell>
          <cell r="I2703">
            <v>18782196556</v>
          </cell>
        </row>
        <row r="2704">
          <cell r="C2704" t="str">
            <v>511121197101096938</v>
          </cell>
          <cell r="D2704" t="str">
            <v>男</v>
          </cell>
          <cell r="E2704" t="str">
            <v>汉族</v>
          </cell>
          <cell r="F2704" t="str">
            <v>19710109</v>
          </cell>
          <cell r="G2704">
            <v>50</v>
          </cell>
          <cell r="H2704" t="str">
            <v>四川省仁寿县贵平镇中岗村12组</v>
          </cell>
          <cell r="I2704">
            <v>13548110052</v>
          </cell>
        </row>
        <row r="2705">
          <cell r="C2705" t="str">
            <v>511121197212106940</v>
          </cell>
          <cell r="D2705" t="str">
            <v>女</v>
          </cell>
          <cell r="E2705" t="str">
            <v>汉族</v>
          </cell>
          <cell r="F2705" t="str">
            <v>19721210</v>
          </cell>
          <cell r="G2705">
            <v>49</v>
          </cell>
          <cell r="H2705" t="str">
            <v>四川省仁寿县贵平镇中岗村12组</v>
          </cell>
          <cell r="I2705">
            <v>13438994458</v>
          </cell>
        </row>
        <row r="2706">
          <cell r="C2706" t="str">
            <v>513822199201066934</v>
          </cell>
          <cell r="D2706" t="str">
            <v>男</v>
          </cell>
          <cell r="E2706" t="str">
            <v>汉族</v>
          </cell>
          <cell r="F2706" t="str">
            <v>19920106</v>
          </cell>
          <cell r="G2706">
            <v>29</v>
          </cell>
          <cell r="H2706" t="str">
            <v>四川省仁寿县贵平镇中岗村12组</v>
          </cell>
          <cell r="I2706">
            <v>15108324256</v>
          </cell>
        </row>
        <row r="2707">
          <cell r="C2707" t="str">
            <v>51113219780124382X</v>
          </cell>
          <cell r="D2707" t="str">
            <v>女</v>
          </cell>
          <cell r="E2707" t="str">
            <v>汉族</v>
          </cell>
          <cell r="F2707" t="str">
            <v>19780124</v>
          </cell>
          <cell r="G2707">
            <v>43</v>
          </cell>
          <cell r="H2707" t="str">
            <v>四川省仁寿县贵平镇中岗村12组</v>
          </cell>
          <cell r="I2707">
            <v>13881868031</v>
          </cell>
        </row>
        <row r="2708">
          <cell r="C2708" t="str">
            <v>511132200607243820</v>
          </cell>
          <cell r="D2708" t="str">
            <v>女</v>
          </cell>
          <cell r="E2708" t="str">
            <v>汉族</v>
          </cell>
          <cell r="F2708" t="str">
            <v>20060724</v>
          </cell>
          <cell r="G2708">
            <v>15</v>
          </cell>
          <cell r="H2708" t="str">
            <v>四川省仁寿县贵平镇中岗村12组</v>
          </cell>
        </row>
        <row r="2709">
          <cell r="C2709" t="str">
            <v>511424201911270120</v>
          </cell>
          <cell r="D2709" t="str">
            <v>女</v>
          </cell>
          <cell r="E2709" t="str">
            <v>汉族</v>
          </cell>
          <cell r="F2709" t="str">
            <v>20191127</v>
          </cell>
          <cell r="G2709">
            <v>2</v>
          </cell>
          <cell r="H2709" t="str">
            <v>四川省仁寿县贵平镇中岗村12组</v>
          </cell>
        </row>
        <row r="2710">
          <cell r="C2710" t="str">
            <v>511121194901126935</v>
          </cell>
          <cell r="D2710" t="str">
            <v>男</v>
          </cell>
          <cell r="E2710" t="str">
            <v>汉族</v>
          </cell>
          <cell r="F2710" t="str">
            <v>19490112</v>
          </cell>
          <cell r="G2710">
            <v>72</v>
          </cell>
          <cell r="H2710" t="str">
            <v>四川省仁寿县贵平镇中岗村12组</v>
          </cell>
          <cell r="I2710">
            <v>18089502774</v>
          </cell>
        </row>
        <row r="2711">
          <cell r="C2711" t="str">
            <v>511121196709236957</v>
          </cell>
          <cell r="D2711" t="str">
            <v>男</v>
          </cell>
          <cell r="E2711" t="str">
            <v>汉族</v>
          </cell>
          <cell r="F2711" t="str">
            <v>19670923</v>
          </cell>
          <cell r="G2711">
            <v>54</v>
          </cell>
          <cell r="H2711" t="str">
            <v>四川省仁寿县贵平镇中岗村12组</v>
          </cell>
          <cell r="I2711">
            <v>13618067286</v>
          </cell>
        </row>
        <row r="2712">
          <cell r="C2712" t="str">
            <v>511121196609206945</v>
          </cell>
          <cell r="D2712" t="str">
            <v>女</v>
          </cell>
          <cell r="E2712" t="str">
            <v>汉族</v>
          </cell>
          <cell r="F2712" t="str">
            <v>19660920</v>
          </cell>
          <cell r="G2712">
            <v>55</v>
          </cell>
          <cell r="H2712" t="str">
            <v>四川省仁寿县贵平镇中岗村12组</v>
          </cell>
          <cell r="I2712">
            <v>18228147086</v>
          </cell>
        </row>
        <row r="2713">
          <cell r="C2713" t="str">
            <v>513822199012256931</v>
          </cell>
          <cell r="D2713" t="str">
            <v>男</v>
          </cell>
          <cell r="E2713" t="str">
            <v>汉族</v>
          </cell>
          <cell r="F2713" t="str">
            <v>19901225</v>
          </cell>
          <cell r="G2713">
            <v>31</v>
          </cell>
          <cell r="H2713" t="str">
            <v>四川省仁寿县贵平镇中岗村12组</v>
          </cell>
          <cell r="I2713">
            <v>15881029582</v>
          </cell>
        </row>
        <row r="2714">
          <cell r="C2714" t="str">
            <v>513822199301019027</v>
          </cell>
          <cell r="D2714" t="str">
            <v>女</v>
          </cell>
          <cell r="E2714" t="str">
            <v>汉族</v>
          </cell>
          <cell r="F2714" t="str">
            <v>19930101</v>
          </cell>
          <cell r="G2714">
            <v>28</v>
          </cell>
          <cell r="H2714" t="str">
            <v>四川省仁寿县贵平镇中岗村12组</v>
          </cell>
          <cell r="I2714">
            <v>18227697229</v>
          </cell>
        </row>
        <row r="2715">
          <cell r="C2715" t="str">
            <v>511424201010310082</v>
          </cell>
          <cell r="D2715" t="str">
            <v>女</v>
          </cell>
          <cell r="E2715" t="str">
            <v>汉族</v>
          </cell>
          <cell r="F2715" t="str">
            <v>20101031</v>
          </cell>
          <cell r="G2715">
            <v>11</v>
          </cell>
          <cell r="H2715" t="str">
            <v>四川省仁寿县贵平镇中岗村12组</v>
          </cell>
        </row>
        <row r="2716">
          <cell r="C2716" t="str">
            <v>511121196410276946</v>
          </cell>
          <cell r="D2716" t="str">
            <v>女</v>
          </cell>
          <cell r="E2716" t="str">
            <v>汉族</v>
          </cell>
          <cell r="F2716" t="str">
            <v>19641027</v>
          </cell>
          <cell r="G2716">
            <v>57</v>
          </cell>
          <cell r="H2716" t="str">
            <v>四川省仁寿县贵平镇中岗村12组</v>
          </cell>
          <cell r="I2716">
            <v>13340958199</v>
          </cell>
        </row>
        <row r="2717">
          <cell r="C2717" t="str">
            <v>511121196504086932</v>
          </cell>
          <cell r="D2717" t="str">
            <v>男</v>
          </cell>
          <cell r="E2717" t="str">
            <v>汉族</v>
          </cell>
          <cell r="F2717" t="str">
            <v>19650408</v>
          </cell>
          <cell r="G2717">
            <v>56</v>
          </cell>
          <cell r="H2717" t="str">
            <v>四川省仁寿县贵平镇中岗村12组</v>
          </cell>
          <cell r="I2717">
            <v>13006413823</v>
          </cell>
        </row>
        <row r="2718">
          <cell r="C2718" t="str">
            <v>513822199008086933</v>
          </cell>
          <cell r="D2718" t="str">
            <v>男</v>
          </cell>
          <cell r="E2718" t="str">
            <v>汉族</v>
          </cell>
          <cell r="F2718" t="str">
            <v>19900808</v>
          </cell>
          <cell r="G2718">
            <v>31</v>
          </cell>
          <cell r="H2718" t="str">
            <v>四川省仁寿县贵平镇中岗村12组</v>
          </cell>
          <cell r="I2718">
            <v>15008427932</v>
          </cell>
        </row>
        <row r="2719">
          <cell r="C2719" t="str">
            <v>511121195312156954</v>
          </cell>
          <cell r="D2719" t="str">
            <v>男</v>
          </cell>
          <cell r="E2719" t="str">
            <v>汉族</v>
          </cell>
          <cell r="F2719" t="str">
            <v>19531215</v>
          </cell>
          <cell r="G2719">
            <v>68</v>
          </cell>
          <cell r="H2719" t="str">
            <v>四川省仁寿县贵平镇中岗村12组</v>
          </cell>
          <cell r="I2719">
            <v>15002147307</v>
          </cell>
        </row>
        <row r="2720">
          <cell r="C2720" t="str">
            <v>511121195208036944</v>
          </cell>
          <cell r="D2720" t="str">
            <v>女</v>
          </cell>
          <cell r="E2720" t="str">
            <v>汉族</v>
          </cell>
          <cell r="F2720" t="str">
            <v>19520803</v>
          </cell>
          <cell r="G2720">
            <v>69</v>
          </cell>
          <cell r="H2720" t="str">
            <v>四川省仁寿县贵平镇中岗村12组</v>
          </cell>
          <cell r="I2720">
            <v>18384787681</v>
          </cell>
        </row>
        <row r="2721">
          <cell r="C2721" t="str">
            <v>511121197403216931</v>
          </cell>
          <cell r="D2721" t="str">
            <v>男</v>
          </cell>
          <cell r="E2721" t="str">
            <v>汉族</v>
          </cell>
          <cell r="F2721" t="str">
            <v>19740321</v>
          </cell>
          <cell r="G2721">
            <v>47</v>
          </cell>
          <cell r="H2721" t="str">
            <v>四川省仁寿县贵平镇中岗村12组</v>
          </cell>
          <cell r="I2721">
            <v>18224427482</v>
          </cell>
        </row>
        <row r="2722">
          <cell r="C2722" t="str">
            <v>511121196710276948</v>
          </cell>
          <cell r="D2722" t="str">
            <v>女</v>
          </cell>
          <cell r="E2722" t="str">
            <v>汉族</v>
          </cell>
          <cell r="F2722" t="str">
            <v>19671027</v>
          </cell>
          <cell r="G2722">
            <v>54</v>
          </cell>
          <cell r="H2722" t="str">
            <v>四川省仁寿县贵平镇中岗村12组</v>
          </cell>
          <cell r="I2722">
            <v>13547295843</v>
          </cell>
        </row>
        <row r="2723">
          <cell r="C2723" t="str">
            <v>513822199405136930</v>
          </cell>
          <cell r="D2723" t="str">
            <v>男</v>
          </cell>
          <cell r="E2723" t="str">
            <v>汉族</v>
          </cell>
          <cell r="F2723" t="str">
            <v>19940513</v>
          </cell>
          <cell r="G2723">
            <v>27</v>
          </cell>
          <cell r="H2723" t="str">
            <v>四川省仁寿县贵平镇中岗村12组</v>
          </cell>
          <cell r="I2723">
            <v>13086680653</v>
          </cell>
        </row>
        <row r="2724">
          <cell r="C2724" t="str">
            <v>511121197203156997</v>
          </cell>
          <cell r="D2724" t="str">
            <v>男</v>
          </cell>
          <cell r="E2724" t="str">
            <v>汉族</v>
          </cell>
          <cell r="F2724" t="str">
            <v>19720315</v>
          </cell>
          <cell r="G2724">
            <v>49</v>
          </cell>
          <cell r="H2724" t="str">
            <v>四川省仁寿县贵平镇中岗村12组</v>
          </cell>
          <cell r="I2724">
            <v>15908136233</v>
          </cell>
        </row>
        <row r="2725">
          <cell r="C2725" t="str">
            <v>513822199606146932</v>
          </cell>
          <cell r="D2725" t="str">
            <v>男</v>
          </cell>
          <cell r="E2725" t="str">
            <v>汉族</v>
          </cell>
          <cell r="F2725" t="str">
            <v>19960614</v>
          </cell>
          <cell r="G2725">
            <v>25</v>
          </cell>
          <cell r="H2725" t="str">
            <v>四川省仁寿县贵平镇中岗村12组</v>
          </cell>
          <cell r="I2725">
            <v>18308088169</v>
          </cell>
        </row>
        <row r="2726">
          <cell r="C2726" t="str">
            <v>511121194612246930</v>
          </cell>
          <cell r="D2726" t="str">
            <v>男</v>
          </cell>
          <cell r="E2726" t="str">
            <v>汉族</v>
          </cell>
          <cell r="F2726" t="str">
            <v>19461224</v>
          </cell>
          <cell r="G2726">
            <v>75</v>
          </cell>
          <cell r="H2726" t="str">
            <v>四川省仁寿县贵平镇中岗村12组</v>
          </cell>
          <cell r="I2726">
            <v>13158765576</v>
          </cell>
        </row>
        <row r="2727">
          <cell r="C2727" t="str">
            <v>511121194612126947</v>
          </cell>
          <cell r="D2727" t="str">
            <v>女</v>
          </cell>
          <cell r="E2727" t="str">
            <v>汉族</v>
          </cell>
          <cell r="F2727" t="str">
            <v>19461212</v>
          </cell>
          <cell r="G2727">
            <v>75</v>
          </cell>
          <cell r="H2727" t="str">
            <v>四川省仁寿县贵平镇中岗村12组</v>
          </cell>
        </row>
        <row r="2728">
          <cell r="C2728" t="str">
            <v>511121197901246930</v>
          </cell>
          <cell r="D2728" t="str">
            <v>男</v>
          </cell>
          <cell r="E2728" t="str">
            <v>汉族</v>
          </cell>
          <cell r="F2728" t="str">
            <v>19790124</v>
          </cell>
          <cell r="G2728">
            <v>42</v>
          </cell>
          <cell r="H2728" t="str">
            <v>四川省仁寿县贵平镇中岗村12组</v>
          </cell>
          <cell r="I2728">
            <v>13431413062</v>
          </cell>
        </row>
        <row r="2729">
          <cell r="C2729" t="str">
            <v>511121197111146943</v>
          </cell>
          <cell r="D2729" t="str">
            <v>女</v>
          </cell>
          <cell r="E2729" t="str">
            <v>汉族</v>
          </cell>
          <cell r="F2729" t="str">
            <v>19711114</v>
          </cell>
          <cell r="G2729">
            <v>50</v>
          </cell>
          <cell r="H2729" t="str">
            <v>四川省仁寿县贵平镇中岗村12组</v>
          </cell>
        </row>
        <row r="2730">
          <cell r="C2730" t="str">
            <v>511121197911206940</v>
          </cell>
          <cell r="D2730" t="str">
            <v>女</v>
          </cell>
          <cell r="E2730" t="str">
            <v>汉族</v>
          </cell>
          <cell r="F2730" t="str">
            <v>19791120</v>
          </cell>
          <cell r="G2730">
            <v>42</v>
          </cell>
          <cell r="H2730" t="str">
            <v>四川省仁寿县贵平镇中岗村12组</v>
          </cell>
        </row>
        <row r="2731">
          <cell r="C2731" t="str">
            <v>511421200712146712</v>
          </cell>
          <cell r="D2731" t="str">
            <v>男</v>
          </cell>
          <cell r="E2731" t="str">
            <v>汉族</v>
          </cell>
          <cell r="F2731" t="str">
            <v>20071214</v>
          </cell>
          <cell r="G2731">
            <v>14</v>
          </cell>
          <cell r="H2731" t="str">
            <v>四川省仁寿县贵平镇中岗村12组</v>
          </cell>
        </row>
        <row r="2732">
          <cell r="C2732" t="str">
            <v>513822200010206725</v>
          </cell>
          <cell r="D2732" t="str">
            <v>女</v>
          </cell>
          <cell r="E2732" t="str">
            <v>汉族</v>
          </cell>
          <cell r="F2732" t="str">
            <v>20001020</v>
          </cell>
          <cell r="G2732">
            <v>21</v>
          </cell>
          <cell r="H2732" t="str">
            <v>四川省仁寿县贵平镇中岗村12组</v>
          </cell>
          <cell r="I2732">
            <v>15892741703</v>
          </cell>
        </row>
        <row r="2733">
          <cell r="C2733" t="str">
            <v>511121193902236939</v>
          </cell>
          <cell r="D2733" t="str">
            <v>男</v>
          </cell>
          <cell r="E2733" t="str">
            <v>汉族</v>
          </cell>
          <cell r="F2733" t="str">
            <v>19390223</v>
          </cell>
          <cell r="G2733">
            <v>82</v>
          </cell>
          <cell r="H2733" t="str">
            <v>四川省仁寿县贵平镇中岗村12组</v>
          </cell>
          <cell r="I2733">
            <v>18089500714</v>
          </cell>
        </row>
        <row r="2734">
          <cell r="C2734" t="str">
            <v>511121194301256947</v>
          </cell>
          <cell r="D2734" t="str">
            <v>女</v>
          </cell>
          <cell r="E2734" t="str">
            <v>汉族</v>
          </cell>
          <cell r="F2734" t="str">
            <v>19430125</v>
          </cell>
          <cell r="G2734">
            <v>78</v>
          </cell>
          <cell r="H2734" t="str">
            <v>四川省仁寿县贵平镇中岗村12组</v>
          </cell>
          <cell r="I2734">
            <v>17113640212</v>
          </cell>
        </row>
        <row r="2735">
          <cell r="C2735" t="str">
            <v>511121195311106947</v>
          </cell>
          <cell r="D2735" t="str">
            <v>女</v>
          </cell>
          <cell r="E2735" t="str">
            <v>汉族</v>
          </cell>
          <cell r="F2735" t="str">
            <v>19531110</v>
          </cell>
          <cell r="G2735">
            <v>68</v>
          </cell>
          <cell r="H2735" t="str">
            <v>四川省仁寿县中岗镇合力村12组</v>
          </cell>
          <cell r="I2735">
            <v>13404065405</v>
          </cell>
        </row>
        <row r="2736">
          <cell r="C2736" t="str">
            <v>511121197004056942</v>
          </cell>
          <cell r="D2736" t="str">
            <v>女</v>
          </cell>
          <cell r="E2736" t="str">
            <v>汉族</v>
          </cell>
          <cell r="F2736" t="str">
            <v>19700405</v>
          </cell>
          <cell r="G2736">
            <v>51</v>
          </cell>
          <cell r="H2736" t="str">
            <v>四川省仁寿县贵平镇中岗村13组</v>
          </cell>
          <cell r="I2736">
            <v>13699414969</v>
          </cell>
        </row>
        <row r="2737">
          <cell r="C2737" t="str">
            <v>513822199207246944</v>
          </cell>
          <cell r="D2737" t="str">
            <v>女</v>
          </cell>
          <cell r="E2737" t="str">
            <v>汉族</v>
          </cell>
          <cell r="F2737" t="str">
            <v>19920724</v>
          </cell>
          <cell r="G2737">
            <v>29</v>
          </cell>
          <cell r="H2737" t="str">
            <v>四川省仁寿县贵平镇中岗村13组</v>
          </cell>
          <cell r="I2737">
            <v>18008083103</v>
          </cell>
        </row>
        <row r="2738">
          <cell r="C2738" t="str">
            <v>513822199411056945</v>
          </cell>
          <cell r="D2738" t="str">
            <v>女</v>
          </cell>
          <cell r="E2738" t="str">
            <v>汉族</v>
          </cell>
          <cell r="F2738" t="str">
            <v>19941105</v>
          </cell>
          <cell r="G2738">
            <v>27</v>
          </cell>
          <cell r="H2738" t="str">
            <v>四川省仁寿县贵平镇中岗村13组</v>
          </cell>
          <cell r="I2738">
            <v>15982195255</v>
          </cell>
        </row>
        <row r="2739">
          <cell r="C2739" t="str">
            <v>511129197012164610</v>
          </cell>
          <cell r="D2739" t="str">
            <v>男</v>
          </cell>
          <cell r="E2739" t="str">
            <v>汉族</v>
          </cell>
          <cell r="F2739" t="str">
            <v>19701216</v>
          </cell>
          <cell r="G2739">
            <v>51</v>
          </cell>
          <cell r="H2739" t="str">
            <v>四川省仁寿县贵平镇中岗村13组</v>
          </cell>
          <cell r="I2739">
            <v>15756241928</v>
          </cell>
        </row>
        <row r="2740">
          <cell r="C2740" t="str">
            <v>511121194309256933</v>
          </cell>
          <cell r="D2740" t="str">
            <v>男</v>
          </cell>
          <cell r="E2740" t="str">
            <v>汉族</v>
          </cell>
          <cell r="F2740" t="str">
            <v>19430925</v>
          </cell>
          <cell r="G2740">
            <v>78</v>
          </cell>
          <cell r="H2740" t="str">
            <v>四川省仁寿县贵平镇中岗村13组</v>
          </cell>
          <cell r="I2740">
            <v>17381125825</v>
          </cell>
        </row>
        <row r="2741">
          <cell r="C2741" t="str">
            <v>511121194803076946</v>
          </cell>
          <cell r="D2741" t="str">
            <v>女</v>
          </cell>
          <cell r="E2741" t="str">
            <v>汉族</v>
          </cell>
          <cell r="F2741" t="str">
            <v>19480307</v>
          </cell>
          <cell r="G2741">
            <v>73</v>
          </cell>
          <cell r="H2741" t="str">
            <v>四川省仁寿县贵平镇中岗村13组</v>
          </cell>
          <cell r="I2741">
            <v>13340938939</v>
          </cell>
        </row>
        <row r="2742">
          <cell r="C2742" t="str">
            <v>511121197310276935</v>
          </cell>
          <cell r="D2742" t="str">
            <v>男</v>
          </cell>
          <cell r="E2742" t="str">
            <v>汉族</v>
          </cell>
          <cell r="F2742" t="str">
            <v>19731027</v>
          </cell>
          <cell r="G2742">
            <v>48</v>
          </cell>
          <cell r="H2742" t="str">
            <v>四川省仁寿县贵平镇中岗村13组</v>
          </cell>
          <cell r="I2742">
            <v>13056690633</v>
          </cell>
        </row>
        <row r="2743">
          <cell r="C2743" t="str">
            <v>511121197601176977</v>
          </cell>
          <cell r="D2743" t="str">
            <v>男</v>
          </cell>
          <cell r="E2743" t="str">
            <v>汉族</v>
          </cell>
          <cell r="F2743" t="str">
            <v>19760117</v>
          </cell>
          <cell r="G2743">
            <v>45</v>
          </cell>
          <cell r="H2743" t="str">
            <v>四川省仁寿县贵平镇中岗村13组</v>
          </cell>
          <cell r="I2743">
            <v>13666743771</v>
          </cell>
        </row>
        <row r="2744">
          <cell r="C2744" t="str">
            <v>522524198110054826</v>
          </cell>
          <cell r="D2744" t="str">
            <v>女</v>
          </cell>
          <cell r="E2744" t="str">
            <v>汉族</v>
          </cell>
          <cell r="F2744" t="str">
            <v>19811005</v>
          </cell>
          <cell r="G2744">
            <v>40</v>
          </cell>
          <cell r="H2744" t="str">
            <v>四川省仁寿县贵平镇中岗村13组</v>
          </cell>
          <cell r="I2744">
            <v>15757329425</v>
          </cell>
        </row>
        <row r="2745">
          <cell r="C2745" t="str">
            <v>513822200307116720</v>
          </cell>
          <cell r="D2745" t="str">
            <v>女</v>
          </cell>
          <cell r="E2745" t="str">
            <v>汉族</v>
          </cell>
          <cell r="F2745" t="str">
            <v>20030711</v>
          </cell>
          <cell r="G2745">
            <v>18</v>
          </cell>
          <cell r="H2745" t="str">
            <v>四川省仁寿县贵平镇中岗村13组</v>
          </cell>
          <cell r="I2745">
            <v>13547663152</v>
          </cell>
        </row>
        <row r="2746">
          <cell r="C2746" t="str">
            <v>511121196905236954</v>
          </cell>
          <cell r="D2746" t="str">
            <v>男</v>
          </cell>
          <cell r="E2746" t="str">
            <v>汉族</v>
          </cell>
          <cell r="F2746" t="str">
            <v>19690523</v>
          </cell>
          <cell r="G2746">
            <v>52</v>
          </cell>
          <cell r="H2746" t="str">
            <v>四川省仁寿县贵平镇中岗村13组</v>
          </cell>
          <cell r="I2746">
            <v>13086697481</v>
          </cell>
        </row>
        <row r="2747">
          <cell r="C2747" t="str">
            <v>511121196901046782</v>
          </cell>
          <cell r="D2747" t="str">
            <v>女</v>
          </cell>
          <cell r="E2747" t="str">
            <v>汉族</v>
          </cell>
          <cell r="F2747" t="str">
            <v>19690104</v>
          </cell>
          <cell r="G2747">
            <v>52</v>
          </cell>
          <cell r="H2747" t="str">
            <v>四川省仁寿县贵平镇中岗村13组</v>
          </cell>
          <cell r="I2747">
            <v>18402845834</v>
          </cell>
        </row>
        <row r="2748">
          <cell r="C2748" t="str">
            <v>513822199407186958</v>
          </cell>
          <cell r="D2748" t="str">
            <v>男</v>
          </cell>
          <cell r="E2748" t="str">
            <v>汉族</v>
          </cell>
          <cell r="F2748" t="str">
            <v>19940718</v>
          </cell>
          <cell r="G2748">
            <v>27</v>
          </cell>
          <cell r="H2748" t="str">
            <v>四川省仁寿县贵平镇中岗村13组</v>
          </cell>
          <cell r="I2748">
            <v>18683375338</v>
          </cell>
        </row>
        <row r="2749">
          <cell r="C2749" t="str">
            <v>532122199301111418</v>
          </cell>
          <cell r="D2749" t="str">
            <v>男</v>
          </cell>
          <cell r="E2749" t="str">
            <v>汉族</v>
          </cell>
          <cell r="F2749" t="str">
            <v>19930111</v>
          </cell>
          <cell r="G2749">
            <v>28</v>
          </cell>
          <cell r="H2749" t="str">
            <v>四川省仁寿县贵平镇中岗村13组</v>
          </cell>
          <cell r="I2749">
            <v>18328549557</v>
          </cell>
        </row>
        <row r="2750">
          <cell r="C2750" t="str">
            <v>511421201812230334</v>
          </cell>
          <cell r="D2750" t="str">
            <v>男</v>
          </cell>
          <cell r="E2750" t="str">
            <v>汉族</v>
          </cell>
          <cell r="F2750" t="str">
            <v>20181223</v>
          </cell>
          <cell r="G2750">
            <v>3</v>
          </cell>
          <cell r="H2750" t="str">
            <v>四川省仁寿县贵平镇中岗村13组</v>
          </cell>
        </row>
        <row r="2751">
          <cell r="C2751" t="str">
            <v>511421202007080198</v>
          </cell>
          <cell r="D2751" t="str">
            <v>男</v>
          </cell>
          <cell r="E2751" t="str">
            <v>汉族</v>
          </cell>
          <cell r="F2751" t="str">
            <v>20200708</v>
          </cell>
          <cell r="G2751">
            <v>1</v>
          </cell>
          <cell r="H2751" t="str">
            <v>四川省仁寿县贵平镇中岗村13组</v>
          </cell>
        </row>
        <row r="2752">
          <cell r="C2752" t="str">
            <v>511421202009230188</v>
          </cell>
          <cell r="D2752" t="str">
            <v>女</v>
          </cell>
          <cell r="E2752" t="str">
            <v>汉族</v>
          </cell>
          <cell r="F2752" t="str">
            <v>20200923</v>
          </cell>
          <cell r="G2752">
            <v>1</v>
          </cell>
          <cell r="H2752" t="str">
            <v>四川省仁寿县贵平镇中岗村13组</v>
          </cell>
        </row>
        <row r="2753">
          <cell r="C2753" t="str">
            <v>513822199210066944</v>
          </cell>
          <cell r="D2753" t="str">
            <v>女</v>
          </cell>
          <cell r="E2753" t="str">
            <v>汉族</v>
          </cell>
          <cell r="F2753" t="str">
            <v>19921006</v>
          </cell>
          <cell r="G2753">
            <v>29</v>
          </cell>
          <cell r="H2753" t="str">
            <v>四川省仁寿县贵平镇中岗村13组</v>
          </cell>
          <cell r="I2753">
            <v>18200397727</v>
          </cell>
        </row>
        <row r="2754">
          <cell r="C2754" t="str">
            <v>511121197307256992</v>
          </cell>
          <cell r="D2754" t="str">
            <v>男</v>
          </cell>
          <cell r="E2754" t="str">
            <v>汉族</v>
          </cell>
          <cell r="F2754" t="str">
            <v>19730725</v>
          </cell>
          <cell r="G2754">
            <v>48</v>
          </cell>
          <cell r="H2754" t="str">
            <v>四川省仁寿县贵平镇中岗村13组</v>
          </cell>
          <cell r="I2754">
            <v>13540198091</v>
          </cell>
        </row>
        <row r="2755">
          <cell r="C2755" t="str">
            <v>511121197312046949</v>
          </cell>
          <cell r="D2755" t="str">
            <v>女</v>
          </cell>
          <cell r="E2755" t="str">
            <v>汉族</v>
          </cell>
          <cell r="F2755" t="str">
            <v>19731204</v>
          </cell>
          <cell r="G2755">
            <v>48</v>
          </cell>
          <cell r="H2755" t="str">
            <v>四川省仁寿县贵平镇中岗村13组</v>
          </cell>
          <cell r="I2755">
            <v>13980082801</v>
          </cell>
        </row>
        <row r="2756">
          <cell r="C2756" t="str">
            <v>513822199907016947</v>
          </cell>
          <cell r="D2756" t="str">
            <v>女</v>
          </cell>
          <cell r="E2756" t="str">
            <v>汉族</v>
          </cell>
          <cell r="F2756" t="str">
            <v>19990701</v>
          </cell>
          <cell r="G2756">
            <v>22</v>
          </cell>
          <cell r="H2756" t="str">
            <v>四川省仁寿县贵平镇中岗村13组</v>
          </cell>
          <cell r="I2756">
            <v>15982393481</v>
          </cell>
        </row>
        <row r="2757">
          <cell r="C2757" t="str">
            <v>511121194210156940</v>
          </cell>
          <cell r="D2757" t="str">
            <v>女</v>
          </cell>
          <cell r="E2757" t="str">
            <v>汉族</v>
          </cell>
          <cell r="F2757" t="str">
            <v>19421015</v>
          </cell>
          <cell r="G2757">
            <v>79</v>
          </cell>
          <cell r="H2757" t="str">
            <v>四川省仁寿县贵平镇中岗村13组</v>
          </cell>
        </row>
        <row r="2758">
          <cell r="C2758" t="str">
            <v>511121196407186931</v>
          </cell>
          <cell r="D2758" t="str">
            <v>男</v>
          </cell>
          <cell r="E2758" t="str">
            <v>汉族</v>
          </cell>
          <cell r="F2758" t="str">
            <v>19640718</v>
          </cell>
          <cell r="G2758">
            <v>57</v>
          </cell>
          <cell r="H2758" t="str">
            <v>四川省仁寿县贵平镇中岗村13组</v>
          </cell>
          <cell r="I2758">
            <v>18990352983</v>
          </cell>
        </row>
        <row r="2759">
          <cell r="C2759" t="str">
            <v>511121196806256968</v>
          </cell>
          <cell r="D2759" t="str">
            <v>女</v>
          </cell>
          <cell r="E2759" t="str">
            <v>汉族</v>
          </cell>
          <cell r="F2759" t="str">
            <v>19680625</v>
          </cell>
          <cell r="G2759">
            <v>53</v>
          </cell>
          <cell r="H2759" t="str">
            <v>四川省仁寿县贵平镇中岗村13组</v>
          </cell>
          <cell r="I2759">
            <v>17381249891</v>
          </cell>
        </row>
        <row r="2760">
          <cell r="C2760" t="str">
            <v>513822198808166945</v>
          </cell>
          <cell r="D2760" t="str">
            <v>女</v>
          </cell>
          <cell r="E2760" t="str">
            <v>汉族</v>
          </cell>
          <cell r="F2760" t="str">
            <v>19880816</v>
          </cell>
          <cell r="G2760">
            <v>33</v>
          </cell>
          <cell r="H2760" t="str">
            <v>四川省仁寿县贵平镇中岗村13组</v>
          </cell>
          <cell r="I2760">
            <v>13778887654</v>
          </cell>
        </row>
        <row r="2761">
          <cell r="C2761" t="str">
            <v>51382219910304693X</v>
          </cell>
          <cell r="D2761" t="str">
            <v>男</v>
          </cell>
          <cell r="E2761" t="str">
            <v>汉族</v>
          </cell>
          <cell r="F2761" t="str">
            <v>19910304</v>
          </cell>
          <cell r="G2761">
            <v>30</v>
          </cell>
          <cell r="H2761" t="str">
            <v>四川省仁寿县贵平镇中岗村13组</v>
          </cell>
          <cell r="I2761">
            <v>19960701195</v>
          </cell>
        </row>
        <row r="2762">
          <cell r="C2762" t="str">
            <v>511421201308056883</v>
          </cell>
          <cell r="D2762" t="str">
            <v>女</v>
          </cell>
          <cell r="E2762" t="str">
            <v>汉族</v>
          </cell>
          <cell r="F2762" t="str">
            <v>20130805</v>
          </cell>
          <cell r="G2762">
            <v>8</v>
          </cell>
          <cell r="H2762" t="str">
            <v>四川省仁寿县贵平镇中岗村13组</v>
          </cell>
        </row>
        <row r="2763">
          <cell r="C2763" t="str">
            <v>511121195008126937</v>
          </cell>
          <cell r="D2763" t="str">
            <v>男</v>
          </cell>
          <cell r="E2763" t="str">
            <v>汉族</v>
          </cell>
          <cell r="F2763" t="str">
            <v>19500812</v>
          </cell>
          <cell r="G2763">
            <v>71</v>
          </cell>
          <cell r="H2763" t="str">
            <v>四川省仁寿县贵平镇中岗村13组</v>
          </cell>
          <cell r="I2763">
            <v>18384787691</v>
          </cell>
        </row>
        <row r="2764">
          <cell r="C2764" t="str">
            <v>51112119550421694X</v>
          </cell>
          <cell r="D2764" t="str">
            <v>女</v>
          </cell>
          <cell r="E2764" t="str">
            <v>汉族</v>
          </cell>
          <cell r="F2764" t="str">
            <v>19550421</v>
          </cell>
          <cell r="G2764">
            <v>66</v>
          </cell>
          <cell r="H2764" t="str">
            <v>四川省仁寿县贵平镇中岗村13组</v>
          </cell>
          <cell r="I2764">
            <v>18228163630</v>
          </cell>
        </row>
        <row r="2765">
          <cell r="C2765" t="str">
            <v>511121194708266936</v>
          </cell>
          <cell r="D2765" t="str">
            <v>男</v>
          </cell>
          <cell r="E2765" t="str">
            <v>汉族</v>
          </cell>
          <cell r="F2765" t="str">
            <v>19470826</v>
          </cell>
          <cell r="G2765">
            <v>74</v>
          </cell>
          <cell r="H2765" t="str">
            <v>四川省仁寿县贵平镇中岗村13组</v>
          </cell>
          <cell r="I2765">
            <v>18089502434</v>
          </cell>
        </row>
        <row r="2766">
          <cell r="C2766" t="str">
            <v>511121195307056932</v>
          </cell>
          <cell r="D2766" t="str">
            <v>男</v>
          </cell>
          <cell r="E2766" t="str">
            <v>汉族</v>
          </cell>
          <cell r="F2766" t="str">
            <v>19530705</v>
          </cell>
          <cell r="G2766">
            <v>68</v>
          </cell>
          <cell r="H2766" t="str">
            <v>四川省仁寿县贵平镇中岗村13组</v>
          </cell>
          <cell r="I2766">
            <v>18048597269</v>
          </cell>
        </row>
        <row r="2767">
          <cell r="C2767" t="str">
            <v>511121195511266961</v>
          </cell>
          <cell r="D2767" t="str">
            <v>女</v>
          </cell>
          <cell r="E2767" t="str">
            <v>汉族</v>
          </cell>
          <cell r="F2767" t="str">
            <v>19551126</v>
          </cell>
          <cell r="G2767">
            <v>66</v>
          </cell>
          <cell r="H2767" t="str">
            <v>四川省仁寿县贵平镇中岗村13组</v>
          </cell>
          <cell r="I2767">
            <v>18040379269</v>
          </cell>
        </row>
        <row r="2768">
          <cell r="C2768" t="str">
            <v>511121195110296940</v>
          </cell>
          <cell r="D2768" t="str">
            <v>女</v>
          </cell>
          <cell r="E2768" t="str">
            <v>汉族</v>
          </cell>
          <cell r="F2768" t="str">
            <v>19511029</v>
          </cell>
          <cell r="G2768">
            <v>70</v>
          </cell>
          <cell r="H2768" t="str">
            <v>四川省仁寿县贵平镇中岗村13组</v>
          </cell>
          <cell r="I2768">
            <v>13086488957</v>
          </cell>
        </row>
        <row r="2769">
          <cell r="C2769" t="str">
            <v>511121195501266976</v>
          </cell>
          <cell r="D2769" t="str">
            <v>男</v>
          </cell>
          <cell r="E2769" t="str">
            <v>汉族</v>
          </cell>
          <cell r="F2769" t="str">
            <v>19550126</v>
          </cell>
          <cell r="G2769">
            <v>66</v>
          </cell>
          <cell r="H2769" t="str">
            <v>四川省仁寿县贵平镇中岗村13组</v>
          </cell>
          <cell r="I2769">
            <v>18482903006</v>
          </cell>
        </row>
        <row r="2770">
          <cell r="C2770" t="str">
            <v>511121194702076947</v>
          </cell>
          <cell r="D2770" t="str">
            <v>女</v>
          </cell>
          <cell r="E2770" t="str">
            <v>汉族</v>
          </cell>
          <cell r="F2770" t="str">
            <v>19470207</v>
          </cell>
          <cell r="G2770">
            <v>74</v>
          </cell>
          <cell r="H2770" t="str">
            <v>四川省仁寿县贵平镇中岗村13组</v>
          </cell>
          <cell r="I2770">
            <v>18123027858</v>
          </cell>
        </row>
        <row r="2771">
          <cell r="C2771" t="str">
            <v>511121195612286961</v>
          </cell>
          <cell r="D2771" t="str">
            <v>女</v>
          </cell>
          <cell r="E2771" t="str">
            <v>汉族</v>
          </cell>
          <cell r="F2771" t="str">
            <v>19561228</v>
          </cell>
          <cell r="G2771">
            <v>65</v>
          </cell>
          <cell r="H2771" t="str">
            <v>四川省仁寿县贵平镇中岗村13组</v>
          </cell>
          <cell r="I2771">
            <v>13219735349</v>
          </cell>
        </row>
        <row r="2772">
          <cell r="C2772" t="str">
            <v>511121198106146935</v>
          </cell>
          <cell r="D2772" t="str">
            <v>男</v>
          </cell>
          <cell r="E2772" t="str">
            <v>汉族</v>
          </cell>
          <cell r="F2772" t="str">
            <v>19810614</v>
          </cell>
          <cell r="G2772">
            <v>40</v>
          </cell>
          <cell r="H2772" t="str">
            <v>四川省仁寿县贵平镇中岗村13组</v>
          </cell>
          <cell r="I2772">
            <v>13438327566</v>
          </cell>
        </row>
        <row r="2773">
          <cell r="C2773" t="str">
            <v>511121194608036930</v>
          </cell>
          <cell r="D2773" t="str">
            <v>男</v>
          </cell>
          <cell r="E2773" t="str">
            <v>汉族</v>
          </cell>
          <cell r="F2773" t="str">
            <v>19460803</v>
          </cell>
          <cell r="G2773">
            <v>75</v>
          </cell>
          <cell r="H2773" t="str">
            <v>四川省仁寿县贵平镇中岗村13组</v>
          </cell>
          <cell r="I2773">
            <v>15821170362</v>
          </cell>
        </row>
        <row r="2774">
          <cell r="C2774" t="str">
            <v>511121195212306943</v>
          </cell>
          <cell r="D2774" t="str">
            <v>女</v>
          </cell>
          <cell r="E2774" t="str">
            <v>汉族</v>
          </cell>
          <cell r="F2774" t="str">
            <v>19521230</v>
          </cell>
          <cell r="G2774">
            <v>69</v>
          </cell>
          <cell r="H2774" t="str">
            <v>四川省仁寿县贵平镇中岗村13组</v>
          </cell>
          <cell r="I2774">
            <v>18089501947</v>
          </cell>
        </row>
        <row r="2775">
          <cell r="C2775" t="str">
            <v>511121194803166933</v>
          </cell>
          <cell r="D2775" t="str">
            <v>男</v>
          </cell>
          <cell r="E2775" t="str">
            <v>汉族</v>
          </cell>
          <cell r="F2775" t="str">
            <v>19480316</v>
          </cell>
          <cell r="G2775">
            <v>73</v>
          </cell>
          <cell r="H2775" t="str">
            <v>四川省仁寿县贵平镇中岗村13组</v>
          </cell>
          <cell r="I2775">
            <v>13890335552</v>
          </cell>
        </row>
        <row r="2776">
          <cell r="C2776" t="str">
            <v>511121194906116947</v>
          </cell>
          <cell r="D2776" t="str">
            <v>女</v>
          </cell>
          <cell r="E2776" t="str">
            <v>汉族</v>
          </cell>
          <cell r="F2776" t="str">
            <v>19490611</v>
          </cell>
          <cell r="G2776">
            <v>72</v>
          </cell>
          <cell r="H2776" t="str">
            <v>四川省仁寿县贵平镇中岗村13组</v>
          </cell>
          <cell r="I2776">
            <v>13320935822</v>
          </cell>
        </row>
        <row r="2777">
          <cell r="C2777" t="str">
            <v>511121197705136937</v>
          </cell>
          <cell r="D2777" t="str">
            <v>男</v>
          </cell>
          <cell r="E2777" t="str">
            <v>汉族</v>
          </cell>
          <cell r="F2777" t="str">
            <v>19770513</v>
          </cell>
          <cell r="G2777">
            <v>44</v>
          </cell>
          <cell r="H2777" t="str">
            <v>四川省仁寿县贵平镇中岗村13组</v>
          </cell>
          <cell r="I2777">
            <v>15118212943</v>
          </cell>
        </row>
        <row r="2778">
          <cell r="C2778" t="str">
            <v>511121197703096943</v>
          </cell>
          <cell r="D2778" t="str">
            <v>女</v>
          </cell>
          <cell r="E2778" t="str">
            <v>汉族</v>
          </cell>
          <cell r="F2778" t="str">
            <v>19770309</v>
          </cell>
          <cell r="G2778">
            <v>44</v>
          </cell>
          <cell r="H2778" t="str">
            <v>四川省仁寿县贵平镇中岗村13组</v>
          </cell>
          <cell r="I2778">
            <v>13416839176</v>
          </cell>
        </row>
        <row r="2779">
          <cell r="C2779" t="str">
            <v>513822199901286946</v>
          </cell>
          <cell r="D2779" t="str">
            <v>女</v>
          </cell>
          <cell r="E2779" t="str">
            <v>汉族</v>
          </cell>
          <cell r="F2779" t="str">
            <v>19990128</v>
          </cell>
          <cell r="G2779">
            <v>22</v>
          </cell>
          <cell r="H2779" t="str">
            <v>四川省仁寿县贵平镇中岗村13组</v>
          </cell>
          <cell r="I2779">
            <v>15283796536</v>
          </cell>
        </row>
        <row r="2780">
          <cell r="C2780" t="str">
            <v>511421199911096791</v>
          </cell>
          <cell r="D2780" t="str">
            <v>男</v>
          </cell>
          <cell r="E2780" t="str">
            <v>汉族</v>
          </cell>
          <cell r="F2780" t="str">
            <v>19991109</v>
          </cell>
          <cell r="G2780">
            <v>22</v>
          </cell>
          <cell r="H2780" t="str">
            <v>四川省仁寿县贵平镇中岗村13组</v>
          </cell>
          <cell r="I2780">
            <v>18783323739</v>
          </cell>
        </row>
        <row r="2781">
          <cell r="C2781" t="str">
            <v>511121197302106936</v>
          </cell>
          <cell r="D2781" t="str">
            <v>男</v>
          </cell>
          <cell r="E2781" t="str">
            <v>汉族</v>
          </cell>
          <cell r="F2781" t="str">
            <v>19730210</v>
          </cell>
          <cell r="G2781">
            <v>48</v>
          </cell>
          <cell r="H2781" t="str">
            <v>四川省仁寿县贵平镇中岗村13组</v>
          </cell>
          <cell r="I2781">
            <v>18381073949</v>
          </cell>
        </row>
        <row r="2782">
          <cell r="C2782" t="str">
            <v>511027197102054425</v>
          </cell>
          <cell r="D2782" t="str">
            <v>女</v>
          </cell>
          <cell r="E2782" t="str">
            <v>汉族</v>
          </cell>
          <cell r="F2782" t="str">
            <v>19710205</v>
          </cell>
          <cell r="G2782">
            <v>50</v>
          </cell>
          <cell r="H2782" t="str">
            <v>四川省仁寿县贵平镇中岗村13组</v>
          </cell>
          <cell r="I2782">
            <v>18227679924</v>
          </cell>
        </row>
        <row r="2783">
          <cell r="C2783" t="str">
            <v>513822200305226694</v>
          </cell>
          <cell r="D2783" t="str">
            <v>男</v>
          </cell>
          <cell r="E2783" t="str">
            <v>汉族</v>
          </cell>
          <cell r="F2783" t="str">
            <v>20030522</v>
          </cell>
          <cell r="G2783">
            <v>18</v>
          </cell>
          <cell r="H2783" t="str">
            <v>四川省仁寿县贵平镇中岗村13组</v>
          </cell>
          <cell r="I2783">
            <v>15884422867</v>
          </cell>
        </row>
        <row r="2784">
          <cell r="C2784" t="str">
            <v>511121197102096956</v>
          </cell>
          <cell r="D2784" t="str">
            <v>男</v>
          </cell>
          <cell r="E2784" t="str">
            <v>汉族</v>
          </cell>
          <cell r="F2784" t="str">
            <v>19710209</v>
          </cell>
          <cell r="G2784">
            <v>50</v>
          </cell>
          <cell r="H2784" t="str">
            <v>四川省仁寿县贵平镇中岗村13组</v>
          </cell>
          <cell r="I2784">
            <v>15208174256</v>
          </cell>
        </row>
        <row r="2785">
          <cell r="C2785" t="str">
            <v>511121197304126922</v>
          </cell>
          <cell r="D2785" t="str">
            <v>女</v>
          </cell>
          <cell r="E2785" t="str">
            <v>汉族</v>
          </cell>
          <cell r="F2785" t="str">
            <v>19730412</v>
          </cell>
          <cell r="G2785">
            <v>48</v>
          </cell>
          <cell r="H2785" t="str">
            <v>四川省仁寿县贵平镇中岗村13组</v>
          </cell>
          <cell r="I2785">
            <v>13541001738</v>
          </cell>
        </row>
        <row r="2786">
          <cell r="C2786" t="str">
            <v>513822199411186942</v>
          </cell>
          <cell r="D2786" t="str">
            <v>女</v>
          </cell>
          <cell r="E2786" t="str">
            <v>汉族</v>
          </cell>
          <cell r="F2786" t="str">
            <v>19941118</v>
          </cell>
          <cell r="G2786">
            <v>27</v>
          </cell>
          <cell r="H2786" t="str">
            <v>四川省仁寿县贵平镇中岗村13组</v>
          </cell>
          <cell r="I2786">
            <v>17828113607</v>
          </cell>
        </row>
        <row r="2787">
          <cell r="C2787" t="str">
            <v>513822199306276938</v>
          </cell>
          <cell r="D2787" t="str">
            <v>男</v>
          </cell>
          <cell r="E2787" t="str">
            <v>汉族</v>
          </cell>
          <cell r="F2787" t="str">
            <v>19930627</v>
          </cell>
          <cell r="G2787">
            <v>28</v>
          </cell>
          <cell r="H2787" t="str">
            <v>四川省仁寿县贵平镇中岗村13组</v>
          </cell>
          <cell r="I2787">
            <v>13541008573</v>
          </cell>
        </row>
        <row r="2788">
          <cell r="C2788" t="str">
            <v>511121197211046931</v>
          </cell>
          <cell r="D2788" t="str">
            <v>男</v>
          </cell>
          <cell r="E2788" t="str">
            <v>汉族</v>
          </cell>
          <cell r="F2788" t="str">
            <v>19721104</v>
          </cell>
          <cell r="G2788">
            <v>49</v>
          </cell>
          <cell r="H2788" t="str">
            <v>四川省仁寿县贵平镇中岗村13组</v>
          </cell>
          <cell r="I2788">
            <v>13658012404</v>
          </cell>
        </row>
        <row r="2789">
          <cell r="C2789" t="str">
            <v>51382220010504671X</v>
          </cell>
          <cell r="D2789" t="str">
            <v>男</v>
          </cell>
          <cell r="E2789" t="str">
            <v>汉族</v>
          </cell>
          <cell r="F2789" t="str">
            <v>20010504</v>
          </cell>
          <cell r="G2789">
            <v>20</v>
          </cell>
          <cell r="H2789" t="str">
            <v>四川省仁寿县贵平镇中岗村13组</v>
          </cell>
          <cell r="I2789">
            <v>17360685738</v>
          </cell>
        </row>
        <row r="2790">
          <cell r="C2790" t="str">
            <v>511121194302266979</v>
          </cell>
          <cell r="D2790" t="str">
            <v>男</v>
          </cell>
          <cell r="E2790" t="str">
            <v>汉族</v>
          </cell>
          <cell r="F2790" t="str">
            <v>19430226</v>
          </cell>
          <cell r="G2790">
            <v>78</v>
          </cell>
          <cell r="H2790" t="str">
            <v>四川省仁寿县贵平镇中岗村13组</v>
          </cell>
          <cell r="I2790">
            <v>13056613505</v>
          </cell>
        </row>
        <row r="2791">
          <cell r="C2791" t="str">
            <v>511121194603106944</v>
          </cell>
          <cell r="D2791" t="str">
            <v>女</v>
          </cell>
          <cell r="E2791" t="str">
            <v>汉族</v>
          </cell>
          <cell r="F2791" t="str">
            <v>19460310</v>
          </cell>
          <cell r="G2791">
            <v>75</v>
          </cell>
          <cell r="H2791" t="str">
            <v>四川省仁寿县贵平镇中岗村13组</v>
          </cell>
        </row>
        <row r="2792">
          <cell r="C2792" t="str">
            <v>511121198108136933</v>
          </cell>
          <cell r="D2792" t="str">
            <v>男</v>
          </cell>
          <cell r="E2792" t="str">
            <v>汉族</v>
          </cell>
          <cell r="F2792" t="str">
            <v>19810813</v>
          </cell>
          <cell r="G2792">
            <v>40</v>
          </cell>
          <cell r="H2792" t="str">
            <v>四川省仁寿县贵平镇中岗村13组</v>
          </cell>
          <cell r="I2792">
            <v>15169440906</v>
          </cell>
        </row>
        <row r="2793">
          <cell r="C2793" t="str">
            <v>511121197009046938</v>
          </cell>
          <cell r="D2793" t="str">
            <v>男</v>
          </cell>
          <cell r="E2793" t="str">
            <v>汉族</v>
          </cell>
          <cell r="F2793" t="str">
            <v>19700904</v>
          </cell>
          <cell r="G2793">
            <v>51</v>
          </cell>
          <cell r="H2793" t="str">
            <v>四川省仁寿县贵平镇中岗村13组</v>
          </cell>
          <cell r="I2793">
            <v>15821170362</v>
          </cell>
        </row>
        <row r="2794">
          <cell r="C2794" t="str">
            <v>511121196902076940</v>
          </cell>
          <cell r="D2794" t="str">
            <v>女</v>
          </cell>
          <cell r="E2794" t="str">
            <v>汉族</v>
          </cell>
          <cell r="F2794" t="str">
            <v>19690207</v>
          </cell>
          <cell r="G2794">
            <v>52</v>
          </cell>
          <cell r="H2794" t="str">
            <v>四川省仁寿县贵平镇中岗村13组</v>
          </cell>
          <cell r="I2794">
            <v>15601533408</v>
          </cell>
        </row>
        <row r="2795">
          <cell r="C2795" t="str">
            <v>513822199307236938</v>
          </cell>
          <cell r="D2795" t="str">
            <v>男</v>
          </cell>
          <cell r="E2795" t="str">
            <v>汉族</v>
          </cell>
          <cell r="F2795" t="str">
            <v>19930723</v>
          </cell>
          <cell r="G2795">
            <v>28</v>
          </cell>
          <cell r="H2795" t="str">
            <v>四川省仁寿县贵平镇中岗村13组</v>
          </cell>
          <cell r="I2795">
            <v>15528329958</v>
          </cell>
        </row>
        <row r="2796">
          <cell r="C2796" t="str">
            <v>513434199612074828</v>
          </cell>
          <cell r="D2796" t="str">
            <v>女</v>
          </cell>
          <cell r="E2796" t="str">
            <v>彝族</v>
          </cell>
          <cell r="F2796" t="str">
            <v>19961207</v>
          </cell>
          <cell r="G2796">
            <v>25</v>
          </cell>
          <cell r="H2796" t="str">
            <v>四川省仁寿县贵平镇中岗村13组</v>
          </cell>
          <cell r="I2796">
            <v>15528393870</v>
          </cell>
        </row>
        <row r="2797">
          <cell r="C2797" t="str">
            <v>511421201112216857</v>
          </cell>
          <cell r="D2797" t="str">
            <v>男</v>
          </cell>
          <cell r="E2797" t="str">
            <v>汉族</v>
          </cell>
          <cell r="F2797" t="str">
            <v>20111221</v>
          </cell>
          <cell r="G2797">
            <v>10</v>
          </cell>
          <cell r="H2797" t="str">
            <v>四川省仁寿县贵平镇中岗村13组</v>
          </cell>
        </row>
        <row r="2798">
          <cell r="C2798" t="str">
            <v>511421201904060301</v>
          </cell>
          <cell r="D2798" t="str">
            <v>女</v>
          </cell>
          <cell r="E2798" t="str">
            <v>汉族</v>
          </cell>
          <cell r="F2798" t="str">
            <v>20190406</v>
          </cell>
          <cell r="G2798">
            <v>2</v>
          </cell>
          <cell r="H2798" t="str">
            <v>四川省仁寿县贵平镇中岗村13组</v>
          </cell>
        </row>
        <row r="2799">
          <cell r="C2799" t="str">
            <v>513822199408016942</v>
          </cell>
          <cell r="D2799" t="str">
            <v>女</v>
          </cell>
          <cell r="E2799" t="str">
            <v>汉族</v>
          </cell>
          <cell r="F2799" t="str">
            <v>19940801</v>
          </cell>
          <cell r="G2799">
            <v>27</v>
          </cell>
          <cell r="H2799" t="str">
            <v>四川省仁寿县贵平镇中岗村13组</v>
          </cell>
          <cell r="I2799">
            <v>15928403126</v>
          </cell>
        </row>
        <row r="2800">
          <cell r="C2800" t="str">
            <v>511421199912096769</v>
          </cell>
          <cell r="D2800" t="str">
            <v>女</v>
          </cell>
          <cell r="E2800" t="str">
            <v>汉族</v>
          </cell>
          <cell r="F2800" t="str">
            <v>19991209</v>
          </cell>
          <cell r="G2800">
            <v>22</v>
          </cell>
          <cell r="H2800" t="str">
            <v>四川省仁寿县贵平镇中岗村13组</v>
          </cell>
          <cell r="I2800">
            <v>18381182352</v>
          </cell>
        </row>
        <row r="2801">
          <cell r="C2801" t="str">
            <v>511121196807126938</v>
          </cell>
          <cell r="D2801" t="str">
            <v>男</v>
          </cell>
          <cell r="E2801" t="str">
            <v>汉族</v>
          </cell>
          <cell r="F2801" t="str">
            <v>19680712</v>
          </cell>
          <cell r="G2801">
            <v>53</v>
          </cell>
          <cell r="H2801" t="str">
            <v>四川省仁寿县贵平镇中岗村13组</v>
          </cell>
          <cell r="I2801">
            <v>13540464691</v>
          </cell>
        </row>
        <row r="2802">
          <cell r="C2802" t="str">
            <v>513026197407114025</v>
          </cell>
          <cell r="D2802" t="str">
            <v>女</v>
          </cell>
          <cell r="E2802" t="str">
            <v>汉族</v>
          </cell>
          <cell r="F2802" t="str">
            <v>19740711</v>
          </cell>
          <cell r="G2802">
            <v>47</v>
          </cell>
          <cell r="H2802" t="str">
            <v>四川省仁寿县贵平镇中岗村13组</v>
          </cell>
          <cell r="I2802">
            <v>17381244363</v>
          </cell>
        </row>
        <row r="2803">
          <cell r="C2803" t="str">
            <v>513822200006226942</v>
          </cell>
          <cell r="D2803" t="str">
            <v>女</v>
          </cell>
          <cell r="E2803" t="str">
            <v>汉族</v>
          </cell>
          <cell r="F2803" t="str">
            <v>20000622</v>
          </cell>
          <cell r="G2803">
            <v>21</v>
          </cell>
          <cell r="H2803" t="str">
            <v>四川省仁寿县贵平镇中岗村13组</v>
          </cell>
          <cell r="I2803">
            <v>18227845490</v>
          </cell>
        </row>
        <row r="2804">
          <cell r="C2804" t="str">
            <v>513822199810066956</v>
          </cell>
          <cell r="D2804" t="str">
            <v>男</v>
          </cell>
          <cell r="E2804" t="str">
            <v>汉族</v>
          </cell>
          <cell r="F2804" t="str">
            <v>19981006</v>
          </cell>
          <cell r="G2804">
            <v>23</v>
          </cell>
          <cell r="H2804" t="str">
            <v>四川省仁寿县贵平镇中岗村13组</v>
          </cell>
          <cell r="I2804">
            <v>17381244363</v>
          </cell>
        </row>
        <row r="2805">
          <cell r="C2805" t="str">
            <v>511121194811166933</v>
          </cell>
          <cell r="D2805" t="str">
            <v>男</v>
          </cell>
          <cell r="E2805" t="str">
            <v>汉族</v>
          </cell>
          <cell r="F2805" t="str">
            <v>19481116</v>
          </cell>
          <cell r="G2805">
            <v>73</v>
          </cell>
          <cell r="H2805" t="str">
            <v>四川省仁寿县贵平镇中岗村13组</v>
          </cell>
          <cell r="I2805">
            <v>15378645103</v>
          </cell>
        </row>
        <row r="2806">
          <cell r="C2806" t="str">
            <v>511121194602196941</v>
          </cell>
          <cell r="D2806" t="str">
            <v>女</v>
          </cell>
          <cell r="E2806" t="str">
            <v>汉族</v>
          </cell>
          <cell r="F2806" t="str">
            <v>19460219</v>
          </cell>
          <cell r="G2806">
            <v>75</v>
          </cell>
          <cell r="H2806" t="str">
            <v>四川省仁寿县贵平镇中岗村13组</v>
          </cell>
        </row>
        <row r="2807">
          <cell r="C2807" t="str">
            <v>511121197404196936</v>
          </cell>
          <cell r="D2807" t="str">
            <v>男</v>
          </cell>
          <cell r="E2807" t="str">
            <v>汉族</v>
          </cell>
          <cell r="F2807" t="str">
            <v>19740419</v>
          </cell>
          <cell r="G2807">
            <v>47</v>
          </cell>
          <cell r="H2807" t="str">
            <v>四川省仁寿县贵平镇中岗村13组</v>
          </cell>
          <cell r="I2807">
            <v>13688354978</v>
          </cell>
        </row>
        <row r="2808">
          <cell r="C2808" t="str">
            <v>511121197509077028</v>
          </cell>
          <cell r="D2808" t="str">
            <v>女</v>
          </cell>
          <cell r="E2808" t="str">
            <v>汉族</v>
          </cell>
          <cell r="F2808" t="str">
            <v>19750907</v>
          </cell>
          <cell r="G2808">
            <v>46</v>
          </cell>
          <cell r="H2808" t="str">
            <v>四川省仁寿县贵平镇中岗村13组</v>
          </cell>
          <cell r="I2808">
            <v>18080430996</v>
          </cell>
        </row>
        <row r="2809">
          <cell r="C2809" t="str">
            <v>513822199712086937</v>
          </cell>
          <cell r="D2809" t="str">
            <v>男</v>
          </cell>
          <cell r="E2809" t="str">
            <v>汉族</v>
          </cell>
          <cell r="F2809" t="str">
            <v>19971208</v>
          </cell>
          <cell r="G2809">
            <v>24</v>
          </cell>
          <cell r="H2809" t="str">
            <v>四川省仁寿县贵平镇中岗村13组</v>
          </cell>
          <cell r="I2809">
            <v>13258350536</v>
          </cell>
        </row>
        <row r="2810">
          <cell r="C2810" t="str">
            <v>511121197702046944</v>
          </cell>
          <cell r="D2810" t="str">
            <v>女</v>
          </cell>
          <cell r="E2810" t="str">
            <v>汉族</v>
          </cell>
          <cell r="F2810" t="str">
            <v>19770204</v>
          </cell>
          <cell r="G2810">
            <v>44</v>
          </cell>
          <cell r="H2810" t="str">
            <v>四川省仁寿县贵平镇中岗村13组</v>
          </cell>
          <cell r="I2810">
            <v>13929688889</v>
          </cell>
        </row>
        <row r="2811">
          <cell r="C2811" t="str">
            <v>511121198103126947</v>
          </cell>
          <cell r="D2811" t="str">
            <v>女</v>
          </cell>
          <cell r="E2811" t="str">
            <v>汉族</v>
          </cell>
          <cell r="F2811" t="str">
            <v>19810312</v>
          </cell>
          <cell r="G2811">
            <v>40</v>
          </cell>
          <cell r="H2811" t="str">
            <v>四川省仁寿县贵平镇中岗村13组</v>
          </cell>
          <cell r="I2811">
            <v>18982113940</v>
          </cell>
        </row>
        <row r="2812">
          <cell r="C2812" t="str">
            <v>511421201002187071</v>
          </cell>
          <cell r="D2812" t="str">
            <v>男</v>
          </cell>
          <cell r="E2812" t="str">
            <v>汉族</v>
          </cell>
          <cell r="F2812" t="str">
            <v>20100218</v>
          </cell>
          <cell r="G2812">
            <v>11</v>
          </cell>
          <cell r="H2812" t="str">
            <v>四川省仁寿县贵平镇中岗村13组</v>
          </cell>
          <cell r="I2812">
            <v>18982113940</v>
          </cell>
        </row>
        <row r="2813">
          <cell r="C2813" t="str">
            <v>513822198304036936</v>
          </cell>
          <cell r="D2813" t="str">
            <v>男</v>
          </cell>
          <cell r="E2813" t="str">
            <v>汉族</v>
          </cell>
          <cell r="F2813" t="str">
            <v>19830403</v>
          </cell>
          <cell r="G2813">
            <v>38</v>
          </cell>
          <cell r="H2813" t="str">
            <v>四川省仁寿县贵平镇中岗村13组</v>
          </cell>
          <cell r="I2813">
            <v>13882285613</v>
          </cell>
        </row>
        <row r="2814">
          <cell r="C2814" t="str">
            <v>511421201504246852</v>
          </cell>
          <cell r="D2814" t="str">
            <v>男</v>
          </cell>
          <cell r="E2814" t="str">
            <v>汉族</v>
          </cell>
          <cell r="F2814" t="str">
            <v>20150424</v>
          </cell>
          <cell r="G2814">
            <v>6</v>
          </cell>
          <cell r="H2814" t="str">
            <v>四川省仁寿县贵平镇中岗村13组</v>
          </cell>
        </row>
        <row r="2815">
          <cell r="C2815" t="str">
            <v>511121195205086938</v>
          </cell>
          <cell r="D2815" t="str">
            <v>男</v>
          </cell>
          <cell r="E2815" t="str">
            <v>汉族</v>
          </cell>
          <cell r="F2815" t="str">
            <v>19520508</v>
          </cell>
          <cell r="G2815">
            <v>69</v>
          </cell>
          <cell r="H2815" t="str">
            <v>四川省仁寿县贵平镇中岗村13组</v>
          </cell>
          <cell r="I2815">
            <v>15378335075</v>
          </cell>
        </row>
        <row r="2816">
          <cell r="C2816" t="str">
            <v>511121198008086940</v>
          </cell>
          <cell r="D2816" t="str">
            <v>女</v>
          </cell>
          <cell r="E2816" t="str">
            <v>汉族</v>
          </cell>
          <cell r="F2816" t="str">
            <v>19800808</v>
          </cell>
          <cell r="G2816">
            <v>41</v>
          </cell>
          <cell r="H2816" t="str">
            <v>四川省仁寿县贵平镇中岗村13组</v>
          </cell>
          <cell r="I2816">
            <v>15881070104</v>
          </cell>
        </row>
        <row r="2817">
          <cell r="C2817" t="str">
            <v>513822199512126930</v>
          </cell>
          <cell r="D2817" t="str">
            <v>男</v>
          </cell>
          <cell r="E2817" t="str">
            <v>汉族</v>
          </cell>
          <cell r="F2817" t="str">
            <v>19951212</v>
          </cell>
          <cell r="G2817">
            <v>26</v>
          </cell>
          <cell r="H2817" t="str">
            <v>四川省仁寿县贵平镇中岗村13组</v>
          </cell>
          <cell r="I2817">
            <v>13981781095</v>
          </cell>
        </row>
        <row r="2818">
          <cell r="C2818" t="str">
            <v>511121197006066933</v>
          </cell>
          <cell r="D2818" t="str">
            <v>男</v>
          </cell>
          <cell r="E2818" t="str">
            <v>汉族</v>
          </cell>
          <cell r="F2818" t="str">
            <v>19700606</v>
          </cell>
          <cell r="G2818">
            <v>51</v>
          </cell>
          <cell r="H2818" t="str">
            <v>四川省仁寿县贵平镇中岗村13组</v>
          </cell>
          <cell r="I2818">
            <v>15991875642</v>
          </cell>
        </row>
        <row r="2819">
          <cell r="C2819" t="str">
            <v>513822200110056760</v>
          </cell>
          <cell r="D2819" t="str">
            <v>女</v>
          </cell>
          <cell r="E2819" t="str">
            <v>汉族</v>
          </cell>
          <cell r="F2819" t="str">
            <v>20011005</v>
          </cell>
          <cell r="G2819">
            <v>20</v>
          </cell>
          <cell r="H2819" t="str">
            <v>四川省仁寿县贵平镇中岗村13组</v>
          </cell>
          <cell r="I2819">
            <v>18398697251</v>
          </cell>
        </row>
        <row r="2820">
          <cell r="C2820" t="str">
            <v>511121197505108843</v>
          </cell>
          <cell r="D2820" t="str">
            <v>女</v>
          </cell>
          <cell r="E2820" t="str">
            <v>汉族</v>
          </cell>
          <cell r="F2820" t="str">
            <v>19750510</v>
          </cell>
          <cell r="G2820">
            <v>46</v>
          </cell>
          <cell r="H2820" t="str">
            <v>四川省仁寿县贵平镇中岗村13组</v>
          </cell>
          <cell r="I2820">
            <v>13548231984</v>
          </cell>
        </row>
        <row r="2821">
          <cell r="C2821" t="str">
            <v>511121196704146936</v>
          </cell>
          <cell r="D2821" t="str">
            <v>男</v>
          </cell>
          <cell r="E2821" t="str">
            <v>汉族</v>
          </cell>
          <cell r="F2821" t="str">
            <v>19670414</v>
          </cell>
          <cell r="G2821">
            <v>54</v>
          </cell>
          <cell r="H2821" t="str">
            <v>四川省仁寿县贵平镇中岗村13组</v>
          </cell>
          <cell r="I2821">
            <v>13628911656</v>
          </cell>
        </row>
        <row r="2822">
          <cell r="C2822" t="str">
            <v>511121196311156949</v>
          </cell>
          <cell r="D2822" t="str">
            <v>女</v>
          </cell>
          <cell r="E2822" t="str">
            <v>汉族</v>
          </cell>
          <cell r="F2822" t="str">
            <v>19631115</v>
          </cell>
          <cell r="G2822">
            <v>58</v>
          </cell>
          <cell r="H2822" t="str">
            <v>四川省仁寿县贵平镇中岗村13组</v>
          </cell>
        </row>
        <row r="2823">
          <cell r="C2823" t="str">
            <v>513822198812066939</v>
          </cell>
          <cell r="D2823" t="str">
            <v>男</v>
          </cell>
          <cell r="E2823" t="str">
            <v>汉族</v>
          </cell>
          <cell r="F2823" t="str">
            <v>19881206</v>
          </cell>
          <cell r="G2823">
            <v>33</v>
          </cell>
          <cell r="H2823" t="str">
            <v>四川省仁寿县贵平镇中岗村13组</v>
          </cell>
          <cell r="I2823">
            <v>15378330450</v>
          </cell>
        </row>
        <row r="2824">
          <cell r="C2824" t="str">
            <v>51382219920304814X</v>
          </cell>
          <cell r="D2824" t="str">
            <v>女</v>
          </cell>
          <cell r="E2824" t="str">
            <v>汉族</v>
          </cell>
          <cell r="F2824" t="str">
            <v>19920304</v>
          </cell>
          <cell r="G2824">
            <v>29</v>
          </cell>
          <cell r="H2824" t="str">
            <v>四川省仁寿县贵平镇中岗村13组</v>
          </cell>
          <cell r="I2824">
            <v>15378330450</v>
          </cell>
        </row>
        <row r="2825">
          <cell r="C2825" t="str">
            <v>511421201706060052</v>
          </cell>
          <cell r="D2825" t="str">
            <v>男</v>
          </cell>
          <cell r="E2825" t="str">
            <v>汉族</v>
          </cell>
          <cell r="F2825" t="str">
            <v>20170606</v>
          </cell>
          <cell r="G2825">
            <v>4</v>
          </cell>
          <cell r="H2825" t="str">
            <v>四川省仁寿县贵平镇中岗村13组</v>
          </cell>
        </row>
        <row r="2826">
          <cell r="C2826" t="str">
            <v>511421201904070067</v>
          </cell>
          <cell r="D2826" t="str">
            <v>女</v>
          </cell>
          <cell r="E2826" t="str">
            <v>汉族</v>
          </cell>
          <cell r="F2826" t="str">
            <v>20190407</v>
          </cell>
          <cell r="G2826">
            <v>2</v>
          </cell>
          <cell r="H2826" t="str">
            <v>四川省仁寿县贵平镇中岗村13组</v>
          </cell>
        </row>
        <row r="2827">
          <cell r="C2827" t="str">
            <v>511121197810266936</v>
          </cell>
          <cell r="D2827" t="str">
            <v>男</v>
          </cell>
          <cell r="E2827" t="str">
            <v>汉族</v>
          </cell>
          <cell r="F2827" t="str">
            <v>19781026</v>
          </cell>
          <cell r="G2827">
            <v>43</v>
          </cell>
          <cell r="H2827" t="str">
            <v>四川省仁寿县贵平镇中岗村13组</v>
          </cell>
          <cell r="I2827">
            <v>15108214444</v>
          </cell>
        </row>
        <row r="2828">
          <cell r="C2828" t="str">
            <v>511421201207216999</v>
          </cell>
          <cell r="D2828" t="str">
            <v>男</v>
          </cell>
          <cell r="E2828" t="str">
            <v>汉族</v>
          </cell>
          <cell r="F2828" t="str">
            <v>20120721</v>
          </cell>
          <cell r="G2828">
            <v>9</v>
          </cell>
          <cell r="H2828" t="str">
            <v>四川省仁寿县贵平镇中岗村13组</v>
          </cell>
        </row>
        <row r="2829">
          <cell r="C2829" t="str">
            <v>511121194410046949</v>
          </cell>
          <cell r="D2829" t="str">
            <v>女</v>
          </cell>
          <cell r="E2829" t="str">
            <v>汉族</v>
          </cell>
          <cell r="F2829" t="str">
            <v>19441004</v>
          </cell>
          <cell r="G2829">
            <v>77</v>
          </cell>
          <cell r="H2829" t="str">
            <v>四川省仁寿县贵平镇中岗村13组</v>
          </cell>
        </row>
        <row r="2830">
          <cell r="C2830" t="str">
            <v>513822199007296947</v>
          </cell>
          <cell r="D2830" t="str">
            <v>女</v>
          </cell>
          <cell r="E2830" t="str">
            <v>汉族</v>
          </cell>
          <cell r="F2830" t="str">
            <v>19900729</v>
          </cell>
          <cell r="G2830">
            <v>31</v>
          </cell>
          <cell r="H2830" t="str">
            <v>四川省仁寿县贵平镇中岗村13组</v>
          </cell>
          <cell r="I2830">
            <v>15208311913</v>
          </cell>
        </row>
        <row r="2831">
          <cell r="C2831" t="str">
            <v>511421201601156859</v>
          </cell>
          <cell r="D2831" t="str">
            <v>男</v>
          </cell>
          <cell r="E2831" t="str">
            <v>汉族</v>
          </cell>
          <cell r="F2831" t="str">
            <v>20160115</v>
          </cell>
          <cell r="G2831">
            <v>5</v>
          </cell>
          <cell r="H2831" t="str">
            <v>四川省仁寿县贵平镇中岗村13组</v>
          </cell>
        </row>
        <row r="2832">
          <cell r="C2832" t="str">
            <v>511121196601276957</v>
          </cell>
          <cell r="D2832" t="str">
            <v>男</v>
          </cell>
          <cell r="E2832" t="str">
            <v>汉族</v>
          </cell>
          <cell r="F2832" t="str">
            <v>19660127</v>
          </cell>
          <cell r="G2832">
            <v>55</v>
          </cell>
          <cell r="H2832" t="str">
            <v>四川省仁寿县贵平镇中岗村13组</v>
          </cell>
          <cell r="I2832">
            <v>13890338389</v>
          </cell>
        </row>
        <row r="2833">
          <cell r="C2833" t="str">
            <v>511121197105306947</v>
          </cell>
          <cell r="D2833" t="str">
            <v>女</v>
          </cell>
          <cell r="E2833" t="str">
            <v>汉族</v>
          </cell>
          <cell r="F2833" t="str">
            <v>19710530</v>
          </cell>
          <cell r="G2833">
            <v>50</v>
          </cell>
          <cell r="H2833" t="str">
            <v>四川省仁寿县贵平镇中岗村13组</v>
          </cell>
          <cell r="I2833">
            <v>13550514883</v>
          </cell>
        </row>
        <row r="2834">
          <cell r="C2834" t="str">
            <v>513822199511166965</v>
          </cell>
          <cell r="D2834" t="str">
            <v>女</v>
          </cell>
          <cell r="E2834" t="str">
            <v>汉族</v>
          </cell>
          <cell r="F2834" t="str">
            <v>19951116</v>
          </cell>
          <cell r="G2834">
            <v>26</v>
          </cell>
          <cell r="H2834" t="str">
            <v>四川省仁寿县贵平镇中岗村13组</v>
          </cell>
        </row>
        <row r="2835">
          <cell r="C2835" t="str">
            <v>511421201708230545</v>
          </cell>
          <cell r="D2835" t="str">
            <v>女</v>
          </cell>
          <cell r="E2835" t="str">
            <v>汉族</v>
          </cell>
          <cell r="F2835" t="str">
            <v>20170823</v>
          </cell>
          <cell r="G2835">
            <v>4</v>
          </cell>
          <cell r="H2835" t="str">
            <v>四川省仁寿县贵平镇中岗村13组</v>
          </cell>
          <cell r="I2835">
            <v>18858300344</v>
          </cell>
        </row>
        <row r="2836">
          <cell r="C2836" t="str">
            <v>511121196606236962</v>
          </cell>
          <cell r="D2836" t="str">
            <v>女</v>
          </cell>
          <cell r="E2836" t="str">
            <v>汉族</v>
          </cell>
          <cell r="F2836" t="str">
            <v>19660623</v>
          </cell>
          <cell r="G2836">
            <v>55</v>
          </cell>
          <cell r="H2836" t="str">
            <v>四川省仁寿县贵平镇中岗村13组</v>
          </cell>
          <cell r="I2836">
            <v>13882141317</v>
          </cell>
        </row>
        <row r="2837">
          <cell r="C2837" t="str">
            <v>511421201709280034</v>
          </cell>
          <cell r="D2837" t="str">
            <v>男</v>
          </cell>
          <cell r="E2837" t="str">
            <v>汉族</v>
          </cell>
          <cell r="F2837" t="str">
            <v>20170928</v>
          </cell>
          <cell r="G2837">
            <v>4</v>
          </cell>
          <cell r="H2837" t="str">
            <v>四川省仁寿县贵平镇中岗村13组</v>
          </cell>
        </row>
        <row r="2838">
          <cell r="C2838" t="str">
            <v>513822198808226936</v>
          </cell>
          <cell r="D2838" t="str">
            <v>男</v>
          </cell>
          <cell r="E2838" t="str">
            <v>汉族</v>
          </cell>
          <cell r="F2838" t="str">
            <v>19880822</v>
          </cell>
          <cell r="G2838">
            <v>33</v>
          </cell>
          <cell r="H2838" t="str">
            <v>四川省仁寿县贵平镇中岗村13组</v>
          </cell>
          <cell r="I2838">
            <v>15982393443</v>
          </cell>
        </row>
        <row r="2839">
          <cell r="C2839" t="str">
            <v>511121194507106936</v>
          </cell>
          <cell r="D2839" t="str">
            <v>男</v>
          </cell>
          <cell r="E2839" t="str">
            <v>汉族</v>
          </cell>
          <cell r="F2839" t="str">
            <v>19450710</v>
          </cell>
          <cell r="G2839">
            <v>76</v>
          </cell>
          <cell r="H2839" t="str">
            <v>四川省仁寿县贵平镇中岗村13组</v>
          </cell>
          <cell r="I2839">
            <v>18089501924</v>
          </cell>
        </row>
        <row r="2840">
          <cell r="C2840" t="str">
            <v>511121194610266946</v>
          </cell>
          <cell r="D2840" t="str">
            <v>女</v>
          </cell>
          <cell r="E2840" t="str">
            <v>汉族</v>
          </cell>
          <cell r="F2840" t="str">
            <v>19461026</v>
          </cell>
          <cell r="G2840">
            <v>75</v>
          </cell>
          <cell r="H2840" t="str">
            <v>四川省仁寿县贵平镇中岗村13组</v>
          </cell>
        </row>
        <row r="2841">
          <cell r="C2841" t="str">
            <v>511121197704046948</v>
          </cell>
          <cell r="D2841" t="str">
            <v>女</v>
          </cell>
          <cell r="E2841" t="str">
            <v>汉族</v>
          </cell>
          <cell r="F2841" t="str">
            <v>19770404</v>
          </cell>
          <cell r="G2841">
            <v>44</v>
          </cell>
          <cell r="H2841" t="str">
            <v>四川省仁寿县贵平镇中岗村13组</v>
          </cell>
        </row>
        <row r="2842">
          <cell r="C2842" t="str">
            <v>511421201601276850</v>
          </cell>
          <cell r="D2842" t="str">
            <v>男</v>
          </cell>
          <cell r="E2842" t="str">
            <v>汉族</v>
          </cell>
          <cell r="F2842" t="str">
            <v>20160127</v>
          </cell>
          <cell r="G2842">
            <v>5</v>
          </cell>
          <cell r="H2842" t="str">
            <v>四川省仁寿县贵平镇中岗村13组</v>
          </cell>
        </row>
        <row r="2843">
          <cell r="C2843" t="str">
            <v>511121195602146949</v>
          </cell>
          <cell r="D2843" t="str">
            <v>女</v>
          </cell>
          <cell r="E2843" t="str">
            <v>汉族</v>
          </cell>
          <cell r="F2843" t="str">
            <v>19560214</v>
          </cell>
          <cell r="G2843">
            <v>65</v>
          </cell>
          <cell r="H2843" t="str">
            <v>四川省仁寿县贵平镇中岗村13组</v>
          </cell>
          <cell r="I2843">
            <v>13350701293</v>
          </cell>
        </row>
        <row r="2844">
          <cell r="C2844" t="str">
            <v>511121197903046959</v>
          </cell>
          <cell r="D2844" t="str">
            <v>男</v>
          </cell>
          <cell r="E2844" t="str">
            <v>汉族</v>
          </cell>
          <cell r="F2844" t="str">
            <v>19790304</v>
          </cell>
          <cell r="G2844">
            <v>42</v>
          </cell>
          <cell r="H2844" t="str">
            <v>四川省仁寿县贵平镇中岗村13组</v>
          </cell>
          <cell r="I2844">
            <v>15828474978</v>
          </cell>
        </row>
        <row r="2845">
          <cell r="C2845" t="str">
            <v>511121198107086946</v>
          </cell>
          <cell r="D2845" t="str">
            <v>女</v>
          </cell>
          <cell r="E2845" t="str">
            <v>汉族</v>
          </cell>
          <cell r="F2845" t="str">
            <v>19810708</v>
          </cell>
          <cell r="G2845">
            <v>40</v>
          </cell>
          <cell r="H2845" t="str">
            <v>四川省仁寿县贵平镇中岗村13组</v>
          </cell>
          <cell r="I2845">
            <v>15182204792</v>
          </cell>
        </row>
        <row r="2846">
          <cell r="C2846" t="str">
            <v>511421200910126878</v>
          </cell>
          <cell r="D2846" t="str">
            <v>男</v>
          </cell>
          <cell r="E2846" t="str">
            <v>汉族</v>
          </cell>
          <cell r="F2846" t="str">
            <v>20091012</v>
          </cell>
          <cell r="G2846">
            <v>12</v>
          </cell>
          <cell r="H2846" t="str">
            <v>四川省仁寿县贵平镇中岗村13组</v>
          </cell>
        </row>
        <row r="2847">
          <cell r="C2847" t="str">
            <v>51382220030830669X</v>
          </cell>
          <cell r="D2847" t="str">
            <v>男</v>
          </cell>
          <cell r="E2847" t="str">
            <v>汉族</v>
          </cell>
          <cell r="F2847" t="str">
            <v>20030830</v>
          </cell>
          <cell r="G2847">
            <v>18</v>
          </cell>
          <cell r="H2847" t="str">
            <v>四川省仁寿县贵平镇中岗村13组</v>
          </cell>
          <cell r="I2847">
            <v>18228166426</v>
          </cell>
        </row>
        <row r="2848">
          <cell r="C2848" t="str">
            <v>511121196504116935</v>
          </cell>
          <cell r="D2848" t="str">
            <v>男</v>
          </cell>
          <cell r="E2848" t="str">
            <v>汉族</v>
          </cell>
          <cell r="F2848" t="str">
            <v>19650411</v>
          </cell>
          <cell r="G2848">
            <v>56</v>
          </cell>
          <cell r="H2848" t="str">
            <v>四川省仁寿县贵平镇中岗村13组</v>
          </cell>
          <cell r="I2848">
            <v>17380946182</v>
          </cell>
        </row>
        <row r="2849">
          <cell r="C2849" t="str">
            <v>511121196908126945</v>
          </cell>
          <cell r="D2849" t="str">
            <v>女</v>
          </cell>
          <cell r="E2849" t="str">
            <v>汉族</v>
          </cell>
          <cell r="F2849" t="str">
            <v>19690812</v>
          </cell>
          <cell r="G2849">
            <v>52</v>
          </cell>
          <cell r="H2849" t="str">
            <v>四川省仁寿县贵平镇中岗村13组</v>
          </cell>
          <cell r="I2849">
            <v>15328746020</v>
          </cell>
        </row>
        <row r="2850">
          <cell r="C2850" t="str">
            <v>513822199408106948</v>
          </cell>
          <cell r="D2850" t="str">
            <v>女</v>
          </cell>
          <cell r="E2850" t="str">
            <v>汉族</v>
          </cell>
          <cell r="F2850" t="str">
            <v>19940810</v>
          </cell>
          <cell r="G2850">
            <v>27</v>
          </cell>
          <cell r="H2850" t="str">
            <v>四川省仁寿县贵平镇中岗村13组</v>
          </cell>
          <cell r="I2850">
            <v>18702835978</v>
          </cell>
        </row>
        <row r="2851">
          <cell r="C2851" t="str">
            <v>513822199005296935</v>
          </cell>
          <cell r="D2851" t="str">
            <v>男</v>
          </cell>
          <cell r="E2851" t="str">
            <v>汉族</v>
          </cell>
          <cell r="F2851" t="str">
            <v>19900529</v>
          </cell>
          <cell r="G2851">
            <v>31</v>
          </cell>
          <cell r="H2851" t="str">
            <v>四川省仁寿县贵平镇中岗村13组</v>
          </cell>
          <cell r="I2851">
            <v>18780194397</v>
          </cell>
        </row>
        <row r="2852">
          <cell r="C2852" t="str">
            <v>511121197609036952</v>
          </cell>
          <cell r="D2852" t="str">
            <v>男</v>
          </cell>
          <cell r="E2852" t="str">
            <v>汉族</v>
          </cell>
          <cell r="F2852" t="str">
            <v>19760903</v>
          </cell>
          <cell r="G2852">
            <v>45</v>
          </cell>
          <cell r="H2852" t="str">
            <v>四川省仁寿县贵平镇中岗村13组</v>
          </cell>
          <cell r="I2852">
            <v>13568246609</v>
          </cell>
        </row>
        <row r="2853">
          <cell r="C2853" t="str">
            <v>51142120100519682X</v>
          </cell>
          <cell r="D2853" t="str">
            <v>女</v>
          </cell>
          <cell r="E2853" t="str">
            <v>汉族</v>
          </cell>
          <cell r="F2853" t="str">
            <v>20100519</v>
          </cell>
          <cell r="G2853">
            <v>11</v>
          </cell>
          <cell r="H2853" t="str">
            <v>四川省仁寿县贵平镇中岗村13组</v>
          </cell>
          <cell r="I2853">
            <v>13568246609</v>
          </cell>
        </row>
        <row r="2854">
          <cell r="C2854" t="str">
            <v>511121198005256940</v>
          </cell>
          <cell r="D2854" t="str">
            <v>女</v>
          </cell>
          <cell r="E2854" t="str">
            <v>汉族</v>
          </cell>
          <cell r="F2854" t="str">
            <v>19800525</v>
          </cell>
          <cell r="G2854">
            <v>41</v>
          </cell>
          <cell r="H2854" t="str">
            <v>四川省仁寿县贵平镇中岗村13组</v>
          </cell>
          <cell r="I2854">
            <v>13568249662</v>
          </cell>
        </row>
        <row r="2855">
          <cell r="C2855" t="str">
            <v>51112119520628694X</v>
          </cell>
          <cell r="D2855" t="str">
            <v>女</v>
          </cell>
          <cell r="E2855" t="str">
            <v>汉族</v>
          </cell>
          <cell r="F2855" t="str">
            <v>19520628</v>
          </cell>
          <cell r="G2855">
            <v>69</v>
          </cell>
          <cell r="H2855" t="str">
            <v>四川省仁寿县贵平镇中岗村13组</v>
          </cell>
          <cell r="I2855">
            <v>18228136198</v>
          </cell>
        </row>
        <row r="2856">
          <cell r="C2856" t="str">
            <v>511121192809296940</v>
          </cell>
          <cell r="D2856" t="str">
            <v>女</v>
          </cell>
          <cell r="E2856" t="str">
            <v>汉族</v>
          </cell>
          <cell r="F2856" t="str">
            <v>19280929</v>
          </cell>
          <cell r="G2856">
            <v>93</v>
          </cell>
          <cell r="H2856" t="str">
            <v>四川省仁寿县贵平镇中岗村13组</v>
          </cell>
          <cell r="I2856">
            <v>13909038906</v>
          </cell>
        </row>
        <row r="2857">
          <cell r="C2857" t="str">
            <v>511121196709126934</v>
          </cell>
          <cell r="D2857" t="str">
            <v>男</v>
          </cell>
          <cell r="E2857" t="str">
            <v>汉族</v>
          </cell>
          <cell r="F2857" t="str">
            <v>19670912</v>
          </cell>
          <cell r="G2857">
            <v>54</v>
          </cell>
          <cell r="H2857" t="str">
            <v>四川省仁寿县贵平镇中岗村13组</v>
          </cell>
          <cell r="I2857">
            <v>13340951874</v>
          </cell>
        </row>
        <row r="2858">
          <cell r="C2858" t="str">
            <v>511121196812016944</v>
          </cell>
          <cell r="D2858" t="str">
            <v>女</v>
          </cell>
          <cell r="E2858" t="str">
            <v>汉族</v>
          </cell>
          <cell r="F2858" t="str">
            <v>19681201</v>
          </cell>
          <cell r="G2858">
            <v>53</v>
          </cell>
          <cell r="H2858" t="str">
            <v>四川省仁寿县贵平镇中岗村13组</v>
          </cell>
          <cell r="I2858">
            <v>18384787656</v>
          </cell>
        </row>
        <row r="2859">
          <cell r="C2859" t="str">
            <v>513822199009186936</v>
          </cell>
          <cell r="D2859" t="str">
            <v>男</v>
          </cell>
          <cell r="E2859" t="str">
            <v>汉族</v>
          </cell>
          <cell r="F2859" t="str">
            <v>19900918</v>
          </cell>
          <cell r="G2859">
            <v>31</v>
          </cell>
          <cell r="H2859" t="str">
            <v>四川省仁寿县贵平镇中岗村13组</v>
          </cell>
        </row>
        <row r="2860">
          <cell r="C2860" t="str">
            <v>513822199402086931</v>
          </cell>
          <cell r="D2860" t="str">
            <v>男</v>
          </cell>
          <cell r="E2860" t="str">
            <v>汉族</v>
          </cell>
          <cell r="F2860" t="str">
            <v>19940208</v>
          </cell>
          <cell r="G2860">
            <v>27</v>
          </cell>
          <cell r="H2860" t="str">
            <v>四川省仁寿县贵平镇中岗村13组</v>
          </cell>
          <cell r="I2860">
            <v>15884525640</v>
          </cell>
        </row>
        <row r="2861">
          <cell r="C2861" t="str">
            <v>511121197412016931</v>
          </cell>
          <cell r="D2861" t="str">
            <v>男</v>
          </cell>
          <cell r="E2861" t="str">
            <v>汉族</v>
          </cell>
          <cell r="F2861" t="str">
            <v>19741201</v>
          </cell>
          <cell r="G2861">
            <v>47</v>
          </cell>
          <cell r="H2861" t="str">
            <v>四川省仁寿县贵平镇中岗村13组</v>
          </cell>
          <cell r="I2861">
            <v>13882085738</v>
          </cell>
        </row>
        <row r="2862">
          <cell r="C2862" t="str">
            <v>511421200802176712</v>
          </cell>
          <cell r="D2862" t="str">
            <v>男</v>
          </cell>
          <cell r="E2862" t="str">
            <v>汉族</v>
          </cell>
          <cell r="F2862" t="str">
            <v>20080217</v>
          </cell>
          <cell r="G2862">
            <v>13</v>
          </cell>
          <cell r="H2862" t="str">
            <v>四川省仁寿县贵平镇中岗村13组</v>
          </cell>
        </row>
        <row r="2863">
          <cell r="C2863" t="str">
            <v>511121196110096935</v>
          </cell>
          <cell r="D2863" t="str">
            <v>男</v>
          </cell>
          <cell r="E2863" t="str">
            <v>汉族</v>
          </cell>
          <cell r="F2863" t="str">
            <v>19611009</v>
          </cell>
          <cell r="G2863">
            <v>60</v>
          </cell>
          <cell r="H2863" t="str">
            <v>四川省仁寿县贵平镇中岗村13组</v>
          </cell>
          <cell r="I2863">
            <v>18728378548</v>
          </cell>
        </row>
        <row r="2864">
          <cell r="C2864" t="str">
            <v>511121196610156949</v>
          </cell>
          <cell r="D2864" t="str">
            <v>女</v>
          </cell>
          <cell r="E2864" t="str">
            <v>汉族</v>
          </cell>
          <cell r="F2864" t="str">
            <v>19661015</v>
          </cell>
          <cell r="G2864">
            <v>55</v>
          </cell>
          <cell r="H2864" t="str">
            <v>四川省仁寿县贵平镇中岗村13组</v>
          </cell>
          <cell r="I2864">
            <v>18728378948</v>
          </cell>
        </row>
        <row r="2865">
          <cell r="C2865" t="str">
            <v>513822199008286943</v>
          </cell>
          <cell r="D2865" t="str">
            <v>女</v>
          </cell>
          <cell r="E2865" t="str">
            <v>汉族</v>
          </cell>
          <cell r="F2865" t="str">
            <v>19900828</v>
          </cell>
          <cell r="G2865">
            <v>31</v>
          </cell>
          <cell r="H2865" t="str">
            <v>四川省仁寿县贵平镇中岗村13组</v>
          </cell>
          <cell r="I2865">
            <v>13924333948</v>
          </cell>
        </row>
        <row r="2866">
          <cell r="C2866" t="str">
            <v>511421201307256867</v>
          </cell>
          <cell r="D2866" t="str">
            <v>女</v>
          </cell>
          <cell r="E2866" t="str">
            <v>汉族</v>
          </cell>
          <cell r="F2866" t="str">
            <v>20130725</v>
          </cell>
          <cell r="G2866">
            <v>8</v>
          </cell>
          <cell r="H2866" t="str">
            <v>四川省仁寿县贵平镇中岗村13组</v>
          </cell>
        </row>
        <row r="2867">
          <cell r="C2867" t="str">
            <v>511421202005160100</v>
          </cell>
          <cell r="D2867" t="str">
            <v>女</v>
          </cell>
          <cell r="E2867" t="str">
            <v>汉族</v>
          </cell>
          <cell r="F2867" t="str">
            <v>20200516</v>
          </cell>
          <cell r="G2867">
            <v>1</v>
          </cell>
          <cell r="H2867" t="str">
            <v>四川省仁寿县贵平镇中岗村13组</v>
          </cell>
        </row>
        <row r="2868">
          <cell r="C2868" t="str">
            <v>513822198705146941</v>
          </cell>
          <cell r="D2868" t="str">
            <v>女</v>
          </cell>
          <cell r="E2868" t="str">
            <v>汉族</v>
          </cell>
          <cell r="F2868" t="str">
            <v>19870514</v>
          </cell>
          <cell r="G2868">
            <v>34</v>
          </cell>
          <cell r="H2868" t="str">
            <v>四川省仁寿县贵平镇中岗村13组</v>
          </cell>
          <cell r="I2868">
            <v>18382319716</v>
          </cell>
        </row>
        <row r="2869">
          <cell r="C2869" t="str">
            <v>511421201906120048</v>
          </cell>
          <cell r="D2869" t="str">
            <v>女</v>
          </cell>
          <cell r="E2869" t="str">
            <v>汉族</v>
          </cell>
          <cell r="F2869" t="str">
            <v>20190612</v>
          </cell>
          <cell r="G2869">
            <v>2</v>
          </cell>
          <cell r="H2869" t="str">
            <v>四川省仁寿县贵平镇中岗村13组</v>
          </cell>
        </row>
        <row r="2870">
          <cell r="C2870" t="str">
            <v>511421201001206883</v>
          </cell>
          <cell r="D2870" t="str">
            <v>女</v>
          </cell>
          <cell r="E2870" t="str">
            <v>汉族</v>
          </cell>
          <cell r="F2870" t="str">
            <v>20100120</v>
          </cell>
          <cell r="G2870">
            <v>11</v>
          </cell>
          <cell r="H2870" t="str">
            <v>四川省仁寿县贵平镇中岗村13组</v>
          </cell>
          <cell r="I2870">
            <v>13924333948</v>
          </cell>
        </row>
        <row r="2871">
          <cell r="C2871" t="str">
            <v>511121195308056934</v>
          </cell>
          <cell r="D2871" t="str">
            <v>男</v>
          </cell>
          <cell r="E2871" t="str">
            <v>汉族</v>
          </cell>
          <cell r="F2871" t="str">
            <v>19530805</v>
          </cell>
          <cell r="G2871">
            <v>68</v>
          </cell>
          <cell r="H2871" t="str">
            <v>四川省仁寿县贵平镇中岗村13组</v>
          </cell>
          <cell r="I2871">
            <v>18096377182</v>
          </cell>
        </row>
        <row r="2872">
          <cell r="C2872" t="str">
            <v>511121194207186938</v>
          </cell>
          <cell r="D2872" t="str">
            <v>男</v>
          </cell>
          <cell r="E2872" t="str">
            <v>汉族</v>
          </cell>
          <cell r="F2872" t="str">
            <v>19420718</v>
          </cell>
          <cell r="G2872">
            <v>79</v>
          </cell>
          <cell r="H2872" t="str">
            <v>四川省仁寿县贵平镇中岗村13组</v>
          </cell>
          <cell r="I2872">
            <v>18089515344</v>
          </cell>
        </row>
        <row r="2873">
          <cell r="C2873" t="str">
            <v>511121194612106946</v>
          </cell>
          <cell r="D2873" t="str">
            <v>女</v>
          </cell>
          <cell r="E2873" t="str">
            <v>汉族</v>
          </cell>
          <cell r="F2873" t="str">
            <v>19461210</v>
          </cell>
          <cell r="G2873">
            <v>75</v>
          </cell>
          <cell r="H2873" t="str">
            <v>四川省仁寿县贵平镇中岗村13组</v>
          </cell>
          <cell r="I2873">
            <v>18328119260</v>
          </cell>
        </row>
        <row r="2874">
          <cell r="C2874" t="str">
            <v>34222119790305104X</v>
          </cell>
          <cell r="D2874" t="str">
            <v>女</v>
          </cell>
          <cell r="E2874" t="str">
            <v>汉族</v>
          </cell>
          <cell r="F2874" t="str">
            <v>19790305</v>
          </cell>
          <cell r="G2874">
            <v>42</v>
          </cell>
          <cell r="H2874" t="str">
            <v>四川省仁寿县贵平镇中岗村13组</v>
          </cell>
          <cell r="I2874">
            <v>15114088943</v>
          </cell>
        </row>
        <row r="2875">
          <cell r="C2875" t="str">
            <v>513822200204206723</v>
          </cell>
          <cell r="D2875" t="str">
            <v>女</v>
          </cell>
          <cell r="E2875" t="str">
            <v>汉族</v>
          </cell>
          <cell r="F2875" t="str">
            <v>20020420</v>
          </cell>
          <cell r="G2875">
            <v>19</v>
          </cell>
          <cell r="H2875" t="str">
            <v>四川省仁寿县贵平镇中岗村13组</v>
          </cell>
        </row>
        <row r="2876">
          <cell r="C2876" t="str">
            <v>513822200204026706</v>
          </cell>
          <cell r="D2876" t="str">
            <v>女</v>
          </cell>
          <cell r="E2876" t="str">
            <v>汉族</v>
          </cell>
          <cell r="F2876" t="str">
            <v>20020402</v>
          </cell>
          <cell r="G2876">
            <v>19</v>
          </cell>
          <cell r="H2876" t="str">
            <v>四川省仁寿县贵平镇中岗村13组</v>
          </cell>
          <cell r="I2876">
            <v>15528026698</v>
          </cell>
        </row>
        <row r="2877">
          <cell r="C2877" t="str">
            <v>511121198101146936</v>
          </cell>
          <cell r="D2877" t="str">
            <v>男</v>
          </cell>
          <cell r="E2877" t="str">
            <v>汉族</v>
          </cell>
          <cell r="F2877" t="str">
            <v>19810114</v>
          </cell>
          <cell r="G2877">
            <v>40</v>
          </cell>
          <cell r="H2877" t="str">
            <v>四川省仁寿县贵平镇中岗村13组</v>
          </cell>
          <cell r="I2877">
            <v>18328119260</v>
          </cell>
        </row>
        <row r="2878">
          <cell r="C2878" t="str">
            <v>511121196608186938</v>
          </cell>
          <cell r="D2878" t="str">
            <v>男</v>
          </cell>
          <cell r="E2878" t="str">
            <v>汉族</v>
          </cell>
          <cell r="F2878" t="str">
            <v>19660818</v>
          </cell>
          <cell r="G2878">
            <v>55</v>
          </cell>
          <cell r="H2878" t="str">
            <v>四川省仁寿县贵平镇中岗村13组</v>
          </cell>
          <cell r="I2878">
            <v>15902820226</v>
          </cell>
        </row>
        <row r="2879">
          <cell r="C2879" t="str">
            <v>511121195212286954</v>
          </cell>
          <cell r="D2879" t="str">
            <v>男</v>
          </cell>
          <cell r="E2879" t="str">
            <v>汉族</v>
          </cell>
          <cell r="F2879" t="str">
            <v>19521228</v>
          </cell>
          <cell r="G2879">
            <v>69</v>
          </cell>
          <cell r="H2879" t="str">
            <v>四川省仁寿县贵平镇中岗村13组</v>
          </cell>
          <cell r="I2879">
            <v>17382998241</v>
          </cell>
        </row>
        <row r="2880">
          <cell r="C2880" t="str">
            <v>511121195211256964</v>
          </cell>
          <cell r="D2880" t="str">
            <v>女</v>
          </cell>
          <cell r="E2880" t="str">
            <v>汉族</v>
          </cell>
          <cell r="F2880" t="str">
            <v>19521125</v>
          </cell>
          <cell r="G2880">
            <v>69</v>
          </cell>
          <cell r="H2880" t="str">
            <v>四川省仁寿县贵平镇中岗村13组</v>
          </cell>
        </row>
        <row r="2881">
          <cell r="C2881" t="str">
            <v>511121198101016939</v>
          </cell>
          <cell r="D2881" t="str">
            <v>男</v>
          </cell>
          <cell r="E2881" t="str">
            <v>汉族</v>
          </cell>
          <cell r="F2881" t="str">
            <v>19810101</v>
          </cell>
          <cell r="G2881">
            <v>40</v>
          </cell>
          <cell r="H2881" t="str">
            <v>四川省仁寿县贵平镇中岗村13组</v>
          </cell>
          <cell r="I2881">
            <v>15928535849</v>
          </cell>
        </row>
        <row r="2882">
          <cell r="C2882" t="str">
            <v>511421201407216862</v>
          </cell>
          <cell r="D2882" t="str">
            <v>女</v>
          </cell>
          <cell r="E2882" t="str">
            <v>汉族</v>
          </cell>
          <cell r="F2882" t="str">
            <v>20140721</v>
          </cell>
          <cell r="G2882">
            <v>7</v>
          </cell>
          <cell r="H2882" t="str">
            <v>四川省仁寿县贵平镇中岗村13组</v>
          </cell>
        </row>
        <row r="2883">
          <cell r="C2883" t="str">
            <v>511421200905206777</v>
          </cell>
          <cell r="D2883" t="str">
            <v>男</v>
          </cell>
          <cell r="E2883" t="str">
            <v>汉族</v>
          </cell>
          <cell r="F2883" t="str">
            <v>20090520</v>
          </cell>
          <cell r="G2883">
            <v>12</v>
          </cell>
          <cell r="H2883" t="str">
            <v>四川省仁寿县贵平镇中岗村13组</v>
          </cell>
        </row>
        <row r="2884">
          <cell r="C2884" t="str">
            <v>511121196711186936</v>
          </cell>
          <cell r="D2884" t="str">
            <v>男</v>
          </cell>
          <cell r="E2884" t="str">
            <v>汉族</v>
          </cell>
          <cell r="F2884" t="str">
            <v>19671118</v>
          </cell>
          <cell r="G2884">
            <v>54</v>
          </cell>
          <cell r="H2884" t="str">
            <v>四川省仁寿县贵平镇中岗村13组</v>
          </cell>
          <cell r="I2884">
            <v>13072885060</v>
          </cell>
        </row>
        <row r="2885">
          <cell r="C2885" t="str">
            <v>513822199109106753</v>
          </cell>
          <cell r="D2885" t="str">
            <v>男</v>
          </cell>
          <cell r="E2885" t="str">
            <v>汉族</v>
          </cell>
          <cell r="F2885" t="str">
            <v>19910910</v>
          </cell>
          <cell r="G2885">
            <v>30</v>
          </cell>
          <cell r="H2885" t="str">
            <v>四川省仁寿县贵平镇中岗村13组</v>
          </cell>
          <cell r="I2885">
            <v>13880516233</v>
          </cell>
        </row>
        <row r="2886">
          <cell r="C2886" t="str">
            <v>513822198810306935</v>
          </cell>
          <cell r="D2886" t="str">
            <v>男</v>
          </cell>
          <cell r="E2886" t="str">
            <v>汉族</v>
          </cell>
          <cell r="F2886" t="str">
            <v>19881030</v>
          </cell>
          <cell r="G2886">
            <v>33</v>
          </cell>
          <cell r="H2886" t="str">
            <v>四川省仁寿县贵平镇中岗村13组</v>
          </cell>
          <cell r="I2886">
            <v>13880889530</v>
          </cell>
        </row>
        <row r="2887">
          <cell r="C2887" t="str">
            <v>511121198202036939</v>
          </cell>
          <cell r="D2887" t="str">
            <v>男</v>
          </cell>
          <cell r="E2887" t="str">
            <v>汉族</v>
          </cell>
          <cell r="F2887" t="str">
            <v>19820203</v>
          </cell>
          <cell r="G2887">
            <v>39</v>
          </cell>
          <cell r="H2887" t="str">
            <v>四川省仁寿县贵平镇中岗村13组</v>
          </cell>
          <cell r="I2887">
            <v>15828223851</v>
          </cell>
        </row>
        <row r="2888">
          <cell r="C2888" t="str">
            <v>522601197909053767</v>
          </cell>
          <cell r="D2888" t="str">
            <v>女</v>
          </cell>
          <cell r="E2888" t="str">
            <v>苗族</v>
          </cell>
          <cell r="F2888" t="str">
            <v>19790905</v>
          </cell>
          <cell r="G2888">
            <v>42</v>
          </cell>
          <cell r="H2888" t="str">
            <v>四川省仁寿县贵平镇中岗村13组</v>
          </cell>
        </row>
        <row r="2889">
          <cell r="C2889" t="str">
            <v>511421200308316759</v>
          </cell>
          <cell r="D2889" t="str">
            <v>男</v>
          </cell>
          <cell r="E2889" t="str">
            <v>汉族</v>
          </cell>
          <cell r="F2889" t="str">
            <v>20030831</v>
          </cell>
          <cell r="G2889">
            <v>18</v>
          </cell>
          <cell r="H2889" t="str">
            <v>四川省仁寿县贵平镇中岗村13组</v>
          </cell>
          <cell r="I2889">
            <v>15828223851</v>
          </cell>
        </row>
        <row r="2890">
          <cell r="C2890" t="str">
            <v>511421201704160404</v>
          </cell>
          <cell r="D2890" t="str">
            <v>女</v>
          </cell>
          <cell r="E2890" t="str">
            <v>汉族</v>
          </cell>
          <cell r="F2890" t="str">
            <v>20170416</v>
          </cell>
          <cell r="G2890">
            <v>4</v>
          </cell>
          <cell r="H2890" t="str">
            <v>四川省仁寿县贵平镇中岗村13组</v>
          </cell>
        </row>
        <row r="2891">
          <cell r="C2891" t="str">
            <v>511121195212246944</v>
          </cell>
          <cell r="D2891" t="str">
            <v>女</v>
          </cell>
          <cell r="E2891" t="str">
            <v>汉族</v>
          </cell>
          <cell r="F2891" t="str">
            <v>19521224</v>
          </cell>
          <cell r="G2891">
            <v>69</v>
          </cell>
          <cell r="H2891" t="str">
            <v>四川省仁寿县贵平镇中岗村13组</v>
          </cell>
          <cell r="I2891">
            <v>18070477053</v>
          </cell>
        </row>
        <row r="2892">
          <cell r="C2892" t="str">
            <v>511121197106106955</v>
          </cell>
          <cell r="D2892" t="str">
            <v>男</v>
          </cell>
          <cell r="E2892" t="str">
            <v>汉族</v>
          </cell>
          <cell r="F2892" t="str">
            <v>19710610</v>
          </cell>
          <cell r="G2892">
            <v>50</v>
          </cell>
          <cell r="H2892" t="str">
            <v>四川省仁寿县贵平镇中岗村13组</v>
          </cell>
          <cell r="I2892">
            <v>15928487605</v>
          </cell>
        </row>
        <row r="2893">
          <cell r="C2893" t="str">
            <v>511121196711046968</v>
          </cell>
          <cell r="D2893" t="str">
            <v>女</v>
          </cell>
          <cell r="E2893" t="str">
            <v>汉族</v>
          </cell>
          <cell r="F2893" t="str">
            <v>19671104</v>
          </cell>
          <cell r="G2893">
            <v>54</v>
          </cell>
          <cell r="H2893" t="str">
            <v>四川省仁寿县贵平镇中岗村13组</v>
          </cell>
          <cell r="I2893">
            <v>13882120123</v>
          </cell>
        </row>
        <row r="2894">
          <cell r="C2894" t="str">
            <v>513822199011186935</v>
          </cell>
          <cell r="D2894" t="str">
            <v>男</v>
          </cell>
          <cell r="E2894" t="str">
            <v>汉族</v>
          </cell>
          <cell r="F2894" t="str">
            <v>19901118</v>
          </cell>
          <cell r="G2894">
            <v>31</v>
          </cell>
          <cell r="H2894" t="str">
            <v>四川省仁寿县贵平镇中岗村13组</v>
          </cell>
          <cell r="I2894">
            <v>15884561806</v>
          </cell>
        </row>
        <row r="2895">
          <cell r="C2895" t="str">
            <v>513822199002283266</v>
          </cell>
          <cell r="D2895" t="str">
            <v>女</v>
          </cell>
          <cell r="E2895" t="str">
            <v>汉族</v>
          </cell>
          <cell r="F2895" t="str">
            <v>19900228</v>
          </cell>
          <cell r="G2895">
            <v>31</v>
          </cell>
          <cell r="H2895" t="str">
            <v>四川省仁寿县贵平镇中岗村13组</v>
          </cell>
          <cell r="I2895">
            <v>15183346892</v>
          </cell>
        </row>
        <row r="2896">
          <cell r="C2896" t="str">
            <v>511421201404026852</v>
          </cell>
          <cell r="D2896" t="str">
            <v>男</v>
          </cell>
          <cell r="E2896" t="str">
            <v>汉族</v>
          </cell>
          <cell r="F2896" t="str">
            <v>20140402</v>
          </cell>
          <cell r="G2896">
            <v>7</v>
          </cell>
          <cell r="H2896" t="str">
            <v>四川省仁寿县贵平镇中岗村13组</v>
          </cell>
        </row>
        <row r="2897">
          <cell r="C2897" t="str">
            <v>511421201702070026</v>
          </cell>
          <cell r="D2897" t="str">
            <v>女</v>
          </cell>
          <cell r="E2897" t="str">
            <v>汉族</v>
          </cell>
          <cell r="F2897" t="str">
            <v>20170207</v>
          </cell>
          <cell r="G2897">
            <v>4</v>
          </cell>
          <cell r="H2897" t="str">
            <v>四川省仁寿县贵平镇中岗村13组</v>
          </cell>
        </row>
        <row r="2898">
          <cell r="C2898" t="str">
            <v>513822198809066946</v>
          </cell>
          <cell r="D2898" t="str">
            <v>女</v>
          </cell>
          <cell r="E2898" t="str">
            <v>汉族</v>
          </cell>
          <cell r="F2898" t="str">
            <v>19880906</v>
          </cell>
          <cell r="G2898">
            <v>33</v>
          </cell>
          <cell r="H2898" t="str">
            <v>四川省仁寿县贵平镇中岗村13组</v>
          </cell>
          <cell r="I2898">
            <v>13883638184</v>
          </cell>
        </row>
        <row r="2899">
          <cell r="C2899" t="str">
            <v>511121196503126939</v>
          </cell>
          <cell r="D2899" t="str">
            <v>男</v>
          </cell>
          <cell r="E2899" t="str">
            <v>汉族</v>
          </cell>
          <cell r="F2899" t="str">
            <v>19650312</v>
          </cell>
          <cell r="G2899">
            <v>56</v>
          </cell>
          <cell r="H2899" t="str">
            <v>四川省仁寿县贵平镇中岗村13组</v>
          </cell>
          <cell r="I2899">
            <v>13980610132</v>
          </cell>
        </row>
        <row r="2900">
          <cell r="C2900" t="str">
            <v>511121197112086954</v>
          </cell>
          <cell r="D2900" t="str">
            <v>男</v>
          </cell>
          <cell r="E2900" t="str">
            <v>汉族</v>
          </cell>
          <cell r="F2900" t="str">
            <v>19711208</v>
          </cell>
          <cell r="G2900">
            <v>50</v>
          </cell>
          <cell r="H2900" t="str">
            <v>四川省仁寿县贵平镇中岗村13组</v>
          </cell>
          <cell r="I2900">
            <v>13440167566</v>
          </cell>
        </row>
        <row r="2901">
          <cell r="C2901" t="str">
            <v>511121197302146989</v>
          </cell>
          <cell r="D2901" t="str">
            <v>女</v>
          </cell>
          <cell r="E2901" t="str">
            <v>汉族</v>
          </cell>
          <cell r="F2901" t="str">
            <v>19730214</v>
          </cell>
          <cell r="G2901">
            <v>48</v>
          </cell>
          <cell r="H2901" t="str">
            <v>四川省仁寿县贵平镇中岗村13组</v>
          </cell>
          <cell r="I2901">
            <v>18728345120</v>
          </cell>
        </row>
        <row r="2902">
          <cell r="C2902" t="str">
            <v>511121194103276947</v>
          </cell>
          <cell r="D2902" t="str">
            <v>女</v>
          </cell>
          <cell r="E2902" t="str">
            <v>汉族</v>
          </cell>
          <cell r="F2902" t="str">
            <v>19410327</v>
          </cell>
          <cell r="G2902">
            <v>80</v>
          </cell>
          <cell r="H2902" t="str">
            <v>四川省仁寿县贵平镇中岗村13组</v>
          </cell>
          <cell r="I2902">
            <v>15283794328</v>
          </cell>
        </row>
        <row r="2903">
          <cell r="C2903" t="str">
            <v>513822199509286941</v>
          </cell>
          <cell r="D2903" t="str">
            <v>女</v>
          </cell>
          <cell r="E2903" t="str">
            <v>汉族</v>
          </cell>
          <cell r="F2903" t="str">
            <v>19950928</v>
          </cell>
          <cell r="G2903">
            <v>26</v>
          </cell>
          <cell r="H2903" t="str">
            <v>四川省仁寿县贵平镇中岗村13组</v>
          </cell>
          <cell r="I2903">
            <v>18200438050</v>
          </cell>
        </row>
        <row r="2904">
          <cell r="C2904" t="str">
            <v>513822199707206703</v>
          </cell>
          <cell r="D2904" t="str">
            <v>女</v>
          </cell>
          <cell r="E2904" t="str">
            <v>汉族</v>
          </cell>
          <cell r="F2904" t="str">
            <v>19970720</v>
          </cell>
          <cell r="G2904">
            <v>24</v>
          </cell>
          <cell r="H2904" t="str">
            <v>四川省仁寿县贵平镇中岗村13组</v>
          </cell>
          <cell r="I2904">
            <v>18782090611</v>
          </cell>
        </row>
        <row r="2905">
          <cell r="C2905" t="str">
            <v>513822198410146936</v>
          </cell>
          <cell r="D2905" t="str">
            <v>男</v>
          </cell>
          <cell r="E2905" t="str">
            <v>汉族</v>
          </cell>
          <cell r="F2905" t="str">
            <v>19841014</v>
          </cell>
          <cell r="G2905">
            <v>37</v>
          </cell>
          <cell r="H2905" t="str">
            <v>四川省仁寿县贵平镇中岗村13组</v>
          </cell>
          <cell r="I2905">
            <v>13500333874</v>
          </cell>
        </row>
        <row r="2906">
          <cell r="C2906" t="str">
            <v>513822198610269260</v>
          </cell>
          <cell r="D2906" t="str">
            <v>女</v>
          </cell>
          <cell r="E2906" t="str">
            <v>汉族</v>
          </cell>
          <cell r="F2906" t="str">
            <v>19861026</v>
          </cell>
          <cell r="G2906">
            <v>35</v>
          </cell>
          <cell r="H2906" t="str">
            <v>四川省仁寿县贵平镇中岗村13组</v>
          </cell>
          <cell r="I2906">
            <v>1361769826</v>
          </cell>
        </row>
        <row r="2907">
          <cell r="C2907" t="str">
            <v>511421201411076858</v>
          </cell>
          <cell r="D2907" t="str">
            <v>男</v>
          </cell>
          <cell r="E2907" t="str">
            <v>汉族</v>
          </cell>
          <cell r="F2907" t="str">
            <v>20141107</v>
          </cell>
          <cell r="G2907">
            <v>7</v>
          </cell>
          <cell r="H2907" t="str">
            <v>四川省仁寿县贵平镇中岗村13组</v>
          </cell>
        </row>
        <row r="2908">
          <cell r="C2908" t="str">
            <v>511421201001126920</v>
          </cell>
          <cell r="D2908" t="str">
            <v>女</v>
          </cell>
          <cell r="E2908" t="str">
            <v>汉族</v>
          </cell>
          <cell r="F2908" t="str">
            <v>20100112</v>
          </cell>
          <cell r="G2908">
            <v>11</v>
          </cell>
          <cell r="H2908" t="str">
            <v>四川省仁寿县贵平镇中岗村13组</v>
          </cell>
        </row>
        <row r="2909">
          <cell r="C2909" t="str">
            <v>511121196302289029</v>
          </cell>
          <cell r="D2909" t="str">
            <v>女</v>
          </cell>
          <cell r="E2909" t="str">
            <v>汉族</v>
          </cell>
          <cell r="F2909" t="str">
            <v>19630228</v>
          </cell>
          <cell r="G2909">
            <v>58</v>
          </cell>
          <cell r="H2909" t="str">
            <v>四川省仁寿县贵平镇中岗村13组</v>
          </cell>
          <cell r="I2909">
            <v>13568241928</v>
          </cell>
        </row>
        <row r="2910">
          <cell r="C2910" t="str">
            <v>511121195612056939</v>
          </cell>
          <cell r="D2910" t="str">
            <v>男</v>
          </cell>
          <cell r="E2910" t="str">
            <v>汉族</v>
          </cell>
          <cell r="F2910" t="str">
            <v>19561205</v>
          </cell>
          <cell r="G2910">
            <v>65</v>
          </cell>
          <cell r="H2910" t="str">
            <v>四川省仁寿县贵平镇中岗村13组</v>
          </cell>
          <cell r="I2910">
            <v>13088385125</v>
          </cell>
        </row>
        <row r="2911">
          <cell r="C2911" t="str">
            <v>511121195106056936</v>
          </cell>
          <cell r="D2911" t="str">
            <v>男</v>
          </cell>
          <cell r="E2911" t="str">
            <v>汉族</v>
          </cell>
          <cell r="F2911" t="str">
            <v>19510605</v>
          </cell>
          <cell r="G2911">
            <v>70</v>
          </cell>
          <cell r="H2911" t="str">
            <v>四川省仁寿县贵平镇中岗村13组</v>
          </cell>
          <cell r="I2911">
            <v>15770198410</v>
          </cell>
        </row>
        <row r="2912">
          <cell r="C2912" t="str">
            <v>511421200002296863</v>
          </cell>
          <cell r="D2912" t="str">
            <v>女</v>
          </cell>
          <cell r="E2912" t="str">
            <v>汉族</v>
          </cell>
          <cell r="F2912" t="str">
            <v>20000229</v>
          </cell>
          <cell r="G2912">
            <v>21</v>
          </cell>
          <cell r="H2912" t="str">
            <v>四川省仁寿县贵平镇中岗村13组</v>
          </cell>
          <cell r="I2912">
            <v>15708373389</v>
          </cell>
        </row>
        <row r="2913">
          <cell r="C2913" t="str">
            <v>511121197612196957</v>
          </cell>
          <cell r="D2913" t="str">
            <v>男</v>
          </cell>
          <cell r="E2913" t="str">
            <v>汉族</v>
          </cell>
          <cell r="F2913" t="str">
            <v>19761219</v>
          </cell>
          <cell r="G2913">
            <v>45</v>
          </cell>
          <cell r="H2913" t="str">
            <v>四川省仁寿县贵平镇中岗村13组</v>
          </cell>
          <cell r="I2913">
            <v>18177810230</v>
          </cell>
        </row>
        <row r="2914">
          <cell r="C2914" t="str">
            <v>511421201711180366</v>
          </cell>
          <cell r="D2914" t="str">
            <v>女</v>
          </cell>
          <cell r="E2914" t="str">
            <v>汉族</v>
          </cell>
          <cell r="F2914" t="str">
            <v>20171118</v>
          </cell>
          <cell r="G2914">
            <v>4</v>
          </cell>
          <cell r="H2914" t="str">
            <v>四川省仁寿县贵平镇中岗村13组</v>
          </cell>
          <cell r="I2914">
            <v>18299010903</v>
          </cell>
        </row>
        <row r="2915">
          <cell r="C2915" t="str">
            <v>51112119551201693X</v>
          </cell>
          <cell r="D2915" t="str">
            <v>男</v>
          </cell>
          <cell r="E2915" t="str">
            <v>汉族</v>
          </cell>
          <cell r="F2915" t="str">
            <v>19551201</v>
          </cell>
          <cell r="G2915">
            <v>66</v>
          </cell>
          <cell r="H2915" t="str">
            <v>四川省仁寿县贵平镇中岗村13组</v>
          </cell>
          <cell r="I2915">
            <v>13679649216</v>
          </cell>
        </row>
        <row r="2916">
          <cell r="C2916" t="str">
            <v>511121195608276947</v>
          </cell>
          <cell r="D2916" t="str">
            <v>女</v>
          </cell>
          <cell r="E2916" t="str">
            <v>汉族</v>
          </cell>
          <cell r="F2916" t="str">
            <v>19560827</v>
          </cell>
          <cell r="G2916">
            <v>65</v>
          </cell>
          <cell r="H2916" t="str">
            <v>四川省仁寿县贵平镇中岗村13组</v>
          </cell>
          <cell r="I2916">
            <v>15183338590</v>
          </cell>
        </row>
        <row r="2917">
          <cell r="C2917" t="str">
            <v>511121198101276941</v>
          </cell>
          <cell r="D2917" t="str">
            <v>女</v>
          </cell>
          <cell r="E2917" t="str">
            <v>汉族</v>
          </cell>
          <cell r="F2917" t="str">
            <v>19810127</v>
          </cell>
          <cell r="G2917">
            <v>40</v>
          </cell>
          <cell r="H2917" t="str">
            <v>四川省仁寿县贵平镇中岗村13组</v>
          </cell>
          <cell r="I2917">
            <v>18628304738</v>
          </cell>
        </row>
        <row r="2918">
          <cell r="C2918" t="str">
            <v>511421202008050097</v>
          </cell>
          <cell r="D2918" t="str">
            <v>男</v>
          </cell>
          <cell r="E2918" t="str">
            <v>汉族</v>
          </cell>
          <cell r="F2918" t="str">
            <v>20200805</v>
          </cell>
          <cell r="G2918">
            <v>1</v>
          </cell>
          <cell r="H2918" t="str">
            <v>四川省仁寿县贵平镇中岗村13组</v>
          </cell>
        </row>
        <row r="2919">
          <cell r="C2919" t="str">
            <v>511121195606126945</v>
          </cell>
          <cell r="D2919" t="str">
            <v>女</v>
          </cell>
          <cell r="E2919" t="str">
            <v>汉族</v>
          </cell>
          <cell r="F2919" t="str">
            <v>19560612</v>
          </cell>
          <cell r="G2919">
            <v>65</v>
          </cell>
          <cell r="H2919" t="str">
            <v>四川省仁寿县贵平镇中岗村13组</v>
          </cell>
          <cell r="I2919">
            <v>13551805099</v>
          </cell>
        </row>
        <row r="2920">
          <cell r="C2920" t="str">
            <v>511121194501146945</v>
          </cell>
          <cell r="D2920" t="str">
            <v>女</v>
          </cell>
          <cell r="E2920" t="str">
            <v>汉族</v>
          </cell>
          <cell r="F2920" t="str">
            <v>19450114</v>
          </cell>
          <cell r="G2920">
            <v>76</v>
          </cell>
          <cell r="H2920" t="str">
            <v>四川省仁寿县贵平镇中岗村13组</v>
          </cell>
          <cell r="I2920">
            <v>13146507598</v>
          </cell>
        </row>
        <row r="2921">
          <cell r="C2921" t="str">
            <v>51112119560407693X</v>
          </cell>
          <cell r="D2921" t="str">
            <v>男</v>
          </cell>
          <cell r="E2921" t="str">
            <v>汉族</v>
          </cell>
          <cell r="F2921" t="str">
            <v>19560407</v>
          </cell>
          <cell r="G2921">
            <v>65</v>
          </cell>
          <cell r="H2921" t="str">
            <v>四川省仁寿县贵平镇中岗村13组</v>
          </cell>
          <cell r="I2921">
            <v>13678012889</v>
          </cell>
        </row>
        <row r="2922">
          <cell r="C2922" t="str">
            <v>511121198107076940</v>
          </cell>
          <cell r="D2922" t="str">
            <v>女</v>
          </cell>
          <cell r="E2922" t="str">
            <v>汉族</v>
          </cell>
          <cell r="F2922" t="str">
            <v>19810707</v>
          </cell>
          <cell r="G2922">
            <v>40</v>
          </cell>
          <cell r="H2922" t="str">
            <v>四川省仁寿县贵平镇中岗村13组</v>
          </cell>
          <cell r="I2922">
            <v>13689018098</v>
          </cell>
        </row>
        <row r="2923">
          <cell r="C2923" t="str">
            <v>513822198704166932</v>
          </cell>
          <cell r="D2923" t="str">
            <v>男</v>
          </cell>
          <cell r="E2923" t="str">
            <v>汉族</v>
          </cell>
          <cell r="F2923" t="str">
            <v>19870416</v>
          </cell>
          <cell r="G2923">
            <v>34</v>
          </cell>
          <cell r="H2923" t="str">
            <v>四川省仁寿县贵平镇中岗村13组</v>
          </cell>
          <cell r="I2923">
            <v>18683620627</v>
          </cell>
        </row>
        <row r="2924">
          <cell r="C2924" t="str">
            <v>511421201407216854</v>
          </cell>
          <cell r="D2924" t="str">
            <v>男</v>
          </cell>
          <cell r="E2924" t="str">
            <v>汉族</v>
          </cell>
          <cell r="F2924" t="str">
            <v>20140721</v>
          </cell>
          <cell r="G2924">
            <v>7</v>
          </cell>
          <cell r="H2924" t="str">
            <v>四川省仁寿县贵平镇中岗村13组</v>
          </cell>
        </row>
        <row r="2925">
          <cell r="C2925" t="str">
            <v>511121195801286936</v>
          </cell>
          <cell r="D2925" t="str">
            <v>男</v>
          </cell>
          <cell r="E2925" t="str">
            <v>汉族</v>
          </cell>
          <cell r="F2925" t="str">
            <v>19580128</v>
          </cell>
          <cell r="G2925">
            <v>63</v>
          </cell>
          <cell r="H2925" t="str">
            <v>四川省仁寿县贵平镇中岗村13组</v>
          </cell>
          <cell r="I2925">
            <v>17380959384</v>
          </cell>
        </row>
        <row r="2926">
          <cell r="C2926" t="str">
            <v>511121195504256941</v>
          </cell>
          <cell r="D2926" t="str">
            <v>女</v>
          </cell>
          <cell r="E2926" t="str">
            <v>汉族</v>
          </cell>
          <cell r="F2926" t="str">
            <v>19550425</v>
          </cell>
          <cell r="G2926">
            <v>66</v>
          </cell>
          <cell r="H2926" t="str">
            <v>四川省仁寿县贵平镇中岗村13组</v>
          </cell>
        </row>
        <row r="2927">
          <cell r="C2927" t="str">
            <v>511121198204246948</v>
          </cell>
          <cell r="D2927" t="str">
            <v>女</v>
          </cell>
          <cell r="E2927" t="str">
            <v>汉族</v>
          </cell>
          <cell r="F2927" t="str">
            <v>19820424</v>
          </cell>
          <cell r="G2927">
            <v>39</v>
          </cell>
          <cell r="H2927" t="str">
            <v>四川省仁寿县贵平镇中岗村13组</v>
          </cell>
          <cell r="I2927">
            <v>18382227316</v>
          </cell>
        </row>
        <row r="2928">
          <cell r="C2928" t="str">
            <v>511421201307176859</v>
          </cell>
          <cell r="D2928" t="str">
            <v>男</v>
          </cell>
          <cell r="E2928" t="str">
            <v>汉族</v>
          </cell>
          <cell r="F2928" t="str">
            <v>20130717</v>
          </cell>
          <cell r="G2928">
            <v>8</v>
          </cell>
          <cell r="H2928" t="str">
            <v>四川省仁寿县贵平镇中岗村13组</v>
          </cell>
        </row>
        <row r="2929">
          <cell r="C2929" t="str">
            <v>51112119680919693X</v>
          </cell>
          <cell r="D2929" t="str">
            <v>男</v>
          </cell>
          <cell r="E2929" t="str">
            <v>汉族</v>
          </cell>
          <cell r="F2929" t="str">
            <v>19680919</v>
          </cell>
          <cell r="G2929">
            <v>53</v>
          </cell>
          <cell r="H2929" t="str">
            <v>四川省仁寿县贵平镇中岗村13组</v>
          </cell>
          <cell r="I2929">
            <v>13540332614</v>
          </cell>
        </row>
        <row r="2930">
          <cell r="C2930" t="str">
            <v>51382219990117686X</v>
          </cell>
          <cell r="D2930" t="str">
            <v>女</v>
          </cell>
          <cell r="E2930" t="str">
            <v>汉族</v>
          </cell>
          <cell r="F2930" t="str">
            <v>19990117</v>
          </cell>
          <cell r="G2930">
            <v>22</v>
          </cell>
          <cell r="H2930" t="str">
            <v>四川省仁寿县贵平镇中岗村13组</v>
          </cell>
          <cell r="I2930">
            <v>15884513635</v>
          </cell>
        </row>
        <row r="2931">
          <cell r="C2931" t="str">
            <v>511121198009086942</v>
          </cell>
          <cell r="D2931" t="str">
            <v>女</v>
          </cell>
          <cell r="E2931" t="str">
            <v>汉族</v>
          </cell>
          <cell r="F2931" t="str">
            <v>19800908</v>
          </cell>
          <cell r="G2931">
            <v>41</v>
          </cell>
          <cell r="H2931" t="str">
            <v>四川省仁寿县贵平镇中岗村13组</v>
          </cell>
          <cell r="I2931">
            <v>15983346415</v>
          </cell>
        </row>
        <row r="2932">
          <cell r="C2932" t="str">
            <v>511121198012207952</v>
          </cell>
          <cell r="D2932" t="str">
            <v>男</v>
          </cell>
          <cell r="E2932" t="str">
            <v>汉族</v>
          </cell>
          <cell r="F2932" t="str">
            <v>19801220</v>
          </cell>
          <cell r="G2932">
            <v>41</v>
          </cell>
          <cell r="H2932" t="str">
            <v>四川省仁寿县贵平镇中岗村13组</v>
          </cell>
          <cell r="I2932">
            <v>13778878806</v>
          </cell>
        </row>
        <row r="2933">
          <cell r="C2933" t="str">
            <v>511421201605316856</v>
          </cell>
          <cell r="D2933" t="str">
            <v>男</v>
          </cell>
          <cell r="E2933" t="str">
            <v>汉族</v>
          </cell>
          <cell r="F2933" t="str">
            <v>20160531</v>
          </cell>
          <cell r="G2933">
            <v>5</v>
          </cell>
          <cell r="H2933" t="str">
            <v>四川省仁寿县贵平镇中岗村13组</v>
          </cell>
        </row>
        <row r="2934">
          <cell r="C2934" t="str">
            <v>513822200407217676</v>
          </cell>
          <cell r="D2934" t="str">
            <v>男</v>
          </cell>
          <cell r="E2934" t="str">
            <v>汉族</v>
          </cell>
          <cell r="F2934" t="str">
            <v>20040721</v>
          </cell>
          <cell r="G2934">
            <v>17</v>
          </cell>
          <cell r="H2934" t="str">
            <v>四川省仁寿县贵平镇中岗村13组</v>
          </cell>
        </row>
        <row r="2935">
          <cell r="C2935" t="str">
            <v>51112119680814699X</v>
          </cell>
          <cell r="D2935" t="str">
            <v>男</v>
          </cell>
          <cell r="E2935" t="str">
            <v>汉族</v>
          </cell>
          <cell r="F2935" t="str">
            <v>19680814</v>
          </cell>
          <cell r="G2935">
            <v>53</v>
          </cell>
          <cell r="H2935" t="str">
            <v>四川省仁寿县贵平镇中岗村13组</v>
          </cell>
          <cell r="I2935">
            <v>13198360419</v>
          </cell>
        </row>
        <row r="2936">
          <cell r="C2936" t="str">
            <v>511121197009156942</v>
          </cell>
          <cell r="D2936" t="str">
            <v>女</v>
          </cell>
          <cell r="E2936" t="str">
            <v>汉族</v>
          </cell>
          <cell r="F2936" t="str">
            <v>19700915</v>
          </cell>
          <cell r="G2936">
            <v>51</v>
          </cell>
          <cell r="H2936" t="str">
            <v>四川省仁寿县贵平镇中岗村13组</v>
          </cell>
          <cell r="I2936">
            <v>18080396384</v>
          </cell>
        </row>
        <row r="2937">
          <cell r="C2937" t="str">
            <v>511121194509196947</v>
          </cell>
          <cell r="D2937" t="str">
            <v>女</v>
          </cell>
          <cell r="E2937" t="str">
            <v>汉族</v>
          </cell>
          <cell r="F2937" t="str">
            <v>19450919</v>
          </cell>
          <cell r="G2937">
            <v>76</v>
          </cell>
          <cell r="H2937" t="str">
            <v>四川省仁寿县贵平镇中岗村13组</v>
          </cell>
          <cell r="I2937">
            <v>15983346415</v>
          </cell>
        </row>
        <row r="2938">
          <cell r="C2938" t="str">
            <v>511121194506236739</v>
          </cell>
          <cell r="D2938" t="str">
            <v>男</v>
          </cell>
          <cell r="E2938" t="str">
            <v>汉族</v>
          </cell>
          <cell r="F2938" t="str">
            <v>19450623</v>
          </cell>
          <cell r="G2938">
            <v>76</v>
          </cell>
          <cell r="H2938" t="str">
            <v>四川省仁寿县贵平镇中岗村13组</v>
          </cell>
          <cell r="I2938">
            <v>13198360419</v>
          </cell>
        </row>
        <row r="2939">
          <cell r="C2939" t="str">
            <v>513822199302046940</v>
          </cell>
          <cell r="D2939" t="str">
            <v>女</v>
          </cell>
          <cell r="E2939" t="str">
            <v>汉族</v>
          </cell>
          <cell r="F2939" t="str">
            <v>19930204</v>
          </cell>
          <cell r="G2939">
            <v>28</v>
          </cell>
          <cell r="H2939" t="str">
            <v>四川省仁寿县贵平镇中岗村13组</v>
          </cell>
          <cell r="I2939">
            <v>18380273251</v>
          </cell>
        </row>
        <row r="2940">
          <cell r="C2940" t="str">
            <v>511121197405236936</v>
          </cell>
          <cell r="D2940" t="str">
            <v>男</v>
          </cell>
          <cell r="E2940" t="str">
            <v>汉族</v>
          </cell>
          <cell r="F2940" t="str">
            <v>19740523</v>
          </cell>
          <cell r="G2940">
            <v>47</v>
          </cell>
          <cell r="H2940" t="str">
            <v>四川省仁寿县贵平镇中岗村13组</v>
          </cell>
          <cell r="I2940">
            <v>19141074156</v>
          </cell>
        </row>
        <row r="2941">
          <cell r="C2941" t="str">
            <v>362427198010067025</v>
          </cell>
          <cell r="D2941" t="str">
            <v>女</v>
          </cell>
          <cell r="E2941" t="str">
            <v>汉族</v>
          </cell>
          <cell r="F2941" t="str">
            <v>19801006</v>
          </cell>
          <cell r="G2941">
            <v>41</v>
          </cell>
          <cell r="H2941" t="str">
            <v>四川省仁寿县贵平镇中岗村13组</v>
          </cell>
          <cell r="I2941">
            <v>19950226575</v>
          </cell>
        </row>
        <row r="2942">
          <cell r="C2942" t="str">
            <v>511421200511106749</v>
          </cell>
          <cell r="D2942" t="str">
            <v>女</v>
          </cell>
          <cell r="E2942" t="str">
            <v>汉族</v>
          </cell>
          <cell r="F2942" t="str">
            <v>20051110</v>
          </cell>
          <cell r="G2942">
            <v>16</v>
          </cell>
          <cell r="H2942" t="str">
            <v>四川省仁寿县贵平镇中岗村13组</v>
          </cell>
        </row>
        <row r="2943">
          <cell r="C2943" t="str">
            <v>511121195205186939</v>
          </cell>
          <cell r="D2943" t="str">
            <v>男</v>
          </cell>
          <cell r="E2943" t="str">
            <v>汉族</v>
          </cell>
          <cell r="F2943" t="str">
            <v>19520518</v>
          </cell>
          <cell r="G2943">
            <v>69</v>
          </cell>
          <cell r="H2943" t="str">
            <v>四川省仁寿县贵平镇中岗村13组</v>
          </cell>
          <cell r="I2943">
            <v>18384735461</v>
          </cell>
        </row>
        <row r="2944">
          <cell r="C2944" t="str">
            <v>511121195304166941</v>
          </cell>
          <cell r="D2944" t="str">
            <v>女</v>
          </cell>
          <cell r="E2944" t="str">
            <v>汉族</v>
          </cell>
          <cell r="F2944" t="str">
            <v>19530416</v>
          </cell>
          <cell r="G2944">
            <v>68</v>
          </cell>
          <cell r="H2944" t="str">
            <v>四川省仁寿县贵平镇中岗村13组</v>
          </cell>
          <cell r="I2944">
            <v>18980082950</v>
          </cell>
        </row>
        <row r="2945">
          <cell r="C2945" t="str">
            <v>511121197604056938</v>
          </cell>
          <cell r="D2945" t="str">
            <v>男</v>
          </cell>
          <cell r="E2945" t="str">
            <v>汉族</v>
          </cell>
          <cell r="F2945" t="str">
            <v>19760405</v>
          </cell>
          <cell r="G2945">
            <v>45</v>
          </cell>
          <cell r="H2945" t="str">
            <v>四川省仁寿县贵平镇中岗村13组</v>
          </cell>
          <cell r="I2945">
            <v>15883327335</v>
          </cell>
        </row>
        <row r="2946">
          <cell r="C2946" t="str">
            <v>513902198404172820</v>
          </cell>
          <cell r="D2946" t="str">
            <v>女</v>
          </cell>
          <cell r="E2946" t="str">
            <v>汉族</v>
          </cell>
          <cell r="F2946" t="str">
            <v>19840417</v>
          </cell>
          <cell r="G2946">
            <v>37</v>
          </cell>
          <cell r="H2946" t="str">
            <v>四川省仁寿县贵平镇中岗村13组</v>
          </cell>
          <cell r="I2946">
            <v>15983320065</v>
          </cell>
        </row>
        <row r="2947">
          <cell r="C2947" t="str">
            <v>513822199806186971</v>
          </cell>
          <cell r="D2947" t="str">
            <v>男</v>
          </cell>
          <cell r="E2947" t="str">
            <v>汉族</v>
          </cell>
          <cell r="F2947" t="str">
            <v>19980618</v>
          </cell>
          <cell r="G2947">
            <v>23</v>
          </cell>
          <cell r="H2947" t="str">
            <v>四川省仁寿县贵平镇中岗村13组</v>
          </cell>
          <cell r="I2947">
            <v>19992017518</v>
          </cell>
        </row>
        <row r="2948">
          <cell r="C2948" t="str">
            <v>511121195506086931</v>
          </cell>
          <cell r="D2948" t="str">
            <v>男</v>
          </cell>
          <cell r="E2948" t="str">
            <v>汉族</v>
          </cell>
          <cell r="F2948" t="str">
            <v>19550608</v>
          </cell>
          <cell r="G2948">
            <v>66</v>
          </cell>
          <cell r="H2948" t="str">
            <v>四川省仁寿县贵平镇中岗村13组</v>
          </cell>
          <cell r="I2948">
            <v>13550540599</v>
          </cell>
        </row>
        <row r="2949">
          <cell r="C2949" t="str">
            <v>513822200307066727</v>
          </cell>
          <cell r="D2949" t="str">
            <v>女</v>
          </cell>
          <cell r="E2949" t="str">
            <v>汉族</v>
          </cell>
          <cell r="F2949" t="str">
            <v>20030706</v>
          </cell>
          <cell r="G2949">
            <v>18</v>
          </cell>
          <cell r="H2949" t="str">
            <v>四川省仁寿县贵平镇中岗村13组</v>
          </cell>
        </row>
        <row r="2950">
          <cell r="C2950" t="str">
            <v>511121197809236932</v>
          </cell>
          <cell r="D2950" t="str">
            <v>男</v>
          </cell>
          <cell r="E2950" t="str">
            <v>汉族</v>
          </cell>
          <cell r="F2950" t="str">
            <v>19780923</v>
          </cell>
          <cell r="G2950">
            <v>43</v>
          </cell>
          <cell r="H2950" t="str">
            <v>四川省仁寿县贵平镇中岗村13组</v>
          </cell>
          <cell r="I2950">
            <v>13541146577</v>
          </cell>
        </row>
        <row r="2951">
          <cell r="C2951" t="str">
            <v>51112119780602693X</v>
          </cell>
          <cell r="D2951" t="str">
            <v>男</v>
          </cell>
          <cell r="E2951" t="str">
            <v>汉族</v>
          </cell>
          <cell r="F2951" t="str">
            <v>19780602</v>
          </cell>
          <cell r="G2951">
            <v>43</v>
          </cell>
          <cell r="H2951" t="str">
            <v>四川省仁寿县贵平镇中岗村13组</v>
          </cell>
          <cell r="I2951">
            <v>15378645132</v>
          </cell>
        </row>
        <row r="2952">
          <cell r="C2952" t="str">
            <v>511121198208046783</v>
          </cell>
          <cell r="D2952" t="str">
            <v>女</v>
          </cell>
          <cell r="E2952" t="str">
            <v>汉族</v>
          </cell>
          <cell r="F2952" t="str">
            <v>19820804</v>
          </cell>
          <cell r="G2952">
            <v>39</v>
          </cell>
          <cell r="H2952" t="str">
            <v>四川省仁寿县贵平镇中岗村13组</v>
          </cell>
          <cell r="I2952">
            <v>18384104690</v>
          </cell>
        </row>
        <row r="2953">
          <cell r="C2953" t="str">
            <v>513822200212196713</v>
          </cell>
          <cell r="D2953" t="str">
            <v>男</v>
          </cell>
          <cell r="E2953" t="str">
            <v>汉族</v>
          </cell>
          <cell r="F2953" t="str">
            <v>20021219</v>
          </cell>
          <cell r="G2953">
            <v>19</v>
          </cell>
          <cell r="H2953" t="str">
            <v>四川省仁寿县贵平镇中岗村13组</v>
          </cell>
          <cell r="I2953">
            <v>18583820538</v>
          </cell>
        </row>
        <row r="2954">
          <cell r="C2954" t="str">
            <v>511121195212076930</v>
          </cell>
          <cell r="D2954" t="str">
            <v>男</v>
          </cell>
          <cell r="E2954" t="str">
            <v>汉族</v>
          </cell>
          <cell r="F2954" t="str">
            <v>19521207</v>
          </cell>
          <cell r="G2954">
            <v>69</v>
          </cell>
          <cell r="H2954" t="str">
            <v>四川省仁寿县贵平镇中岗村13组</v>
          </cell>
          <cell r="I2954">
            <v>18583879385</v>
          </cell>
        </row>
        <row r="2955">
          <cell r="C2955" t="str">
            <v>511121195407296941</v>
          </cell>
          <cell r="D2955" t="str">
            <v>女</v>
          </cell>
          <cell r="E2955" t="str">
            <v>汉族</v>
          </cell>
          <cell r="F2955" t="str">
            <v>19540729</v>
          </cell>
          <cell r="G2955">
            <v>67</v>
          </cell>
          <cell r="H2955" t="str">
            <v>四川省仁寿县贵平镇中岗村13组</v>
          </cell>
          <cell r="I2955">
            <v>18282460635</v>
          </cell>
        </row>
        <row r="2956">
          <cell r="C2956" t="str">
            <v>511121197710196934</v>
          </cell>
          <cell r="D2956" t="str">
            <v>男</v>
          </cell>
          <cell r="E2956" t="str">
            <v>汉族</v>
          </cell>
          <cell r="F2956" t="str">
            <v>19771019</v>
          </cell>
          <cell r="G2956">
            <v>44</v>
          </cell>
          <cell r="H2956" t="str">
            <v>四川省仁寿县贵平镇中岗村13组</v>
          </cell>
          <cell r="I2956">
            <v>13778806115</v>
          </cell>
        </row>
        <row r="2957">
          <cell r="C2957" t="str">
            <v>511121196609106944</v>
          </cell>
          <cell r="D2957" t="str">
            <v>女</v>
          </cell>
          <cell r="E2957" t="str">
            <v>汉族</v>
          </cell>
          <cell r="F2957" t="str">
            <v>19660910</v>
          </cell>
          <cell r="G2957">
            <v>55</v>
          </cell>
          <cell r="H2957" t="str">
            <v>四川省仁寿县贵平镇中岗村13组</v>
          </cell>
          <cell r="I2957">
            <v>13072885060</v>
          </cell>
        </row>
        <row r="2958">
          <cell r="C2958" t="str">
            <v>511121197612086969</v>
          </cell>
          <cell r="D2958" t="str">
            <v>女</v>
          </cell>
          <cell r="E2958" t="str">
            <v>汉族</v>
          </cell>
          <cell r="F2958" t="str">
            <v>19761208</v>
          </cell>
          <cell r="G2958">
            <v>45</v>
          </cell>
          <cell r="H2958" t="str">
            <v>四川省仁寿县贵平镇中岗村13组</v>
          </cell>
          <cell r="I2958">
            <v>15884337021</v>
          </cell>
        </row>
        <row r="2959">
          <cell r="C2959" t="str">
            <v>511421201305046858</v>
          </cell>
          <cell r="D2959" t="str">
            <v>男</v>
          </cell>
          <cell r="E2959" t="str">
            <v>汉族</v>
          </cell>
          <cell r="F2959" t="str">
            <v>20130504</v>
          </cell>
          <cell r="G2959">
            <v>8</v>
          </cell>
          <cell r="H2959" t="str">
            <v>四川省仁寿县贵平镇中岗村13组</v>
          </cell>
        </row>
        <row r="2960">
          <cell r="C2960" t="str">
            <v>51112119520229693X</v>
          </cell>
          <cell r="D2960" t="str">
            <v>男</v>
          </cell>
          <cell r="E2960" t="str">
            <v>汉族</v>
          </cell>
          <cell r="F2960" t="str">
            <v>19520229</v>
          </cell>
          <cell r="G2960">
            <v>69</v>
          </cell>
          <cell r="H2960" t="str">
            <v>四川省仁寿县贵平镇中岗村13组</v>
          </cell>
          <cell r="I2960">
            <v>13388241522</v>
          </cell>
        </row>
        <row r="2961">
          <cell r="C2961" t="str">
            <v>511121195510186740</v>
          </cell>
          <cell r="D2961" t="str">
            <v>男</v>
          </cell>
          <cell r="E2961" t="str">
            <v>汉族</v>
          </cell>
          <cell r="F2961" t="str">
            <v>19551018</v>
          </cell>
          <cell r="G2961">
            <v>66</v>
          </cell>
          <cell r="H2961" t="str">
            <v>四川省仁寿县贵平镇中岗村13组</v>
          </cell>
          <cell r="I2961">
            <v>18780266476</v>
          </cell>
        </row>
        <row r="2962">
          <cell r="C2962" t="str">
            <v>511121196509096777</v>
          </cell>
          <cell r="D2962" t="str">
            <v>男</v>
          </cell>
          <cell r="E2962" t="str">
            <v>汉族</v>
          </cell>
          <cell r="F2962" t="str">
            <v>19650909</v>
          </cell>
          <cell r="G2962">
            <v>56</v>
          </cell>
          <cell r="H2962" t="str">
            <v>四川省仁寿县贵平镇中岗村13组</v>
          </cell>
          <cell r="I2962">
            <v>15982496682</v>
          </cell>
        </row>
        <row r="2963">
          <cell r="C2963" t="str">
            <v>511121195209296959</v>
          </cell>
          <cell r="D2963" t="str">
            <v>男</v>
          </cell>
          <cell r="E2963" t="str">
            <v>汉族</v>
          </cell>
          <cell r="F2963" t="str">
            <v>19520929</v>
          </cell>
          <cell r="G2963">
            <v>69</v>
          </cell>
          <cell r="H2963" t="str">
            <v>四川省仁寿县贵平镇中岗村13组</v>
          </cell>
          <cell r="I2963">
            <v>18384787683</v>
          </cell>
        </row>
        <row r="2964">
          <cell r="C2964" t="str">
            <v>511121195310106945</v>
          </cell>
          <cell r="D2964" t="str">
            <v>女</v>
          </cell>
          <cell r="E2964" t="str">
            <v>汉族</v>
          </cell>
          <cell r="F2964" t="str">
            <v>19531010</v>
          </cell>
          <cell r="G2964">
            <v>68</v>
          </cell>
          <cell r="H2964" t="str">
            <v>四川省仁寿县贵平镇中岗村13组</v>
          </cell>
          <cell r="I2964">
            <v>18384787685</v>
          </cell>
        </row>
        <row r="2965">
          <cell r="C2965" t="str">
            <v>511121194602206943</v>
          </cell>
          <cell r="D2965" t="str">
            <v>女</v>
          </cell>
          <cell r="E2965" t="str">
            <v>汉族</v>
          </cell>
          <cell r="F2965" t="str">
            <v>19460220</v>
          </cell>
          <cell r="G2965">
            <v>75</v>
          </cell>
          <cell r="H2965" t="str">
            <v>四川省仁寿县贵平镇中岗村13组</v>
          </cell>
          <cell r="I2965">
            <v>18089501547</v>
          </cell>
        </row>
        <row r="2966">
          <cell r="C2966" t="str">
            <v>513822199701256945</v>
          </cell>
          <cell r="D2966" t="str">
            <v>女</v>
          </cell>
          <cell r="E2966" t="str">
            <v>汉族</v>
          </cell>
          <cell r="F2966" t="str">
            <v>19970125</v>
          </cell>
          <cell r="G2966">
            <v>24</v>
          </cell>
          <cell r="H2966" t="str">
            <v>四川省仁寿县贵平镇中岗村13组</v>
          </cell>
          <cell r="I2966">
            <v>13547669493</v>
          </cell>
        </row>
        <row r="2967">
          <cell r="C2967" t="str">
            <v>511121197011306938</v>
          </cell>
          <cell r="D2967" t="str">
            <v>男</v>
          </cell>
          <cell r="E2967" t="str">
            <v>汉族</v>
          </cell>
          <cell r="F2967" t="str">
            <v>19701130</v>
          </cell>
          <cell r="G2967">
            <v>51</v>
          </cell>
          <cell r="H2967" t="str">
            <v>四川省仁寿县贵平镇中岗村13组</v>
          </cell>
          <cell r="I2967">
            <v>15282369630</v>
          </cell>
        </row>
        <row r="2968">
          <cell r="C2968" t="str">
            <v>511121197211296949</v>
          </cell>
          <cell r="D2968" t="str">
            <v>女</v>
          </cell>
          <cell r="E2968" t="str">
            <v>汉族</v>
          </cell>
          <cell r="F2968" t="str">
            <v>19721129</v>
          </cell>
          <cell r="G2968">
            <v>49</v>
          </cell>
          <cell r="H2968" t="str">
            <v>四川省仁寿县贵平镇中岗村13组</v>
          </cell>
          <cell r="I2968">
            <v>15990332460</v>
          </cell>
        </row>
        <row r="2969">
          <cell r="C2969" t="str">
            <v>513822199402276938</v>
          </cell>
          <cell r="D2969" t="str">
            <v>男</v>
          </cell>
          <cell r="E2969" t="str">
            <v>汉族</v>
          </cell>
          <cell r="F2969" t="str">
            <v>19940227</v>
          </cell>
          <cell r="G2969">
            <v>27</v>
          </cell>
          <cell r="H2969" t="str">
            <v>四川省仁寿县贵平镇中岗村13组</v>
          </cell>
          <cell r="I2969">
            <v>13633548030</v>
          </cell>
        </row>
        <row r="2970">
          <cell r="C2970" t="str">
            <v>511121194912116935</v>
          </cell>
          <cell r="D2970" t="str">
            <v>男</v>
          </cell>
          <cell r="E2970" t="str">
            <v>汉族</v>
          </cell>
          <cell r="F2970" t="str">
            <v>19491211</v>
          </cell>
          <cell r="G2970">
            <v>72</v>
          </cell>
          <cell r="H2970" t="str">
            <v>四川省仁寿县贵平镇中岗村13组</v>
          </cell>
          <cell r="I2970">
            <v>15182249038</v>
          </cell>
        </row>
        <row r="2971">
          <cell r="C2971" t="str">
            <v>511121195101266942</v>
          </cell>
          <cell r="D2971" t="str">
            <v>女</v>
          </cell>
          <cell r="E2971" t="str">
            <v>汉族</v>
          </cell>
          <cell r="F2971" t="str">
            <v>19510126</v>
          </cell>
          <cell r="G2971">
            <v>70</v>
          </cell>
          <cell r="H2971" t="str">
            <v>四川省仁寿县贵平镇中岗村13组</v>
          </cell>
          <cell r="I2971">
            <v>18783381472</v>
          </cell>
        </row>
        <row r="2972">
          <cell r="C2972" t="str">
            <v>513822199706266931</v>
          </cell>
          <cell r="D2972" t="str">
            <v>男</v>
          </cell>
          <cell r="E2972" t="str">
            <v>汉族</v>
          </cell>
          <cell r="F2972" t="str">
            <v>19970626</v>
          </cell>
          <cell r="G2972">
            <v>24</v>
          </cell>
          <cell r="H2972" t="str">
            <v>四川省仁寿县贵平镇中岗村13组</v>
          </cell>
          <cell r="I2972">
            <v>13679648300</v>
          </cell>
        </row>
        <row r="2973">
          <cell r="C2973" t="str">
            <v>513822199409106931</v>
          </cell>
          <cell r="D2973" t="str">
            <v>男</v>
          </cell>
          <cell r="E2973" t="str">
            <v>汉族</v>
          </cell>
          <cell r="F2973" t="str">
            <v>19940910</v>
          </cell>
          <cell r="G2973">
            <v>27</v>
          </cell>
          <cell r="H2973" t="str">
            <v>四川省仁寿县贵平镇中岗村13组</v>
          </cell>
          <cell r="I2973">
            <v>13547983057</v>
          </cell>
        </row>
        <row r="2974">
          <cell r="C2974" t="str">
            <v>511121194904056944</v>
          </cell>
          <cell r="D2974" t="str">
            <v>女</v>
          </cell>
          <cell r="E2974" t="str">
            <v>汉族</v>
          </cell>
          <cell r="F2974" t="str">
            <v>19490405</v>
          </cell>
          <cell r="G2974">
            <v>72</v>
          </cell>
          <cell r="H2974" t="str">
            <v>四川省仁寿县贵平镇中岗村13组</v>
          </cell>
          <cell r="I2974">
            <v>14780132702</v>
          </cell>
        </row>
        <row r="2975">
          <cell r="C2975" t="str">
            <v>511121195511206934</v>
          </cell>
          <cell r="D2975" t="str">
            <v>男</v>
          </cell>
          <cell r="E2975" t="str">
            <v>汉族</v>
          </cell>
          <cell r="F2975" t="str">
            <v>19551120</v>
          </cell>
          <cell r="G2975">
            <v>66</v>
          </cell>
          <cell r="H2975" t="str">
            <v>四川省仁寿县贵平镇中岗村13组</v>
          </cell>
          <cell r="I2975">
            <v>18384788198</v>
          </cell>
        </row>
        <row r="2976">
          <cell r="C2976" t="str">
            <v>511121197410236930</v>
          </cell>
          <cell r="D2976" t="str">
            <v>男</v>
          </cell>
          <cell r="E2976" t="str">
            <v>汉族</v>
          </cell>
          <cell r="F2976" t="str">
            <v>19741023</v>
          </cell>
          <cell r="G2976">
            <v>47</v>
          </cell>
          <cell r="H2976" t="str">
            <v>四川省仁寿县贵平镇中岗村13组</v>
          </cell>
          <cell r="I2976">
            <v>13982916989</v>
          </cell>
        </row>
        <row r="2977">
          <cell r="C2977" t="str">
            <v>511121196912076979</v>
          </cell>
          <cell r="D2977" t="str">
            <v>男</v>
          </cell>
          <cell r="E2977" t="str">
            <v>汉族</v>
          </cell>
          <cell r="F2977" t="str">
            <v>19691207</v>
          </cell>
          <cell r="G2977">
            <v>52</v>
          </cell>
          <cell r="H2977" t="str">
            <v>四川省仁寿县贵平镇中岗村13组</v>
          </cell>
          <cell r="I2977">
            <v>13982935802</v>
          </cell>
        </row>
        <row r="2978">
          <cell r="C2978" t="str">
            <v>511121197112116949</v>
          </cell>
          <cell r="D2978" t="str">
            <v>女</v>
          </cell>
          <cell r="E2978" t="str">
            <v>汉族</v>
          </cell>
          <cell r="F2978" t="str">
            <v>19711211</v>
          </cell>
          <cell r="G2978">
            <v>50</v>
          </cell>
          <cell r="H2978" t="str">
            <v>四川省仁寿县贵平镇中岗村13组</v>
          </cell>
          <cell r="I2978">
            <v>13739432982</v>
          </cell>
        </row>
        <row r="2979">
          <cell r="C2979" t="str">
            <v>513822199302046932</v>
          </cell>
          <cell r="D2979" t="str">
            <v>男</v>
          </cell>
          <cell r="E2979" t="str">
            <v>汉族</v>
          </cell>
          <cell r="F2979" t="str">
            <v>19930204</v>
          </cell>
          <cell r="G2979">
            <v>28</v>
          </cell>
          <cell r="H2979" t="str">
            <v>四川省仁寿县贵平镇中岗村13组</v>
          </cell>
          <cell r="I2979">
            <v>18227409657</v>
          </cell>
        </row>
        <row r="2980">
          <cell r="C2980" t="str">
            <v>511023199506054062</v>
          </cell>
          <cell r="D2980" t="str">
            <v>女</v>
          </cell>
          <cell r="E2980" t="str">
            <v>汉族</v>
          </cell>
          <cell r="F2980" t="str">
            <v>19950605</v>
          </cell>
          <cell r="G2980">
            <v>26</v>
          </cell>
          <cell r="H2980" t="str">
            <v>四川省仁寿县贵平镇中岗村13组</v>
          </cell>
          <cell r="I2980">
            <v>18227402709</v>
          </cell>
        </row>
        <row r="2981">
          <cell r="C2981" t="str">
            <v>512021201407074074</v>
          </cell>
          <cell r="D2981" t="str">
            <v>男</v>
          </cell>
          <cell r="E2981" t="str">
            <v>汉族</v>
          </cell>
          <cell r="F2981" t="str">
            <v>20140707</v>
          </cell>
          <cell r="G2981">
            <v>7</v>
          </cell>
          <cell r="H2981" t="str">
            <v>四川省仁寿县贵平镇中岗村13组</v>
          </cell>
        </row>
        <row r="2982">
          <cell r="C2982" t="str">
            <v>511121194805146936</v>
          </cell>
          <cell r="D2982" t="str">
            <v>男</v>
          </cell>
          <cell r="E2982" t="str">
            <v>汉族</v>
          </cell>
          <cell r="F2982" t="str">
            <v>19480514</v>
          </cell>
          <cell r="G2982">
            <v>73</v>
          </cell>
          <cell r="H2982" t="str">
            <v>四川省仁寿县贵平镇中岗村13组</v>
          </cell>
          <cell r="I2982">
            <v>18381430372</v>
          </cell>
        </row>
        <row r="2983">
          <cell r="C2983" t="str">
            <v>511121195303256961</v>
          </cell>
          <cell r="D2983" t="str">
            <v>女</v>
          </cell>
          <cell r="E2983" t="str">
            <v>汉族</v>
          </cell>
          <cell r="F2983" t="str">
            <v>19530325</v>
          </cell>
          <cell r="G2983">
            <v>68</v>
          </cell>
          <cell r="H2983" t="str">
            <v>四川省仁寿县贵平镇中岗村13组</v>
          </cell>
        </row>
        <row r="2984">
          <cell r="C2984" t="str">
            <v>511121197809116930</v>
          </cell>
          <cell r="D2984" t="str">
            <v>男</v>
          </cell>
          <cell r="E2984" t="str">
            <v>汉族</v>
          </cell>
          <cell r="F2984" t="str">
            <v>19780911</v>
          </cell>
          <cell r="G2984">
            <v>43</v>
          </cell>
          <cell r="H2984" t="str">
            <v>四川省仁寿县贵平镇中岗村13组</v>
          </cell>
          <cell r="I2984">
            <v>18983174281</v>
          </cell>
        </row>
        <row r="2985">
          <cell r="C2985" t="str">
            <v>511121194611216932</v>
          </cell>
          <cell r="D2985" t="str">
            <v>男</v>
          </cell>
          <cell r="E2985" t="str">
            <v>汉族</v>
          </cell>
          <cell r="F2985" t="str">
            <v>19461121</v>
          </cell>
          <cell r="G2985">
            <v>75</v>
          </cell>
          <cell r="H2985" t="str">
            <v>四川省仁寿县贵平镇中岗村13组</v>
          </cell>
          <cell r="I2985">
            <v>18728359075</v>
          </cell>
        </row>
        <row r="2986">
          <cell r="C2986" t="str">
            <v>51112119491115696X</v>
          </cell>
          <cell r="D2986" t="str">
            <v>女</v>
          </cell>
          <cell r="E2986" t="str">
            <v>汉族</v>
          </cell>
          <cell r="F2986" t="str">
            <v>19491115</v>
          </cell>
          <cell r="G2986">
            <v>72</v>
          </cell>
          <cell r="H2986" t="str">
            <v>四川省仁寿县贵平镇中岗村13组</v>
          </cell>
        </row>
        <row r="2987">
          <cell r="C2987" t="str">
            <v>511027197205248740</v>
          </cell>
          <cell r="D2987" t="str">
            <v>女</v>
          </cell>
          <cell r="E2987" t="str">
            <v>汉族</v>
          </cell>
          <cell r="F2987" t="str">
            <v>19720524</v>
          </cell>
          <cell r="G2987">
            <v>49</v>
          </cell>
          <cell r="H2987" t="str">
            <v>四川省仁寿县贵平镇中岗村13组</v>
          </cell>
          <cell r="I2987">
            <v>15182201270</v>
          </cell>
        </row>
        <row r="2988">
          <cell r="C2988" t="str">
            <v>511121194211216933</v>
          </cell>
          <cell r="D2988" t="str">
            <v>男</v>
          </cell>
          <cell r="E2988" t="str">
            <v>汉族</v>
          </cell>
          <cell r="F2988" t="str">
            <v>19421121</v>
          </cell>
          <cell r="G2988">
            <v>79</v>
          </cell>
          <cell r="H2988" t="str">
            <v>四川省仁寿县贵平镇中岗村13组</v>
          </cell>
          <cell r="I2988">
            <v>15397702014</v>
          </cell>
        </row>
        <row r="2989">
          <cell r="C2989" t="str">
            <v>511121194802226949</v>
          </cell>
          <cell r="D2989" t="str">
            <v>女</v>
          </cell>
          <cell r="E2989" t="str">
            <v>汉族</v>
          </cell>
          <cell r="F2989" t="str">
            <v>19480222</v>
          </cell>
          <cell r="G2989">
            <v>73</v>
          </cell>
          <cell r="H2989" t="str">
            <v>四川省仁寿县贵平镇中岗村13组</v>
          </cell>
        </row>
        <row r="2990">
          <cell r="C2990" t="str">
            <v>511121196812086977</v>
          </cell>
          <cell r="D2990" t="str">
            <v>男</v>
          </cell>
          <cell r="E2990" t="str">
            <v>汉族</v>
          </cell>
          <cell r="F2990" t="str">
            <v>19681208</v>
          </cell>
          <cell r="G2990">
            <v>53</v>
          </cell>
          <cell r="H2990" t="str">
            <v>四川省仁寿县贵平镇中岗村13组</v>
          </cell>
          <cell r="I2990">
            <v>13668276433</v>
          </cell>
        </row>
        <row r="2991">
          <cell r="C2991" t="str">
            <v>51112119681210694X</v>
          </cell>
          <cell r="D2991" t="str">
            <v>女</v>
          </cell>
          <cell r="E2991" t="str">
            <v>汉族</v>
          </cell>
          <cell r="F2991" t="str">
            <v>19681210</v>
          </cell>
          <cell r="G2991">
            <v>53</v>
          </cell>
          <cell r="H2991" t="str">
            <v>四川省仁寿县贵平镇中岗村13组</v>
          </cell>
          <cell r="I2991">
            <v>13880922243</v>
          </cell>
        </row>
        <row r="2992">
          <cell r="C2992" t="str">
            <v>513822199707046930</v>
          </cell>
          <cell r="D2992" t="str">
            <v>男</v>
          </cell>
          <cell r="E2992" t="str">
            <v>汉族</v>
          </cell>
          <cell r="F2992" t="str">
            <v>19970704</v>
          </cell>
          <cell r="G2992">
            <v>24</v>
          </cell>
          <cell r="H2992" t="str">
            <v>四川省仁寿县贵平镇中岗村13组</v>
          </cell>
          <cell r="I2992">
            <v>16605890940</v>
          </cell>
        </row>
        <row r="2993">
          <cell r="C2993" t="str">
            <v>513822199401276936</v>
          </cell>
          <cell r="D2993" t="str">
            <v>男</v>
          </cell>
          <cell r="E2993" t="str">
            <v>汉族</v>
          </cell>
          <cell r="F2993" t="str">
            <v>19940127</v>
          </cell>
          <cell r="G2993">
            <v>27</v>
          </cell>
          <cell r="H2993" t="str">
            <v>四川省仁寿县贵平镇中岗村13组</v>
          </cell>
          <cell r="I2993">
            <v>15882209281</v>
          </cell>
        </row>
        <row r="2994">
          <cell r="C2994" t="str">
            <v>510623199502144628</v>
          </cell>
          <cell r="D2994" t="str">
            <v>女</v>
          </cell>
          <cell r="E2994" t="str">
            <v>汉族</v>
          </cell>
          <cell r="F2994" t="str">
            <v>19950214</v>
          </cell>
          <cell r="G2994">
            <v>26</v>
          </cell>
          <cell r="H2994" t="str">
            <v>四川省仁寿县贵平镇中岗村13组</v>
          </cell>
          <cell r="I2994">
            <v>18280151905</v>
          </cell>
        </row>
        <row r="2995">
          <cell r="C2995" t="str">
            <v>511421201605256865</v>
          </cell>
          <cell r="D2995" t="str">
            <v>女</v>
          </cell>
          <cell r="E2995" t="str">
            <v>汉族</v>
          </cell>
          <cell r="F2995" t="str">
            <v>20160525</v>
          </cell>
          <cell r="G2995">
            <v>5</v>
          </cell>
          <cell r="H2995" t="str">
            <v>四川省仁寿县贵平镇中岗村13组</v>
          </cell>
        </row>
        <row r="2996">
          <cell r="C2996" t="str">
            <v>511121196308046933</v>
          </cell>
          <cell r="D2996" t="str">
            <v>男</v>
          </cell>
          <cell r="E2996" t="str">
            <v>汉族</v>
          </cell>
          <cell r="F2996" t="str">
            <v>19630804</v>
          </cell>
          <cell r="G2996">
            <v>58</v>
          </cell>
          <cell r="H2996" t="str">
            <v>四川省仁寿县贵平镇中岗村13组</v>
          </cell>
          <cell r="I2996">
            <v>15198138449</v>
          </cell>
        </row>
        <row r="2997">
          <cell r="C2997" t="str">
            <v>513822198706176931</v>
          </cell>
          <cell r="D2997" t="str">
            <v>男</v>
          </cell>
          <cell r="E2997" t="str">
            <v>汉族</v>
          </cell>
          <cell r="F2997" t="str">
            <v>19870617</v>
          </cell>
          <cell r="G2997">
            <v>34</v>
          </cell>
          <cell r="H2997" t="str">
            <v>四川省仁寿县贵平镇中岗村13组</v>
          </cell>
          <cell r="I2997">
            <v>15982276358</v>
          </cell>
        </row>
        <row r="2998">
          <cell r="C2998" t="str">
            <v>513822199012196932</v>
          </cell>
          <cell r="D2998" t="str">
            <v>男</v>
          </cell>
          <cell r="E2998" t="str">
            <v>汉族</v>
          </cell>
          <cell r="F2998" t="str">
            <v>19901219</v>
          </cell>
          <cell r="G2998">
            <v>31</v>
          </cell>
          <cell r="H2998" t="str">
            <v>四川省仁寿县贵平镇中岗村13组</v>
          </cell>
          <cell r="I2998">
            <v>15881189208</v>
          </cell>
        </row>
        <row r="2999">
          <cell r="C2999" t="str">
            <v>511121195312246941</v>
          </cell>
          <cell r="D2999" t="str">
            <v>女</v>
          </cell>
          <cell r="E2999" t="str">
            <v>汉族</v>
          </cell>
          <cell r="F2999" t="str">
            <v>19531224</v>
          </cell>
          <cell r="G2999">
            <v>68</v>
          </cell>
          <cell r="H2999" t="str">
            <v>四川省仁寿县贵平镇中岗村13组</v>
          </cell>
          <cell r="I2999">
            <v>13990352343</v>
          </cell>
        </row>
        <row r="3000">
          <cell r="C3000" t="str">
            <v>511121195408296935</v>
          </cell>
          <cell r="D3000" t="str">
            <v>男</v>
          </cell>
          <cell r="E3000" t="str">
            <v>汉族</v>
          </cell>
          <cell r="F3000" t="str">
            <v>19540829</v>
          </cell>
          <cell r="G3000">
            <v>67</v>
          </cell>
          <cell r="H3000" t="str">
            <v>四川省仁寿县贵平镇中岗村13组</v>
          </cell>
          <cell r="I3000">
            <v>18728359075</v>
          </cell>
        </row>
        <row r="3001">
          <cell r="C3001" t="str">
            <v>511121195311286941</v>
          </cell>
          <cell r="D3001" t="str">
            <v>女</v>
          </cell>
          <cell r="E3001" t="str">
            <v>汉族</v>
          </cell>
          <cell r="F3001" t="str">
            <v>19531128</v>
          </cell>
          <cell r="G3001">
            <v>68</v>
          </cell>
          <cell r="H3001" t="str">
            <v>四川省仁寿县贵平镇中岗村13组</v>
          </cell>
          <cell r="I3001">
            <v>17380955672</v>
          </cell>
        </row>
        <row r="3002">
          <cell r="C3002" t="str">
            <v>513822199401196944</v>
          </cell>
          <cell r="D3002" t="str">
            <v>女</v>
          </cell>
          <cell r="E3002" t="str">
            <v>汉族</v>
          </cell>
          <cell r="F3002" t="str">
            <v>19940119</v>
          </cell>
          <cell r="G3002">
            <v>27</v>
          </cell>
          <cell r="H3002" t="str">
            <v>四川省仁寿县贵平镇中岗村13组</v>
          </cell>
          <cell r="I3002">
            <v>18227831080</v>
          </cell>
        </row>
        <row r="3003">
          <cell r="C3003" t="str">
            <v>511121196310046932</v>
          </cell>
          <cell r="D3003" t="str">
            <v>男</v>
          </cell>
          <cell r="E3003" t="str">
            <v>汉族</v>
          </cell>
          <cell r="F3003" t="str">
            <v>19631004</v>
          </cell>
          <cell r="G3003">
            <v>58</v>
          </cell>
          <cell r="H3003" t="str">
            <v>四川省仁寿县贵平镇中岗村13组</v>
          </cell>
          <cell r="I3003">
            <v>17828224324</v>
          </cell>
        </row>
        <row r="3004">
          <cell r="C3004" t="str">
            <v>511121196607186944</v>
          </cell>
          <cell r="D3004" t="str">
            <v>女</v>
          </cell>
          <cell r="E3004" t="str">
            <v>汉族</v>
          </cell>
          <cell r="F3004" t="str">
            <v>19660718</v>
          </cell>
          <cell r="G3004">
            <v>55</v>
          </cell>
          <cell r="H3004" t="str">
            <v>四川省仁寿县贵平镇中岗村13组</v>
          </cell>
          <cell r="I3004">
            <v>18280287223</v>
          </cell>
        </row>
        <row r="3005">
          <cell r="C3005" t="str">
            <v>513822198811146937</v>
          </cell>
          <cell r="D3005" t="str">
            <v>男</v>
          </cell>
          <cell r="E3005" t="str">
            <v>汉族</v>
          </cell>
          <cell r="F3005" t="str">
            <v>19881114</v>
          </cell>
          <cell r="G3005">
            <v>33</v>
          </cell>
          <cell r="H3005" t="str">
            <v>四川省仁寿县贵平镇中岗村13组</v>
          </cell>
          <cell r="I3005">
            <v>15883303858</v>
          </cell>
        </row>
        <row r="3006">
          <cell r="C3006" t="str">
            <v>511121194805146944</v>
          </cell>
          <cell r="D3006" t="str">
            <v>女</v>
          </cell>
          <cell r="E3006" t="str">
            <v>汉族</v>
          </cell>
          <cell r="F3006" t="str">
            <v>19480514</v>
          </cell>
          <cell r="G3006">
            <v>73</v>
          </cell>
          <cell r="H3006" t="str">
            <v>四川省仁寿县贵平镇中岗村13组</v>
          </cell>
          <cell r="I3006">
            <v>18080395467</v>
          </cell>
        </row>
        <row r="3007">
          <cell r="C3007" t="str">
            <v>511121197007166936</v>
          </cell>
          <cell r="D3007" t="str">
            <v>男</v>
          </cell>
          <cell r="E3007" t="str">
            <v>汉族</v>
          </cell>
          <cell r="F3007" t="str">
            <v>19700716</v>
          </cell>
          <cell r="G3007">
            <v>51</v>
          </cell>
          <cell r="H3007" t="str">
            <v>四川省仁寿县贵平镇中岗村13组</v>
          </cell>
          <cell r="I3007">
            <v>13550048266</v>
          </cell>
        </row>
        <row r="3008">
          <cell r="C3008" t="str">
            <v>511121196902197689</v>
          </cell>
          <cell r="D3008" t="str">
            <v>女</v>
          </cell>
          <cell r="E3008" t="str">
            <v>汉族</v>
          </cell>
          <cell r="F3008" t="str">
            <v>19690219</v>
          </cell>
          <cell r="G3008">
            <v>52</v>
          </cell>
          <cell r="H3008" t="str">
            <v>四川省仁寿县贵平镇中岗村13组</v>
          </cell>
          <cell r="I3008">
            <v>15902849476</v>
          </cell>
        </row>
        <row r="3009">
          <cell r="C3009" t="str">
            <v>513822199312286948</v>
          </cell>
          <cell r="D3009" t="str">
            <v>女</v>
          </cell>
          <cell r="E3009" t="str">
            <v>汉族</v>
          </cell>
          <cell r="F3009" t="str">
            <v>19931228</v>
          </cell>
          <cell r="G3009">
            <v>28</v>
          </cell>
          <cell r="H3009" t="str">
            <v>四川省仁寿县贵平镇中岗村13组</v>
          </cell>
          <cell r="I3009">
            <v>18113124751</v>
          </cell>
        </row>
        <row r="3010">
          <cell r="C3010" t="str">
            <v>51142120200128021X</v>
          </cell>
          <cell r="D3010" t="str">
            <v>男</v>
          </cell>
          <cell r="E3010" t="str">
            <v>汉族</v>
          </cell>
          <cell r="F3010" t="str">
            <v>20200128</v>
          </cell>
          <cell r="G3010">
            <v>1</v>
          </cell>
          <cell r="H3010" t="str">
            <v>四川省仁寿县贵平镇中岗村13组</v>
          </cell>
        </row>
        <row r="3011">
          <cell r="C3011" t="str">
            <v>511121196510296936</v>
          </cell>
          <cell r="D3011" t="str">
            <v>男</v>
          </cell>
          <cell r="E3011" t="str">
            <v>汉族</v>
          </cell>
          <cell r="F3011" t="str">
            <v>19651029</v>
          </cell>
          <cell r="G3011">
            <v>56</v>
          </cell>
          <cell r="H3011" t="str">
            <v>四川省仁寿县贵平镇中岗村13组</v>
          </cell>
          <cell r="I3011">
            <v>13688003093</v>
          </cell>
        </row>
        <row r="3012">
          <cell r="C3012" t="str">
            <v>511121196404206941</v>
          </cell>
          <cell r="D3012" t="str">
            <v>女</v>
          </cell>
          <cell r="E3012" t="str">
            <v>汉族</v>
          </cell>
          <cell r="F3012" t="str">
            <v>19640420</v>
          </cell>
          <cell r="G3012">
            <v>57</v>
          </cell>
          <cell r="H3012" t="str">
            <v>四川省仁寿县贵平镇中岗村13组</v>
          </cell>
          <cell r="I3012">
            <v>18380285492</v>
          </cell>
        </row>
        <row r="3013">
          <cell r="C3013" t="str">
            <v>513822198703216942</v>
          </cell>
          <cell r="D3013" t="str">
            <v>女</v>
          </cell>
          <cell r="E3013" t="str">
            <v>汉族</v>
          </cell>
          <cell r="F3013" t="str">
            <v>19870321</v>
          </cell>
          <cell r="G3013">
            <v>34</v>
          </cell>
          <cell r="H3013" t="str">
            <v>四川省仁寿县贵平镇中岗村13组</v>
          </cell>
          <cell r="I3013">
            <v>13551361261</v>
          </cell>
        </row>
        <row r="3014">
          <cell r="C3014" t="str">
            <v>511121195609136938</v>
          </cell>
          <cell r="D3014" t="str">
            <v>男</v>
          </cell>
          <cell r="E3014" t="str">
            <v>汉族</v>
          </cell>
          <cell r="F3014" t="str">
            <v>19560913</v>
          </cell>
          <cell r="G3014">
            <v>65</v>
          </cell>
          <cell r="H3014" t="str">
            <v>四川省仁寿县贵平镇中岗村13组</v>
          </cell>
          <cell r="I3014">
            <v>15892710408</v>
          </cell>
        </row>
        <row r="3015">
          <cell r="C3015" t="str">
            <v>511121195412146964</v>
          </cell>
          <cell r="D3015" t="str">
            <v>女</v>
          </cell>
          <cell r="E3015" t="str">
            <v>汉族</v>
          </cell>
          <cell r="F3015" t="str">
            <v>19541214</v>
          </cell>
          <cell r="G3015">
            <v>67</v>
          </cell>
          <cell r="H3015" t="str">
            <v>四川省仁寿县贵平镇中岗村13组</v>
          </cell>
          <cell r="I3015">
            <v>15892748003</v>
          </cell>
        </row>
        <row r="3016">
          <cell r="C3016" t="str">
            <v>511121197702176933</v>
          </cell>
          <cell r="D3016" t="str">
            <v>男</v>
          </cell>
          <cell r="E3016" t="str">
            <v>汉族</v>
          </cell>
          <cell r="F3016" t="str">
            <v>19770217</v>
          </cell>
          <cell r="G3016">
            <v>44</v>
          </cell>
          <cell r="H3016" t="str">
            <v>四川省仁寿县贵平镇中岗村13组</v>
          </cell>
        </row>
        <row r="3017">
          <cell r="C3017" t="str">
            <v>511121197504266946</v>
          </cell>
          <cell r="D3017" t="str">
            <v>女</v>
          </cell>
          <cell r="E3017" t="str">
            <v>汉族</v>
          </cell>
          <cell r="F3017" t="str">
            <v>19750426</v>
          </cell>
          <cell r="G3017">
            <v>46</v>
          </cell>
          <cell r="H3017" t="str">
            <v>四川省仁寿县贵平镇中岗村13组</v>
          </cell>
          <cell r="I3017">
            <v>15208314817</v>
          </cell>
        </row>
        <row r="3018">
          <cell r="C3018" t="str">
            <v>513822200404286692</v>
          </cell>
          <cell r="D3018" t="str">
            <v>男</v>
          </cell>
          <cell r="E3018" t="str">
            <v>汉族</v>
          </cell>
          <cell r="F3018" t="str">
            <v>20040428</v>
          </cell>
          <cell r="G3018">
            <v>17</v>
          </cell>
          <cell r="H3018" t="str">
            <v>四川省仁寿县贵平镇中岗村13组</v>
          </cell>
          <cell r="I3018">
            <v>18481091583</v>
          </cell>
        </row>
        <row r="3019">
          <cell r="C3019" t="str">
            <v>51112119481104694X</v>
          </cell>
          <cell r="D3019" t="str">
            <v>女</v>
          </cell>
          <cell r="E3019" t="str">
            <v>汉族</v>
          </cell>
          <cell r="F3019" t="str">
            <v>19481104</v>
          </cell>
          <cell r="G3019">
            <v>73</v>
          </cell>
          <cell r="H3019" t="str">
            <v>四川省仁寿县贵平镇中岗村13组</v>
          </cell>
        </row>
        <row r="3020">
          <cell r="C3020" t="str">
            <v>511121195808066952</v>
          </cell>
          <cell r="D3020" t="str">
            <v>男</v>
          </cell>
          <cell r="E3020" t="str">
            <v>汉族</v>
          </cell>
          <cell r="F3020" t="str">
            <v>19580806</v>
          </cell>
          <cell r="G3020">
            <v>63</v>
          </cell>
          <cell r="H3020" t="str">
            <v>四川省仁寿县贵平镇中岗村13组</v>
          </cell>
          <cell r="I3020">
            <v>17721830814</v>
          </cell>
        </row>
        <row r="3021">
          <cell r="C3021" t="str">
            <v>511121198204206946</v>
          </cell>
          <cell r="D3021" t="str">
            <v>女</v>
          </cell>
          <cell r="E3021" t="str">
            <v>汉族</v>
          </cell>
          <cell r="F3021" t="str">
            <v>19820420</v>
          </cell>
          <cell r="G3021">
            <v>39</v>
          </cell>
          <cell r="H3021" t="str">
            <v>四川省仁寿县贵平镇中岗村13组</v>
          </cell>
          <cell r="I3021">
            <v>17360673426</v>
          </cell>
        </row>
        <row r="3022">
          <cell r="C3022" t="str">
            <v>513822198702156941</v>
          </cell>
          <cell r="D3022" t="str">
            <v>女</v>
          </cell>
          <cell r="E3022" t="str">
            <v>汉族</v>
          </cell>
          <cell r="F3022" t="str">
            <v>19870215</v>
          </cell>
          <cell r="G3022">
            <v>34</v>
          </cell>
          <cell r="H3022" t="str">
            <v>四川省仁寿县贵平镇中岗村13组</v>
          </cell>
          <cell r="I3022">
            <v>18328337394</v>
          </cell>
        </row>
        <row r="3023">
          <cell r="C3023" t="str">
            <v>513822200111276693</v>
          </cell>
          <cell r="D3023" t="str">
            <v>男</v>
          </cell>
          <cell r="E3023" t="str">
            <v>汉族</v>
          </cell>
          <cell r="F3023" t="str">
            <v>20011127</v>
          </cell>
          <cell r="G3023">
            <v>20</v>
          </cell>
          <cell r="H3023" t="str">
            <v>四川省仁寿县贵平镇中岗村13组</v>
          </cell>
          <cell r="I3023">
            <v>17612858609</v>
          </cell>
        </row>
        <row r="3024">
          <cell r="C3024" t="str">
            <v>511421201504286862</v>
          </cell>
          <cell r="D3024" t="str">
            <v>女</v>
          </cell>
          <cell r="E3024" t="str">
            <v>汉族</v>
          </cell>
          <cell r="F3024" t="str">
            <v>20150428</v>
          </cell>
          <cell r="G3024">
            <v>6</v>
          </cell>
          <cell r="H3024" t="str">
            <v>四川省仁寿县贵平镇中岗村13组</v>
          </cell>
        </row>
        <row r="3025">
          <cell r="C3025" t="str">
            <v>511421201909250059</v>
          </cell>
          <cell r="D3025" t="str">
            <v>男</v>
          </cell>
          <cell r="E3025" t="str">
            <v>汉族</v>
          </cell>
          <cell r="F3025" t="str">
            <v>20190925</v>
          </cell>
          <cell r="G3025">
            <v>2</v>
          </cell>
          <cell r="H3025" t="str">
            <v>四川省仁寿县贵平镇中岗村13组</v>
          </cell>
        </row>
        <row r="3026">
          <cell r="C3026" t="str">
            <v>511121196904136935</v>
          </cell>
          <cell r="D3026" t="str">
            <v>男</v>
          </cell>
          <cell r="E3026" t="str">
            <v>汉族</v>
          </cell>
          <cell r="F3026" t="str">
            <v>19690413</v>
          </cell>
          <cell r="G3026">
            <v>52</v>
          </cell>
          <cell r="H3026" t="str">
            <v>四川省仁寿县贵平镇中岗村13组</v>
          </cell>
          <cell r="I3026">
            <v>13890314230</v>
          </cell>
        </row>
        <row r="3027">
          <cell r="C3027" t="str">
            <v>513822199310146941</v>
          </cell>
          <cell r="D3027" t="str">
            <v>女</v>
          </cell>
          <cell r="E3027" t="str">
            <v>汉族</v>
          </cell>
          <cell r="F3027" t="str">
            <v>19931014</v>
          </cell>
          <cell r="G3027">
            <v>28</v>
          </cell>
          <cell r="H3027" t="str">
            <v>四川省仁寿县贵平镇中岗村13组</v>
          </cell>
        </row>
        <row r="3028">
          <cell r="C3028" t="str">
            <v>511121196809187005</v>
          </cell>
          <cell r="D3028" t="str">
            <v>女</v>
          </cell>
          <cell r="E3028" t="str">
            <v>汉族</v>
          </cell>
          <cell r="F3028" t="str">
            <v>19680918</v>
          </cell>
          <cell r="G3028">
            <v>53</v>
          </cell>
          <cell r="H3028" t="str">
            <v>四川省仁寿县贵平镇中岗村13组</v>
          </cell>
          <cell r="I3028">
            <v>15198080154</v>
          </cell>
        </row>
        <row r="3029">
          <cell r="C3029" t="str">
            <v>511121196610156957</v>
          </cell>
          <cell r="D3029" t="str">
            <v>男</v>
          </cell>
          <cell r="E3029" t="str">
            <v>汉族</v>
          </cell>
          <cell r="F3029" t="str">
            <v>19661015</v>
          </cell>
          <cell r="G3029">
            <v>55</v>
          </cell>
          <cell r="H3029" t="str">
            <v>四川省仁寿县贵平镇中岗村13组</v>
          </cell>
          <cell r="I3029">
            <v>18381152116</v>
          </cell>
        </row>
        <row r="3030">
          <cell r="C3030" t="str">
            <v>51382219940108693X</v>
          </cell>
          <cell r="D3030" t="str">
            <v>男</v>
          </cell>
          <cell r="E3030" t="str">
            <v>汉族</v>
          </cell>
          <cell r="F3030" t="str">
            <v>19940108</v>
          </cell>
          <cell r="G3030">
            <v>27</v>
          </cell>
          <cell r="H3030" t="str">
            <v>四川省仁寿县贵平镇中岗村13组</v>
          </cell>
          <cell r="I3030">
            <v>13880725342</v>
          </cell>
        </row>
        <row r="3031">
          <cell r="C3031" t="str">
            <v>511121196911116932</v>
          </cell>
          <cell r="D3031" t="str">
            <v>男</v>
          </cell>
          <cell r="E3031" t="str">
            <v>汉族</v>
          </cell>
          <cell r="F3031" t="str">
            <v>19691111</v>
          </cell>
          <cell r="G3031">
            <v>52</v>
          </cell>
          <cell r="H3031" t="str">
            <v>四川省仁寿县贵平镇中岗村13组</v>
          </cell>
          <cell r="I3031">
            <v>17713633784</v>
          </cell>
        </row>
        <row r="3032">
          <cell r="C3032" t="str">
            <v>511121197411087340</v>
          </cell>
          <cell r="D3032" t="str">
            <v>女</v>
          </cell>
          <cell r="E3032" t="str">
            <v>汉族</v>
          </cell>
          <cell r="F3032" t="str">
            <v>19741108</v>
          </cell>
          <cell r="G3032">
            <v>47</v>
          </cell>
          <cell r="H3032" t="str">
            <v>四川省仁寿县贵平镇中岗村13组</v>
          </cell>
          <cell r="I3032">
            <v>13730819459</v>
          </cell>
        </row>
        <row r="3033">
          <cell r="C3033" t="str">
            <v>511421200901297333</v>
          </cell>
          <cell r="D3033" t="str">
            <v>男</v>
          </cell>
          <cell r="E3033" t="str">
            <v>汉族</v>
          </cell>
          <cell r="F3033" t="str">
            <v>20090129</v>
          </cell>
          <cell r="G3033">
            <v>12</v>
          </cell>
          <cell r="H3033" t="str">
            <v>四川省仁寿县贵平镇中岗村13组</v>
          </cell>
        </row>
        <row r="3034">
          <cell r="C3034" t="str">
            <v>513822200006247217</v>
          </cell>
          <cell r="D3034" t="str">
            <v>男</v>
          </cell>
          <cell r="E3034" t="str">
            <v>汉族</v>
          </cell>
          <cell r="F3034" t="str">
            <v>20000624</v>
          </cell>
          <cell r="G3034">
            <v>47</v>
          </cell>
          <cell r="H3034" t="str">
            <v>四川省仁寿县贵平镇中岗村13组</v>
          </cell>
          <cell r="I3034">
            <v>17713633784</v>
          </cell>
        </row>
        <row r="3035">
          <cell r="C3035" t="str">
            <v>513822199110186949</v>
          </cell>
          <cell r="D3035" t="str">
            <v>女</v>
          </cell>
          <cell r="E3035" t="str">
            <v>汉族</v>
          </cell>
          <cell r="F3035" t="str">
            <v>19911018</v>
          </cell>
          <cell r="G3035">
            <v>30</v>
          </cell>
          <cell r="H3035" t="str">
            <v>四川省仁寿县贵平镇中岗村13组</v>
          </cell>
          <cell r="I3035">
            <v>18382366624</v>
          </cell>
        </row>
        <row r="3036">
          <cell r="C3036" t="str">
            <v>51112119680820693X</v>
          </cell>
          <cell r="D3036" t="str">
            <v>男</v>
          </cell>
          <cell r="E3036" t="str">
            <v>汉族</v>
          </cell>
          <cell r="F3036" t="str">
            <v>19680820</v>
          </cell>
          <cell r="G3036">
            <v>53</v>
          </cell>
          <cell r="H3036" t="str">
            <v>四川省仁寿县贵平镇中岗村13组</v>
          </cell>
          <cell r="I3036">
            <v>13540426249</v>
          </cell>
        </row>
        <row r="3037">
          <cell r="C3037" t="str">
            <v>511121197107176947</v>
          </cell>
          <cell r="D3037" t="str">
            <v>女</v>
          </cell>
          <cell r="E3037" t="str">
            <v>汉族</v>
          </cell>
          <cell r="F3037" t="str">
            <v>19710717</v>
          </cell>
          <cell r="G3037">
            <v>50</v>
          </cell>
          <cell r="H3037" t="str">
            <v>四川省仁寿县贵平镇中岗村13组</v>
          </cell>
        </row>
        <row r="3038">
          <cell r="C3038" t="str">
            <v>513822199512136792</v>
          </cell>
          <cell r="D3038" t="str">
            <v>男</v>
          </cell>
          <cell r="E3038" t="str">
            <v>汉族</v>
          </cell>
          <cell r="F3038" t="str">
            <v>19951213</v>
          </cell>
          <cell r="G3038">
            <v>26</v>
          </cell>
          <cell r="H3038" t="str">
            <v>四川省仁寿县贵平镇中岗村13组</v>
          </cell>
          <cell r="I3038">
            <v>15082344401</v>
          </cell>
        </row>
        <row r="3039">
          <cell r="C3039" t="str">
            <v>511121194705186949</v>
          </cell>
          <cell r="D3039" t="str">
            <v>女</v>
          </cell>
          <cell r="E3039" t="str">
            <v>汉族</v>
          </cell>
          <cell r="F3039" t="str">
            <v>19470518</v>
          </cell>
          <cell r="G3039">
            <v>74</v>
          </cell>
          <cell r="H3039" t="str">
            <v>四川省仁寿县贵平镇中岗村13组</v>
          </cell>
          <cell r="I3039">
            <v>15883327160</v>
          </cell>
        </row>
        <row r="3040">
          <cell r="C3040" t="str">
            <v>511121196701056935</v>
          </cell>
          <cell r="D3040" t="str">
            <v>男</v>
          </cell>
          <cell r="E3040" t="str">
            <v>汉族</v>
          </cell>
          <cell r="F3040" t="str">
            <v>19670105</v>
          </cell>
          <cell r="G3040">
            <v>54</v>
          </cell>
          <cell r="H3040" t="str">
            <v>四川省仁寿县贵平镇中岗村13组</v>
          </cell>
          <cell r="I3040">
            <v>15244815355</v>
          </cell>
        </row>
        <row r="3041">
          <cell r="C3041" t="str">
            <v>511121194009016946</v>
          </cell>
          <cell r="D3041" t="str">
            <v>女</v>
          </cell>
          <cell r="E3041" t="str">
            <v>汉族</v>
          </cell>
          <cell r="F3041" t="str">
            <v>19400901</v>
          </cell>
          <cell r="G3041">
            <v>81</v>
          </cell>
          <cell r="H3041" t="str">
            <v>四川省仁寿县贵平镇中岗村13组</v>
          </cell>
        </row>
        <row r="3042">
          <cell r="C3042" t="str">
            <v>511121197008086938</v>
          </cell>
          <cell r="D3042" t="str">
            <v>男</v>
          </cell>
          <cell r="E3042" t="str">
            <v>汉族</v>
          </cell>
          <cell r="F3042" t="str">
            <v>19700808</v>
          </cell>
          <cell r="G3042">
            <v>51</v>
          </cell>
          <cell r="H3042" t="str">
            <v>四川省仁寿县贵平镇中岗村13组</v>
          </cell>
          <cell r="I3042">
            <v>15208298039</v>
          </cell>
        </row>
        <row r="3043">
          <cell r="C3043" t="str">
            <v>511121197210058949</v>
          </cell>
          <cell r="D3043" t="str">
            <v>女</v>
          </cell>
          <cell r="E3043" t="str">
            <v>汉族</v>
          </cell>
          <cell r="F3043" t="str">
            <v>19721005</v>
          </cell>
          <cell r="G3043">
            <v>49</v>
          </cell>
          <cell r="H3043" t="str">
            <v>四川省仁寿县贵平镇中岗村13组</v>
          </cell>
          <cell r="I3043">
            <v>18280069330</v>
          </cell>
        </row>
        <row r="3044">
          <cell r="C3044" t="str">
            <v>513822199505296958</v>
          </cell>
          <cell r="D3044" t="str">
            <v>男</v>
          </cell>
          <cell r="E3044" t="str">
            <v>汉族</v>
          </cell>
          <cell r="F3044" t="str">
            <v>19950529</v>
          </cell>
          <cell r="G3044">
            <v>26</v>
          </cell>
          <cell r="H3044" t="str">
            <v>四川省仁寿县贵平镇中岗村13组</v>
          </cell>
          <cell r="I3044">
            <v>15884485945</v>
          </cell>
        </row>
        <row r="3045">
          <cell r="C3045" t="str">
            <v>51032219980128410X</v>
          </cell>
          <cell r="D3045" t="str">
            <v>女</v>
          </cell>
          <cell r="E3045" t="str">
            <v>汉族</v>
          </cell>
          <cell r="F3045" t="str">
            <v>19980128</v>
          </cell>
          <cell r="G3045">
            <v>23</v>
          </cell>
          <cell r="H3045" t="str">
            <v>四川省仁寿县贵平镇中岗村13组</v>
          </cell>
          <cell r="I3045">
            <v>15284828197</v>
          </cell>
        </row>
        <row r="3046">
          <cell r="C3046" t="str">
            <v>511121194101206937</v>
          </cell>
          <cell r="D3046" t="str">
            <v>男</v>
          </cell>
          <cell r="E3046" t="str">
            <v>汉族</v>
          </cell>
          <cell r="F3046" t="str">
            <v>19410120</v>
          </cell>
          <cell r="G3046">
            <v>80</v>
          </cell>
          <cell r="H3046" t="str">
            <v>四川省仁寿县贵平镇中岗村13组</v>
          </cell>
          <cell r="I3046">
            <v>13330957864</v>
          </cell>
        </row>
        <row r="3047">
          <cell r="C3047" t="str">
            <v>511121194507156941</v>
          </cell>
          <cell r="D3047" t="str">
            <v>女</v>
          </cell>
          <cell r="E3047" t="str">
            <v>汉族</v>
          </cell>
          <cell r="F3047" t="str">
            <v>19450715</v>
          </cell>
          <cell r="G3047">
            <v>76</v>
          </cell>
          <cell r="H3047" t="str">
            <v>四川省仁寿县贵平镇中岗村13组</v>
          </cell>
        </row>
        <row r="3048">
          <cell r="C3048" t="str">
            <v>511121197310256950</v>
          </cell>
          <cell r="D3048" t="str">
            <v>男</v>
          </cell>
          <cell r="E3048" t="str">
            <v>汉族</v>
          </cell>
          <cell r="F3048" t="str">
            <v>19731025</v>
          </cell>
          <cell r="G3048">
            <v>48</v>
          </cell>
          <cell r="H3048" t="str">
            <v>四川省仁寿县贵平镇中岗村13组</v>
          </cell>
          <cell r="I3048">
            <v>13684080278</v>
          </cell>
        </row>
        <row r="3049">
          <cell r="C3049" t="str">
            <v>511121197612066781</v>
          </cell>
          <cell r="D3049" t="str">
            <v>女</v>
          </cell>
          <cell r="E3049" t="str">
            <v>汉族</v>
          </cell>
          <cell r="F3049" t="str">
            <v>19761206</v>
          </cell>
          <cell r="G3049">
            <v>45</v>
          </cell>
          <cell r="H3049" t="str">
            <v>四川省仁寿县贵平镇中岗村13组</v>
          </cell>
          <cell r="I3049">
            <v>15828461191</v>
          </cell>
        </row>
        <row r="3050">
          <cell r="C3050" t="str">
            <v>513822199802216934</v>
          </cell>
          <cell r="D3050" t="str">
            <v>男</v>
          </cell>
          <cell r="E3050" t="str">
            <v>汉族</v>
          </cell>
          <cell r="F3050" t="str">
            <v>19980221</v>
          </cell>
          <cell r="G3050">
            <v>23</v>
          </cell>
          <cell r="H3050" t="str">
            <v>四川省仁寿县贵平镇中岗村13组</v>
          </cell>
          <cell r="I3050">
            <v>18280208565</v>
          </cell>
        </row>
        <row r="3051">
          <cell r="C3051" t="str">
            <v>513822200211046721</v>
          </cell>
          <cell r="D3051" t="str">
            <v>女</v>
          </cell>
          <cell r="E3051" t="str">
            <v>汉族</v>
          </cell>
          <cell r="F3051" t="str">
            <v>20021104</v>
          </cell>
          <cell r="G3051">
            <v>19</v>
          </cell>
          <cell r="H3051" t="str">
            <v>四川省仁寿县贵平镇中岗村13组</v>
          </cell>
        </row>
        <row r="3052">
          <cell r="C3052" t="str">
            <v>511121194805136930</v>
          </cell>
          <cell r="D3052" t="str">
            <v>男</v>
          </cell>
          <cell r="E3052" t="str">
            <v>汉族</v>
          </cell>
          <cell r="F3052" t="str">
            <v>19480513</v>
          </cell>
          <cell r="G3052">
            <v>73</v>
          </cell>
          <cell r="H3052" t="str">
            <v>四川省仁寿县贵平镇中岗村13组</v>
          </cell>
          <cell r="I3052">
            <v>13679649081</v>
          </cell>
        </row>
        <row r="3053">
          <cell r="C3053" t="str">
            <v>511121194605056944</v>
          </cell>
          <cell r="D3053" t="str">
            <v>女</v>
          </cell>
          <cell r="E3053" t="str">
            <v>汉族</v>
          </cell>
          <cell r="F3053" t="str">
            <v>19460505</v>
          </cell>
          <cell r="G3053">
            <v>75</v>
          </cell>
          <cell r="H3053" t="str">
            <v>四川省仁寿县贵平镇中岗村13组</v>
          </cell>
        </row>
        <row r="3054">
          <cell r="C3054" t="str">
            <v>51112119691105695X</v>
          </cell>
          <cell r="D3054" t="str">
            <v>男</v>
          </cell>
          <cell r="E3054" t="str">
            <v>汉族</v>
          </cell>
          <cell r="F3054" t="str">
            <v>19691105</v>
          </cell>
          <cell r="G3054">
            <v>52</v>
          </cell>
          <cell r="H3054" t="str">
            <v>四川省仁寿县贵平镇中岗村13组</v>
          </cell>
        </row>
        <row r="3055">
          <cell r="C3055" t="str">
            <v>511121196907016787</v>
          </cell>
          <cell r="D3055" t="str">
            <v>女</v>
          </cell>
          <cell r="E3055" t="str">
            <v>汉族</v>
          </cell>
          <cell r="F3055" t="str">
            <v>19690701</v>
          </cell>
          <cell r="G3055">
            <v>52</v>
          </cell>
          <cell r="H3055" t="str">
            <v>四川省仁寿县贵平镇中岗村13组</v>
          </cell>
          <cell r="I3055">
            <v>13990318415</v>
          </cell>
        </row>
        <row r="3056">
          <cell r="C3056" t="str">
            <v>511421200402096713</v>
          </cell>
          <cell r="D3056" t="str">
            <v>男</v>
          </cell>
          <cell r="E3056" t="str">
            <v>汉族</v>
          </cell>
          <cell r="F3056" t="str">
            <v>20040209</v>
          </cell>
          <cell r="G3056">
            <v>17</v>
          </cell>
          <cell r="H3056" t="str">
            <v>四川省仁寿县贵平镇中岗村13组</v>
          </cell>
          <cell r="I3056">
            <v>15196453158</v>
          </cell>
        </row>
        <row r="3057">
          <cell r="C3057" t="str">
            <v>513822199108086949</v>
          </cell>
          <cell r="D3057" t="str">
            <v>女</v>
          </cell>
          <cell r="E3057" t="str">
            <v>汉族</v>
          </cell>
          <cell r="F3057" t="str">
            <v>19910808</v>
          </cell>
          <cell r="G3057">
            <v>30</v>
          </cell>
          <cell r="H3057" t="str">
            <v>四川省仁寿县贵平镇中岗村13组</v>
          </cell>
          <cell r="I3057">
            <v>15183317850</v>
          </cell>
        </row>
        <row r="3058">
          <cell r="C3058" t="str">
            <v>513822199301246940</v>
          </cell>
          <cell r="D3058" t="str">
            <v>女</v>
          </cell>
          <cell r="E3058" t="str">
            <v>汉族</v>
          </cell>
          <cell r="F3058" t="str">
            <v>19930124</v>
          </cell>
          <cell r="G3058">
            <v>28</v>
          </cell>
          <cell r="H3058" t="str">
            <v>四川省仁寿县贵平镇中岗村13组</v>
          </cell>
          <cell r="I3058">
            <v>15669816156</v>
          </cell>
        </row>
        <row r="3059">
          <cell r="C3059" t="str">
            <v>511421202006160209</v>
          </cell>
          <cell r="D3059" t="str">
            <v>女</v>
          </cell>
          <cell r="E3059" t="str">
            <v>汉族</v>
          </cell>
          <cell r="F3059" t="str">
            <v>20200616</v>
          </cell>
          <cell r="G3059">
            <v>1</v>
          </cell>
          <cell r="H3059" t="str">
            <v>四川省仁寿县贵平镇中岗村13组</v>
          </cell>
        </row>
        <row r="3060">
          <cell r="C3060" t="str">
            <v>511121194706066949</v>
          </cell>
          <cell r="D3060" t="str">
            <v>女</v>
          </cell>
          <cell r="E3060" t="str">
            <v>汉族</v>
          </cell>
          <cell r="F3060" t="str">
            <v>19470606</v>
          </cell>
          <cell r="G3060">
            <v>74</v>
          </cell>
          <cell r="H3060" t="str">
            <v>四川省仁寿县贵平镇中岗村13组</v>
          </cell>
        </row>
        <row r="3061">
          <cell r="C3061" t="str">
            <v>511121194407066930</v>
          </cell>
          <cell r="D3061" t="str">
            <v>男</v>
          </cell>
          <cell r="E3061" t="str">
            <v>汉族</v>
          </cell>
          <cell r="F3061" t="str">
            <v>19440706</v>
          </cell>
          <cell r="G3061">
            <v>77</v>
          </cell>
          <cell r="H3061" t="str">
            <v>四川省仁寿县贵平镇中岗村13组</v>
          </cell>
        </row>
        <row r="3062">
          <cell r="C3062" t="str">
            <v>511121197203066959</v>
          </cell>
          <cell r="D3062" t="str">
            <v>男</v>
          </cell>
          <cell r="E3062" t="str">
            <v>汉族</v>
          </cell>
          <cell r="F3062" t="str">
            <v>19720306</v>
          </cell>
          <cell r="G3062">
            <v>49</v>
          </cell>
          <cell r="H3062" t="str">
            <v>四川省仁寿县贵平镇中岗村13组</v>
          </cell>
          <cell r="I3062">
            <v>13541061838</v>
          </cell>
        </row>
        <row r="3063">
          <cell r="C3063" t="str">
            <v>511027197501258724</v>
          </cell>
          <cell r="D3063" t="str">
            <v>女</v>
          </cell>
          <cell r="E3063" t="str">
            <v>汉族</v>
          </cell>
          <cell r="F3063" t="str">
            <v>19750125</v>
          </cell>
          <cell r="G3063">
            <v>46</v>
          </cell>
          <cell r="H3063" t="str">
            <v>四川省仁寿县贵平镇中岗村13组</v>
          </cell>
          <cell r="I3063">
            <v>15102840046</v>
          </cell>
        </row>
        <row r="3064">
          <cell r="C3064" t="str">
            <v>513822199610236949</v>
          </cell>
          <cell r="D3064" t="str">
            <v>女</v>
          </cell>
          <cell r="E3064" t="str">
            <v>汉族</v>
          </cell>
          <cell r="F3064" t="str">
            <v>19961023</v>
          </cell>
          <cell r="G3064">
            <v>25</v>
          </cell>
          <cell r="H3064" t="str">
            <v>四川省仁寿县贵平镇中岗村13组</v>
          </cell>
          <cell r="I3064">
            <v>15828131525</v>
          </cell>
        </row>
        <row r="3065">
          <cell r="C3065" t="str">
            <v>511421200609046799</v>
          </cell>
          <cell r="D3065" t="str">
            <v>男</v>
          </cell>
          <cell r="E3065" t="str">
            <v>汉族</v>
          </cell>
          <cell r="F3065" t="str">
            <v>20060904</v>
          </cell>
          <cell r="G3065">
            <v>15</v>
          </cell>
          <cell r="H3065" t="str">
            <v>四川省仁寿县贵平镇中岗村13组</v>
          </cell>
        </row>
        <row r="3066">
          <cell r="C3066" t="str">
            <v>511121197510246933</v>
          </cell>
          <cell r="D3066" t="str">
            <v>男</v>
          </cell>
          <cell r="E3066" t="str">
            <v>汉族</v>
          </cell>
          <cell r="F3066" t="str">
            <v>19751024</v>
          </cell>
          <cell r="G3066">
            <v>46</v>
          </cell>
          <cell r="H3066" t="str">
            <v>四川省仁寿县贵平镇中岗村13组</v>
          </cell>
          <cell r="I3066">
            <v>15828130939</v>
          </cell>
        </row>
        <row r="3067">
          <cell r="C3067" t="str">
            <v>513822199610086696</v>
          </cell>
          <cell r="D3067" t="str">
            <v>男</v>
          </cell>
          <cell r="E3067" t="str">
            <v>汉族</v>
          </cell>
          <cell r="F3067" t="str">
            <v>19961008</v>
          </cell>
          <cell r="G3067">
            <v>25</v>
          </cell>
          <cell r="H3067" t="str">
            <v>四川省仁寿县贵平镇中岗村13组</v>
          </cell>
          <cell r="I3067">
            <v>18782191410</v>
          </cell>
        </row>
        <row r="3068">
          <cell r="C3068" t="str">
            <v>511121196710256939</v>
          </cell>
          <cell r="D3068" t="str">
            <v>男</v>
          </cell>
          <cell r="E3068" t="str">
            <v>汉族</v>
          </cell>
          <cell r="F3068" t="str">
            <v>19671025</v>
          </cell>
          <cell r="G3068">
            <v>54</v>
          </cell>
          <cell r="H3068" t="str">
            <v>四川省仁寿县贵平镇中岗村13组</v>
          </cell>
          <cell r="I3068">
            <v>13908014212</v>
          </cell>
        </row>
        <row r="3069">
          <cell r="C3069" t="str">
            <v>511121196808186940</v>
          </cell>
          <cell r="D3069" t="str">
            <v>女</v>
          </cell>
          <cell r="E3069" t="str">
            <v>汉族</v>
          </cell>
          <cell r="F3069" t="str">
            <v>19680818</v>
          </cell>
          <cell r="G3069">
            <v>53</v>
          </cell>
          <cell r="H3069" t="str">
            <v>四川省仁寿县贵平镇中岗村13组</v>
          </cell>
          <cell r="I3069">
            <v>13438337330</v>
          </cell>
        </row>
        <row r="3070">
          <cell r="C3070" t="str">
            <v>511121193709266941</v>
          </cell>
          <cell r="D3070" t="str">
            <v>女</v>
          </cell>
          <cell r="E3070" t="str">
            <v>汉族</v>
          </cell>
          <cell r="F3070" t="str">
            <v>19370926</v>
          </cell>
          <cell r="G3070">
            <v>84</v>
          </cell>
          <cell r="H3070" t="str">
            <v>四川省仁寿县贵平镇中岗村13组</v>
          </cell>
          <cell r="I3070">
            <v>13568301648</v>
          </cell>
        </row>
        <row r="3071">
          <cell r="C3071" t="str">
            <v>513822199012156949</v>
          </cell>
          <cell r="D3071" t="str">
            <v>女</v>
          </cell>
          <cell r="E3071" t="str">
            <v>汉族</v>
          </cell>
          <cell r="F3071" t="str">
            <v>19901215</v>
          </cell>
          <cell r="G3071">
            <v>31</v>
          </cell>
          <cell r="H3071" t="str">
            <v>四川省仁寿县贵平镇中岗村13组</v>
          </cell>
          <cell r="I3071">
            <v>13542159020</v>
          </cell>
        </row>
        <row r="3072">
          <cell r="C3072" t="str">
            <v>513822199501136949</v>
          </cell>
          <cell r="D3072" t="str">
            <v>女</v>
          </cell>
          <cell r="E3072" t="str">
            <v>汉族</v>
          </cell>
          <cell r="F3072" t="str">
            <v>19950113</v>
          </cell>
          <cell r="G3072">
            <v>26</v>
          </cell>
          <cell r="H3072" t="str">
            <v>四川省仁寿县贵平镇中岗村13组</v>
          </cell>
          <cell r="I3072">
            <v>18380102790</v>
          </cell>
        </row>
        <row r="3073">
          <cell r="C3073" t="str">
            <v>511421201311046862</v>
          </cell>
          <cell r="D3073" t="str">
            <v>女</v>
          </cell>
          <cell r="E3073" t="str">
            <v>汉族</v>
          </cell>
          <cell r="F3073" t="str">
            <v>20131104</v>
          </cell>
          <cell r="G3073">
            <v>8</v>
          </cell>
          <cell r="H3073" t="str">
            <v>四川省仁寿县贵平镇中岗村13组</v>
          </cell>
        </row>
        <row r="3074">
          <cell r="C3074" t="str">
            <v>511121201907290356</v>
          </cell>
          <cell r="D3074" t="str">
            <v>男</v>
          </cell>
          <cell r="E3074" t="str">
            <v>汉族</v>
          </cell>
          <cell r="F3074" t="str">
            <v>20190729</v>
          </cell>
          <cell r="G3074">
            <v>2</v>
          </cell>
          <cell r="H3074" t="str">
            <v>四川省仁寿县贵平镇中岗村13组</v>
          </cell>
        </row>
        <row r="3075">
          <cell r="C3075" t="str">
            <v>513822198508086935</v>
          </cell>
          <cell r="D3075" t="str">
            <v>男</v>
          </cell>
          <cell r="E3075" t="str">
            <v>汉族</v>
          </cell>
          <cell r="F3075" t="str">
            <v>19850808</v>
          </cell>
          <cell r="G3075">
            <v>36</v>
          </cell>
          <cell r="H3075" t="str">
            <v>四川省仁寿县贵平镇中岗村13组</v>
          </cell>
          <cell r="I3075">
            <v>15928535238</v>
          </cell>
        </row>
        <row r="3076">
          <cell r="C3076" t="str">
            <v>511421201210187017</v>
          </cell>
          <cell r="D3076" t="str">
            <v>男</v>
          </cell>
          <cell r="E3076" t="str">
            <v>汉族</v>
          </cell>
          <cell r="F3076" t="str">
            <v>20121018</v>
          </cell>
          <cell r="G3076">
            <v>9</v>
          </cell>
          <cell r="H3076" t="str">
            <v>四川省仁寿县贵平镇中岗村13组</v>
          </cell>
        </row>
        <row r="3077">
          <cell r="C3077" t="str">
            <v>511421201903010396</v>
          </cell>
          <cell r="D3077" t="str">
            <v>男</v>
          </cell>
          <cell r="E3077" t="str">
            <v>汉族</v>
          </cell>
          <cell r="F3077" t="str">
            <v>20190301</v>
          </cell>
          <cell r="G3077">
            <v>2</v>
          </cell>
          <cell r="H3077" t="str">
            <v>四川省仁寿县贵平镇中岗村13组</v>
          </cell>
        </row>
        <row r="3078">
          <cell r="C3078" t="str">
            <v>511121195902066940</v>
          </cell>
          <cell r="D3078" t="str">
            <v>女</v>
          </cell>
          <cell r="E3078" t="str">
            <v>汉族</v>
          </cell>
          <cell r="F3078" t="str">
            <v>19590206</v>
          </cell>
          <cell r="G3078">
            <v>62</v>
          </cell>
          <cell r="H3078" t="str">
            <v>四川省仁寿县贵平镇中岗村13组</v>
          </cell>
          <cell r="I3078">
            <v>17608104852</v>
          </cell>
        </row>
        <row r="3079">
          <cell r="C3079" t="str">
            <v>511121197601086939</v>
          </cell>
          <cell r="D3079" t="str">
            <v>男</v>
          </cell>
          <cell r="E3079" t="str">
            <v>汉族</v>
          </cell>
          <cell r="F3079" t="str">
            <v>19760108</v>
          </cell>
          <cell r="G3079">
            <v>45</v>
          </cell>
          <cell r="H3079" t="str">
            <v>四川省仁寿县贵平镇中岗村13组</v>
          </cell>
          <cell r="I3079">
            <v>15680766601</v>
          </cell>
        </row>
        <row r="3080">
          <cell r="C3080" t="str">
            <v>511121197701276967</v>
          </cell>
          <cell r="D3080" t="str">
            <v>女</v>
          </cell>
          <cell r="E3080" t="str">
            <v>汉族</v>
          </cell>
          <cell r="F3080" t="str">
            <v>19770127</v>
          </cell>
          <cell r="G3080">
            <v>44</v>
          </cell>
          <cell r="H3080" t="str">
            <v>四川省仁寿县贵平镇中岗村13组</v>
          </cell>
          <cell r="I3080">
            <v>15928092615</v>
          </cell>
        </row>
        <row r="3081">
          <cell r="C3081" t="str">
            <v>513822200108026693</v>
          </cell>
          <cell r="D3081" t="str">
            <v>男</v>
          </cell>
          <cell r="E3081" t="str">
            <v>汉族</v>
          </cell>
          <cell r="F3081" t="str">
            <v>20010802</v>
          </cell>
          <cell r="G3081">
            <v>20</v>
          </cell>
          <cell r="H3081" t="str">
            <v>四川省仁寿县贵平镇中岗村13组</v>
          </cell>
          <cell r="I3081">
            <v>18228007852</v>
          </cell>
        </row>
        <row r="3082">
          <cell r="C3082" t="str">
            <v>511121195203206940</v>
          </cell>
          <cell r="D3082" t="str">
            <v>女</v>
          </cell>
          <cell r="E3082" t="str">
            <v>汉族</v>
          </cell>
          <cell r="F3082" t="str">
            <v>19520320</v>
          </cell>
          <cell r="G3082">
            <v>69</v>
          </cell>
          <cell r="H3082" t="str">
            <v>四川省仁寿县贵平镇中岗村13组</v>
          </cell>
          <cell r="I3082">
            <v>13340996329</v>
          </cell>
        </row>
        <row r="3083">
          <cell r="C3083" t="str">
            <v>511121198103196937</v>
          </cell>
          <cell r="D3083" t="str">
            <v>男</v>
          </cell>
          <cell r="E3083" t="str">
            <v>汉族</v>
          </cell>
          <cell r="F3083" t="str">
            <v>19810319</v>
          </cell>
          <cell r="G3083">
            <v>40</v>
          </cell>
          <cell r="H3083" t="str">
            <v>四川省仁寿县贵平镇中岗村13组</v>
          </cell>
          <cell r="I3083">
            <v>18780142096</v>
          </cell>
        </row>
        <row r="3084">
          <cell r="C3084" t="str">
            <v>51112119450209696X</v>
          </cell>
          <cell r="D3084" t="str">
            <v>女</v>
          </cell>
          <cell r="E3084" t="str">
            <v>汉族</v>
          </cell>
          <cell r="F3084" t="str">
            <v>19450209</v>
          </cell>
          <cell r="G3084">
            <v>76</v>
          </cell>
          <cell r="H3084" t="str">
            <v>四川省仁寿县贵平镇中岗村13组</v>
          </cell>
          <cell r="I3084">
            <v>13881989772</v>
          </cell>
        </row>
        <row r="3085">
          <cell r="C3085" t="str">
            <v>511121194511286968</v>
          </cell>
          <cell r="D3085" t="str">
            <v>女</v>
          </cell>
          <cell r="E3085" t="str">
            <v>汉族</v>
          </cell>
          <cell r="F3085" t="str">
            <v>19451128</v>
          </cell>
          <cell r="G3085">
            <v>76</v>
          </cell>
          <cell r="H3085" t="str">
            <v>四川省仁寿县贵平镇中岗村13组</v>
          </cell>
          <cell r="I3085">
            <v>18282468340</v>
          </cell>
        </row>
        <row r="3086">
          <cell r="C3086" t="str">
            <v>511121196801166939</v>
          </cell>
          <cell r="D3086" t="str">
            <v>男</v>
          </cell>
          <cell r="E3086" t="str">
            <v>汉族</v>
          </cell>
          <cell r="F3086" t="str">
            <v>19680116</v>
          </cell>
          <cell r="G3086">
            <v>53</v>
          </cell>
          <cell r="H3086" t="str">
            <v>四川省仁寿县贵平镇中岗村13组</v>
          </cell>
          <cell r="I3086">
            <v>13880039025</v>
          </cell>
        </row>
        <row r="3087">
          <cell r="C3087" t="str">
            <v>51112119681018694X</v>
          </cell>
          <cell r="D3087" t="str">
            <v>女</v>
          </cell>
          <cell r="E3087" t="str">
            <v>汉族</v>
          </cell>
          <cell r="F3087" t="str">
            <v>19681018</v>
          </cell>
          <cell r="G3087">
            <v>53</v>
          </cell>
          <cell r="H3087" t="str">
            <v>四川省仁寿县贵平镇中岗村13组</v>
          </cell>
          <cell r="I3087">
            <v>15881084933</v>
          </cell>
        </row>
        <row r="3088">
          <cell r="C3088" t="str">
            <v>513822199101256933</v>
          </cell>
          <cell r="D3088" t="str">
            <v>男</v>
          </cell>
          <cell r="E3088" t="str">
            <v>汉族</v>
          </cell>
          <cell r="F3088" t="str">
            <v>19910125</v>
          </cell>
          <cell r="G3088">
            <v>30</v>
          </cell>
          <cell r="H3088" t="str">
            <v>四川省仁寿县贵平镇中岗村13组</v>
          </cell>
          <cell r="I3088">
            <v>15982361301</v>
          </cell>
        </row>
        <row r="3089">
          <cell r="C3089" t="str">
            <v>513822199809086968</v>
          </cell>
          <cell r="D3089" t="str">
            <v>女</v>
          </cell>
          <cell r="E3089" t="str">
            <v>汉族</v>
          </cell>
          <cell r="F3089" t="str">
            <v>19980908</v>
          </cell>
          <cell r="G3089">
            <v>23</v>
          </cell>
          <cell r="H3089" t="str">
            <v>四川省仁寿县贵平镇中岗村13组</v>
          </cell>
          <cell r="I3089">
            <v>13880464834</v>
          </cell>
        </row>
        <row r="3090">
          <cell r="C3090" t="str">
            <v>511421201812120186</v>
          </cell>
          <cell r="D3090" t="str">
            <v>女</v>
          </cell>
          <cell r="E3090" t="str">
            <v>汉族</v>
          </cell>
          <cell r="F3090" t="str">
            <v>20181212</v>
          </cell>
          <cell r="G3090">
            <v>3</v>
          </cell>
          <cell r="H3090" t="str">
            <v>四川省仁寿县贵平镇中岗村13组</v>
          </cell>
        </row>
        <row r="3091">
          <cell r="C3091" t="str">
            <v>511121194305016959</v>
          </cell>
          <cell r="D3091" t="str">
            <v>男</v>
          </cell>
          <cell r="E3091" t="str">
            <v>汉族</v>
          </cell>
          <cell r="F3091" t="str">
            <v>19430501</v>
          </cell>
          <cell r="G3091">
            <v>78</v>
          </cell>
          <cell r="H3091" t="str">
            <v>四川省仁寿县贵平镇中岗村13组</v>
          </cell>
          <cell r="I3091">
            <v>18328116658</v>
          </cell>
        </row>
        <row r="3092">
          <cell r="C3092" t="str">
            <v>511121194504026949</v>
          </cell>
          <cell r="D3092" t="str">
            <v>女</v>
          </cell>
          <cell r="E3092" t="str">
            <v>汉族</v>
          </cell>
          <cell r="F3092" t="str">
            <v>19450402</v>
          </cell>
          <cell r="G3092">
            <v>76</v>
          </cell>
          <cell r="H3092" t="str">
            <v>四川省仁寿县贵平镇中岗村13组</v>
          </cell>
          <cell r="I3092">
            <v>15196480909</v>
          </cell>
        </row>
        <row r="3093">
          <cell r="C3093" t="str">
            <v>511121196603176933</v>
          </cell>
          <cell r="D3093" t="str">
            <v>男</v>
          </cell>
          <cell r="E3093" t="str">
            <v>汉族</v>
          </cell>
          <cell r="F3093" t="str">
            <v>19660317</v>
          </cell>
          <cell r="G3093">
            <v>55</v>
          </cell>
          <cell r="H3093" t="str">
            <v>四川省仁寿县贵平镇中岗村13组</v>
          </cell>
          <cell r="I3093">
            <v>15882394079</v>
          </cell>
        </row>
        <row r="3094">
          <cell r="C3094" t="str">
            <v>511121196512126965</v>
          </cell>
          <cell r="D3094" t="str">
            <v>女</v>
          </cell>
          <cell r="E3094" t="str">
            <v>汉族</v>
          </cell>
          <cell r="F3094" t="str">
            <v>19651212</v>
          </cell>
          <cell r="G3094">
            <v>56</v>
          </cell>
          <cell r="H3094" t="str">
            <v>四川省仁寿县贵平镇中岗村13组</v>
          </cell>
          <cell r="I3094">
            <v>13408602460</v>
          </cell>
        </row>
        <row r="3095">
          <cell r="C3095" t="str">
            <v>513822198812216941</v>
          </cell>
          <cell r="D3095" t="str">
            <v>女</v>
          </cell>
          <cell r="E3095" t="str">
            <v>汉族</v>
          </cell>
          <cell r="F3095" t="str">
            <v>19881221</v>
          </cell>
          <cell r="G3095">
            <v>33</v>
          </cell>
          <cell r="H3095" t="str">
            <v>四川省仁寿县贵平镇中岗村13组</v>
          </cell>
          <cell r="I3095">
            <v>13551532004</v>
          </cell>
        </row>
        <row r="3096">
          <cell r="C3096" t="str">
            <v>513822199105116946</v>
          </cell>
          <cell r="D3096" t="str">
            <v>女</v>
          </cell>
          <cell r="E3096" t="str">
            <v>汉族</v>
          </cell>
          <cell r="F3096" t="str">
            <v>19910511</v>
          </cell>
          <cell r="G3096">
            <v>30</v>
          </cell>
          <cell r="H3096" t="str">
            <v>四川省仁寿县贵平镇中岗村13组</v>
          </cell>
          <cell r="I3096">
            <v>15928966509</v>
          </cell>
        </row>
        <row r="3097">
          <cell r="C3097" t="str">
            <v>511121197105266930</v>
          </cell>
          <cell r="D3097" t="str">
            <v>男</v>
          </cell>
          <cell r="E3097" t="str">
            <v>汉族</v>
          </cell>
          <cell r="F3097" t="str">
            <v>19710526</v>
          </cell>
          <cell r="G3097">
            <v>50</v>
          </cell>
          <cell r="H3097" t="str">
            <v>四川省仁寿县贵平镇中岗村13组</v>
          </cell>
          <cell r="I3097">
            <v>18398671072</v>
          </cell>
        </row>
        <row r="3098">
          <cell r="C3098" t="str">
            <v>511121196712086953</v>
          </cell>
          <cell r="D3098" t="str">
            <v>男</v>
          </cell>
          <cell r="E3098" t="str">
            <v>汉族</v>
          </cell>
          <cell r="F3098" t="str">
            <v>19671208</v>
          </cell>
          <cell r="G3098">
            <v>54</v>
          </cell>
          <cell r="H3098" t="str">
            <v>四川省仁寿县贵平镇中岗村13组</v>
          </cell>
          <cell r="I3098">
            <v>15883316986</v>
          </cell>
        </row>
        <row r="3099">
          <cell r="C3099" t="str">
            <v>51112119690704696X</v>
          </cell>
          <cell r="D3099" t="str">
            <v>女</v>
          </cell>
          <cell r="E3099" t="str">
            <v>汉族</v>
          </cell>
          <cell r="F3099" t="str">
            <v>19690704</v>
          </cell>
          <cell r="G3099">
            <v>52</v>
          </cell>
          <cell r="H3099" t="str">
            <v>四川省仁寿县贵平镇中岗村13组</v>
          </cell>
          <cell r="I3099">
            <v>13880587514</v>
          </cell>
        </row>
        <row r="3100">
          <cell r="C3100" t="str">
            <v>513822198905236933</v>
          </cell>
          <cell r="D3100" t="str">
            <v>男</v>
          </cell>
          <cell r="E3100" t="str">
            <v>汉族</v>
          </cell>
          <cell r="F3100" t="str">
            <v>19890523</v>
          </cell>
          <cell r="G3100">
            <v>32</v>
          </cell>
          <cell r="H3100" t="str">
            <v>四川省仁寿县贵平镇中岗村13组</v>
          </cell>
          <cell r="I3100">
            <v>13558859468</v>
          </cell>
        </row>
        <row r="3101">
          <cell r="C3101" t="str">
            <v>511121197510046931</v>
          </cell>
          <cell r="D3101" t="str">
            <v>男</v>
          </cell>
          <cell r="E3101" t="str">
            <v>汉族</v>
          </cell>
          <cell r="F3101" t="str">
            <v>19751004</v>
          </cell>
          <cell r="G3101">
            <v>46</v>
          </cell>
          <cell r="H3101" t="str">
            <v>四川省仁寿县贵平镇中岗村13组</v>
          </cell>
          <cell r="I3101">
            <v>15928846886</v>
          </cell>
        </row>
        <row r="3102">
          <cell r="C3102" t="str">
            <v>511121197512276941</v>
          </cell>
          <cell r="D3102" t="str">
            <v>女</v>
          </cell>
          <cell r="E3102" t="str">
            <v>汉族</v>
          </cell>
          <cell r="F3102" t="str">
            <v>19751227</v>
          </cell>
          <cell r="G3102">
            <v>46</v>
          </cell>
          <cell r="H3102" t="str">
            <v>四川省仁寿县贵平镇中岗村13组</v>
          </cell>
          <cell r="I3102">
            <v>15108439064</v>
          </cell>
        </row>
        <row r="3103">
          <cell r="C3103" t="str">
            <v>513822199807156934</v>
          </cell>
          <cell r="D3103" t="str">
            <v>男</v>
          </cell>
          <cell r="E3103" t="str">
            <v>汉族</v>
          </cell>
          <cell r="F3103" t="str">
            <v>19980715</v>
          </cell>
          <cell r="G3103">
            <v>23</v>
          </cell>
          <cell r="H3103" t="str">
            <v>四川省仁寿县贵平镇中岗村13组</v>
          </cell>
          <cell r="I3103">
            <v>18382397773</v>
          </cell>
        </row>
        <row r="3104">
          <cell r="C3104" t="str">
            <v>511121197105046938</v>
          </cell>
          <cell r="D3104" t="str">
            <v>男</v>
          </cell>
          <cell r="E3104" t="str">
            <v>汉族</v>
          </cell>
          <cell r="F3104" t="str">
            <v>19710504</v>
          </cell>
          <cell r="G3104">
            <v>50</v>
          </cell>
          <cell r="H3104" t="str">
            <v>四川省仁寿县贵平镇中岗村13组</v>
          </cell>
          <cell r="I3104">
            <v>18227805711</v>
          </cell>
        </row>
        <row r="3105">
          <cell r="C3105" t="str">
            <v>511421200906036722</v>
          </cell>
          <cell r="D3105" t="str">
            <v>女</v>
          </cell>
          <cell r="E3105" t="str">
            <v>汉族</v>
          </cell>
          <cell r="F3105" t="str">
            <v>20090603</v>
          </cell>
          <cell r="G3105">
            <v>12</v>
          </cell>
          <cell r="H3105" t="str">
            <v>四川省仁寿县贵平镇中岗村13组</v>
          </cell>
        </row>
        <row r="3106">
          <cell r="C3106" t="str">
            <v>51112119640204693X</v>
          </cell>
          <cell r="D3106" t="str">
            <v>男</v>
          </cell>
          <cell r="E3106" t="str">
            <v>汉族</v>
          </cell>
          <cell r="F3106" t="str">
            <v>19640204</v>
          </cell>
          <cell r="G3106">
            <v>57</v>
          </cell>
          <cell r="H3106" t="str">
            <v>四川省仁寿县贵平镇中岗村13组</v>
          </cell>
          <cell r="I3106">
            <v>17360623261</v>
          </cell>
        </row>
        <row r="3107">
          <cell r="C3107" t="str">
            <v>511121196702166941</v>
          </cell>
          <cell r="D3107" t="str">
            <v>女</v>
          </cell>
          <cell r="E3107" t="str">
            <v>汉族</v>
          </cell>
          <cell r="F3107" t="str">
            <v>19670216</v>
          </cell>
          <cell r="G3107">
            <v>54</v>
          </cell>
          <cell r="H3107" t="str">
            <v>四川省仁寿县贵平镇中岗村13组</v>
          </cell>
        </row>
        <row r="3108">
          <cell r="C3108" t="str">
            <v>513822199007086931</v>
          </cell>
          <cell r="D3108" t="str">
            <v>男</v>
          </cell>
          <cell r="E3108" t="str">
            <v>汉族</v>
          </cell>
          <cell r="F3108" t="str">
            <v>19900708</v>
          </cell>
          <cell r="G3108">
            <v>31</v>
          </cell>
          <cell r="H3108" t="str">
            <v>四川省仁寿县贵平镇中岗村13组</v>
          </cell>
          <cell r="I3108">
            <v>18215590661</v>
          </cell>
        </row>
        <row r="3109">
          <cell r="C3109" t="str">
            <v>511421201910090312</v>
          </cell>
          <cell r="D3109" t="str">
            <v>男</v>
          </cell>
          <cell r="E3109" t="str">
            <v>汉族</v>
          </cell>
          <cell r="F3109" t="str">
            <v>19900708</v>
          </cell>
          <cell r="G3109">
            <v>2</v>
          </cell>
          <cell r="H3109" t="str">
            <v>四川省仁寿县贵平镇中岗村13组</v>
          </cell>
        </row>
        <row r="3110">
          <cell r="C3110" t="str">
            <v>511121195209166943</v>
          </cell>
          <cell r="D3110" t="str">
            <v>女</v>
          </cell>
          <cell r="E3110" t="str">
            <v>汉族</v>
          </cell>
          <cell r="F3110" t="str">
            <v>19520916</v>
          </cell>
          <cell r="G3110">
            <v>69</v>
          </cell>
          <cell r="H3110" t="str">
            <v>四川省仁寿县贵平镇中岗村13组</v>
          </cell>
          <cell r="I3110">
            <v>15390197164</v>
          </cell>
        </row>
        <row r="3111">
          <cell r="C3111" t="str">
            <v>511121196511076935</v>
          </cell>
          <cell r="D3111" t="str">
            <v>男</v>
          </cell>
          <cell r="E3111" t="str">
            <v>汉族</v>
          </cell>
          <cell r="F3111" t="str">
            <v>19651107</v>
          </cell>
          <cell r="G3111">
            <v>56</v>
          </cell>
          <cell r="H3111" t="str">
            <v>四川省仁寿县贵平镇中岗村13组</v>
          </cell>
          <cell r="I3111">
            <v>15822935446</v>
          </cell>
        </row>
        <row r="3112">
          <cell r="C3112" t="str">
            <v>511121193108286947</v>
          </cell>
          <cell r="D3112" t="str">
            <v>女</v>
          </cell>
          <cell r="E3112" t="str">
            <v>汉族</v>
          </cell>
          <cell r="F3112" t="str">
            <v>19310828</v>
          </cell>
          <cell r="G3112">
            <v>90</v>
          </cell>
          <cell r="H3112" t="str">
            <v>四川省仁寿县贵平镇中岗村13组</v>
          </cell>
        </row>
        <row r="3113">
          <cell r="C3113" t="str">
            <v>513822199609096934</v>
          </cell>
          <cell r="D3113" t="str">
            <v>男</v>
          </cell>
          <cell r="E3113" t="str">
            <v>汉族</v>
          </cell>
          <cell r="F3113" t="str">
            <v>19960909</v>
          </cell>
          <cell r="G3113">
            <v>25</v>
          </cell>
          <cell r="H3113" t="str">
            <v>四川省仁寿县贵平镇中岗村13组</v>
          </cell>
          <cell r="I3113">
            <v>15282325647</v>
          </cell>
        </row>
        <row r="3114">
          <cell r="C3114" t="str">
            <v>511421200207246712</v>
          </cell>
          <cell r="D3114" t="str">
            <v>男</v>
          </cell>
          <cell r="E3114" t="str">
            <v>汉族</v>
          </cell>
          <cell r="F3114" t="str">
            <v>20020724</v>
          </cell>
          <cell r="G3114">
            <v>19</v>
          </cell>
          <cell r="H3114" t="str">
            <v>四川省仁寿县贵平镇中岗村13组</v>
          </cell>
          <cell r="I3114">
            <v>15708489496</v>
          </cell>
        </row>
        <row r="3115">
          <cell r="C3115" t="str">
            <v>511121197106166958</v>
          </cell>
          <cell r="D3115" t="str">
            <v>男</v>
          </cell>
          <cell r="E3115" t="str">
            <v>汉族</v>
          </cell>
          <cell r="F3115" t="str">
            <v>19710616</v>
          </cell>
          <cell r="G3115">
            <v>50</v>
          </cell>
          <cell r="H3115" t="str">
            <v>四川省仁寿县贵平镇中岗村13组</v>
          </cell>
          <cell r="I3115">
            <v>13540889557</v>
          </cell>
        </row>
        <row r="3116">
          <cell r="C3116" t="str">
            <v>51112119710425900X</v>
          </cell>
          <cell r="D3116" t="str">
            <v>女</v>
          </cell>
          <cell r="E3116" t="str">
            <v>汉族</v>
          </cell>
          <cell r="F3116" t="str">
            <v>19710425</v>
          </cell>
          <cell r="G3116">
            <v>50</v>
          </cell>
          <cell r="H3116" t="str">
            <v>四川省仁寿县贵平镇中岗村13组</v>
          </cell>
          <cell r="I3116">
            <v>15908134615</v>
          </cell>
        </row>
        <row r="3117">
          <cell r="C3117" t="str">
            <v>513822199509096945</v>
          </cell>
          <cell r="D3117" t="str">
            <v>女</v>
          </cell>
          <cell r="E3117" t="str">
            <v>汉族</v>
          </cell>
          <cell r="F3117" t="str">
            <v>19950909</v>
          </cell>
          <cell r="G3117">
            <v>26</v>
          </cell>
          <cell r="H3117" t="str">
            <v>四川省仁寿县贵平镇中岗村13组</v>
          </cell>
          <cell r="I3117">
            <v>18380464246</v>
          </cell>
        </row>
        <row r="3118">
          <cell r="C3118" t="str">
            <v>511121194904026956</v>
          </cell>
          <cell r="D3118" t="str">
            <v>男</v>
          </cell>
          <cell r="E3118" t="str">
            <v>汉族</v>
          </cell>
          <cell r="F3118" t="str">
            <v>19490402</v>
          </cell>
          <cell r="G3118">
            <v>72</v>
          </cell>
          <cell r="H3118" t="str">
            <v>四川省仁寿县贵平镇中岗村13组</v>
          </cell>
          <cell r="I3118">
            <v>18244324186</v>
          </cell>
        </row>
        <row r="3119">
          <cell r="C3119" t="str">
            <v>511121195508266960</v>
          </cell>
          <cell r="D3119" t="str">
            <v>女</v>
          </cell>
          <cell r="E3119" t="str">
            <v>汉族</v>
          </cell>
          <cell r="F3119" t="str">
            <v>19550826</v>
          </cell>
          <cell r="G3119">
            <v>66</v>
          </cell>
          <cell r="H3119" t="str">
            <v>四川省仁寿县贵平镇中岗村13组</v>
          </cell>
          <cell r="I3119">
            <v>17382990872</v>
          </cell>
        </row>
        <row r="3120">
          <cell r="C3120" t="str">
            <v>511121197609146959</v>
          </cell>
          <cell r="D3120" t="str">
            <v>男</v>
          </cell>
          <cell r="E3120" t="str">
            <v>汉族</v>
          </cell>
          <cell r="F3120" t="str">
            <v>19760914</v>
          </cell>
          <cell r="G3120">
            <v>45</v>
          </cell>
          <cell r="H3120" t="str">
            <v>四川省仁寿县贵平镇中岗村13组</v>
          </cell>
          <cell r="I3120">
            <v>18144218072</v>
          </cell>
        </row>
        <row r="3121">
          <cell r="C3121" t="str">
            <v>511027198709038824</v>
          </cell>
          <cell r="D3121" t="str">
            <v>女</v>
          </cell>
          <cell r="E3121" t="str">
            <v>汉族</v>
          </cell>
          <cell r="F3121" t="str">
            <v>19870903</v>
          </cell>
          <cell r="G3121">
            <v>34</v>
          </cell>
          <cell r="H3121" t="str">
            <v>四川省仁寿县贵平镇中岗村13组</v>
          </cell>
          <cell r="I3121">
            <v>17382990873</v>
          </cell>
        </row>
        <row r="3122">
          <cell r="C3122" t="str">
            <v>511421201405056877</v>
          </cell>
          <cell r="D3122" t="str">
            <v>男</v>
          </cell>
          <cell r="E3122" t="str">
            <v>汉族</v>
          </cell>
          <cell r="F3122" t="str">
            <v>20140505</v>
          </cell>
          <cell r="G3122">
            <v>7</v>
          </cell>
          <cell r="H3122" t="str">
            <v>四川省仁寿县贵平镇中岗村13组</v>
          </cell>
        </row>
        <row r="3123">
          <cell r="C3123" t="str">
            <v>511421200210016782</v>
          </cell>
          <cell r="D3123" t="str">
            <v>女</v>
          </cell>
          <cell r="E3123" t="str">
            <v>汉族</v>
          </cell>
          <cell r="F3123" t="str">
            <v>20021001</v>
          </cell>
          <cell r="G3123">
            <v>19</v>
          </cell>
          <cell r="H3123" t="str">
            <v>四川省仁寿县贵平镇中岗村13组</v>
          </cell>
          <cell r="I3123">
            <v>1782990871</v>
          </cell>
        </row>
        <row r="3124">
          <cell r="C3124" t="str">
            <v>511121194506026934</v>
          </cell>
          <cell r="D3124" t="str">
            <v>男</v>
          </cell>
          <cell r="E3124" t="str">
            <v>汉族</v>
          </cell>
          <cell r="F3124" t="str">
            <v>19450602</v>
          </cell>
          <cell r="G3124">
            <v>76</v>
          </cell>
          <cell r="H3124" t="str">
            <v>四川省仁寿县贵平镇中岗村13组</v>
          </cell>
        </row>
        <row r="3125">
          <cell r="C3125" t="str">
            <v>511121194505296940</v>
          </cell>
          <cell r="D3125" t="str">
            <v>女</v>
          </cell>
          <cell r="E3125" t="str">
            <v>汉族</v>
          </cell>
          <cell r="F3125" t="str">
            <v>19450529</v>
          </cell>
          <cell r="G3125">
            <v>76</v>
          </cell>
          <cell r="H3125" t="str">
            <v>四川省仁寿县贵平镇中岗村13组</v>
          </cell>
          <cell r="I3125">
            <v>13548227002</v>
          </cell>
        </row>
        <row r="3126">
          <cell r="C3126" t="str">
            <v>511121193311256938</v>
          </cell>
          <cell r="D3126" t="str">
            <v>男</v>
          </cell>
          <cell r="E3126" t="str">
            <v>汉族</v>
          </cell>
          <cell r="F3126" t="str">
            <v>19331125</v>
          </cell>
          <cell r="G3126">
            <v>88</v>
          </cell>
          <cell r="H3126" t="str">
            <v>四川省仁寿县贵平镇中岗村13组</v>
          </cell>
        </row>
        <row r="3127">
          <cell r="C3127" t="str">
            <v>511121196607236956</v>
          </cell>
          <cell r="D3127" t="str">
            <v>男</v>
          </cell>
          <cell r="E3127" t="str">
            <v>汉族</v>
          </cell>
          <cell r="F3127" t="str">
            <v>19660723</v>
          </cell>
          <cell r="G3127">
            <v>55</v>
          </cell>
          <cell r="H3127" t="str">
            <v>四川省仁寿县贵平镇中岗村13组</v>
          </cell>
          <cell r="I3127">
            <v>15892714513</v>
          </cell>
        </row>
        <row r="3128">
          <cell r="C3128" t="str">
            <v>511121197108056947</v>
          </cell>
          <cell r="D3128" t="str">
            <v>女</v>
          </cell>
          <cell r="E3128" t="str">
            <v>汉族</v>
          </cell>
          <cell r="F3128" t="str">
            <v>19710805</v>
          </cell>
          <cell r="G3128">
            <v>50</v>
          </cell>
          <cell r="H3128" t="str">
            <v>四川省仁寿县贵平镇中岗村13组</v>
          </cell>
        </row>
        <row r="3129">
          <cell r="C3129" t="str">
            <v>51382219931017693X</v>
          </cell>
          <cell r="D3129" t="str">
            <v>男</v>
          </cell>
          <cell r="E3129" t="str">
            <v>汉族</v>
          </cell>
          <cell r="F3129" t="str">
            <v>19931017</v>
          </cell>
          <cell r="G3129">
            <v>28</v>
          </cell>
          <cell r="H3129" t="str">
            <v>四川省仁寿县贵平镇中岗村13组</v>
          </cell>
          <cell r="I3129">
            <v>13666232682</v>
          </cell>
        </row>
        <row r="3130">
          <cell r="C3130" t="str">
            <v>511121196302066933</v>
          </cell>
          <cell r="D3130" t="str">
            <v>男</v>
          </cell>
          <cell r="E3130" t="str">
            <v>汉族</v>
          </cell>
          <cell r="F3130" t="str">
            <v>19630206</v>
          </cell>
          <cell r="G3130">
            <v>58</v>
          </cell>
          <cell r="H3130" t="str">
            <v>四川省仁寿县贵平镇中岗村13组</v>
          </cell>
          <cell r="I3130">
            <v>13402830829</v>
          </cell>
        </row>
        <row r="3131">
          <cell r="C3131" t="str">
            <v>511121196612166948</v>
          </cell>
          <cell r="D3131" t="str">
            <v>女</v>
          </cell>
          <cell r="E3131" t="str">
            <v>汉族</v>
          </cell>
          <cell r="F3131" t="str">
            <v>19661216</v>
          </cell>
          <cell r="G3131">
            <v>55</v>
          </cell>
          <cell r="H3131" t="str">
            <v>四川省仁寿县贵平镇中岗村13组</v>
          </cell>
          <cell r="I3131">
            <v>13880844276</v>
          </cell>
        </row>
        <row r="3132">
          <cell r="C3132" t="str">
            <v>513822199110136933</v>
          </cell>
          <cell r="D3132" t="str">
            <v>男</v>
          </cell>
          <cell r="E3132" t="str">
            <v>汉族</v>
          </cell>
          <cell r="F3132" t="str">
            <v>19911013</v>
          </cell>
          <cell r="G3132">
            <v>30</v>
          </cell>
          <cell r="H3132" t="str">
            <v>四川省仁寿县贵平镇中岗村13组</v>
          </cell>
          <cell r="I3132">
            <v>18200435722</v>
          </cell>
        </row>
        <row r="3133">
          <cell r="C3133" t="str">
            <v>51382219920109920X</v>
          </cell>
          <cell r="D3133" t="str">
            <v>女</v>
          </cell>
          <cell r="E3133" t="str">
            <v>汉族</v>
          </cell>
          <cell r="F3133" t="str">
            <v>19920109</v>
          </cell>
          <cell r="G3133">
            <v>29</v>
          </cell>
          <cell r="H3133" t="str">
            <v>四川省仁寿县贵平镇中岗村13组</v>
          </cell>
          <cell r="I3133">
            <v>17711571929</v>
          </cell>
        </row>
        <row r="3134">
          <cell r="C3134" t="str">
            <v>51142120190719011X</v>
          </cell>
          <cell r="D3134" t="str">
            <v>男</v>
          </cell>
          <cell r="E3134" t="str">
            <v>汉族</v>
          </cell>
          <cell r="F3134" t="str">
            <v>20190719</v>
          </cell>
          <cell r="G3134">
            <v>2</v>
          </cell>
          <cell r="H3134" t="str">
            <v>四川省仁寿县贵平镇中岗村13组</v>
          </cell>
        </row>
        <row r="3135">
          <cell r="C3135" t="str">
            <v>51112119671120695X</v>
          </cell>
          <cell r="D3135" t="str">
            <v>男</v>
          </cell>
          <cell r="E3135" t="str">
            <v>汉族</v>
          </cell>
          <cell r="F3135" t="str">
            <v>19671120</v>
          </cell>
          <cell r="G3135">
            <v>54</v>
          </cell>
          <cell r="H3135" t="str">
            <v>四川省仁寿县贵平镇中岗村13组</v>
          </cell>
          <cell r="I3135">
            <v>13980812790</v>
          </cell>
        </row>
        <row r="3136">
          <cell r="C3136" t="str">
            <v>511121196810047069</v>
          </cell>
          <cell r="D3136" t="str">
            <v>女</v>
          </cell>
          <cell r="E3136" t="str">
            <v>汉族</v>
          </cell>
          <cell r="F3136" t="str">
            <v>19681004</v>
          </cell>
          <cell r="G3136">
            <v>53</v>
          </cell>
          <cell r="H3136" t="str">
            <v>四川省仁寿县贵平镇中岗村13组</v>
          </cell>
          <cell r="I3136">
            <v>13408645428</v>
          </cell>
        </row>
        <row r="3137">
          <cell r="C3137" t="str">
            <v>513822199001266931</v>
          </cell>
          <cell r="D3137" t="str">
            <v>男</v>
          </cell>
          <cell r="E3137" t="str">
            <v>汉族</v>
          </cell>
          <cell r="F3137" t="str">
            <v>19900126</v>
          </cell>
          <cell r="G3137">
            <v>31</v>
          </cell>
          <cell r="H3137" t="str">
            <v>四川省仁寿县贵平镇中岗村13组</v>
          </cell>
          <cell r="I3137">
            <v>18381679601</v>
          </cell>
        </row>
        <row r="3138">
          <cell r="C3138" t="str">
            <v>51382219891016716X</v>
          </cell>
          <cell r="D3138" t="str">
            <v>女</v>
          </cell>
          <cell r="E3138" t="str">
            <v>汉族</v>
          </cell>
          <cell r="F3138" t="str">
            <v>19891016</v>
          </cell>
          <cell r="G3138">
            <v>32</v>
          </cell>
          <cell r="H3138" t="str">
            <v>四川省仁寿县贵平镇中岗村13组</v>
          </cell>
          <cell r="I3138">
            <v>18381643399</v>
          </cell>
        </row>
        <row r="3139">
          <cell r="C3139" t="str">
            <v>511421201602066855</v>
          </cell>
          <cell r="D3139" t="str">
            <v>男</v>
          </cell>
          <cell r="E3139" t="str">
            <v>汉族</v>
          </cell>
          <cell r="F3139" t="str">
            <v>20160206</v>
          </cell>
          <cell r="G3139">
            <v>5</v>
          </cell>
          <cell r="H3139" t="str">
            <v>四川省仁寿县贵平镇中岗村13组</v>
          </cell>
        </row>
        <row r="3140">
          <cell r="C3140" t="str">
            <v>511121197011266956</v>
          </cell>
          <cell r="D3140" t="str">
            <v>男</v>
          </cell>
          <cell r="E3140" t="str">
            <v>汉族</v>
          </cell>
          <cell r="F3140" t="str">
            <v>19701126</v>
          </cell>
          <cell r="G3140">
            <v>51</v>
          </cell>
          <cell r="H3140" t="str">
            <v>四川省仁寿县贵平镇中岗村13组</v>
          </cell>
          <cell r="I3140">
            <v>13568304516</v>
          </cell>
        </row>
        <row r="3141">
          <cell r="C3141" t="str">
            <v>511121197011026944</v>
          </cell>
          <cell r="D3141" t="str">
            <v>女</v>
          </cell>
          <cell r="E3141" t="str">
            <v>汉族</v>
          </cell>
          <cell r="F3141" t="str">
            <v>19701102</v>
          </cell>
          <cell r="G3141">
            <v>51</v>
          </cell>
          <cell r="H3141" t="str">
            <v>四川省仁寿县贵平镇中岗村13组</v>
          </cell>
          <cell r="I3141">
            <v>18328618452</v>
          </cell>
        </row>
        <row r="3142">
          <cell r="C3142" t="str">
            <v>513822199312266947</v>
          </cell>
          <cell r="D3142" t="str">
            <v>女</v>
          </cell>
          <cell r="E3142" t="str">
            <v>汉族</v>
          </cell>
          <cell r="F3142" t="str">
            <v>19931226</v>
          </cell>
          <cell r="G3142">
            <v>28</v>
          </cell>
          <cell r="H3142" t="str">
            <v>四川省仁寿县贵平镇中岗村13组</v>
          </cell>
          <cell r="I3142">
            <v>18380438761</v>
          </cell>
        </row>
        <row r="3143">
          <cell r="C3143" t="str">
            <v>513822199407137195</v>
          </cell>
          <cell r="D3143" t="str">
            <v>男</v>
          </cell>
          <cell r="E3143" t="str">
            <v>汉族</v>
          </cell>
          <cell r="F3143" t="str">
            <v>19940713</v>
          </cell>
          <cell r="G3143">
            <v>27</v>
          </cell>
          <cell r="H3143" t="str">
            <v>四川省仁寿县贵平镇中岗村13组</v>
          </cell>
          <cell r="I3143">
            <v>18384772403</v>
          </cell>
        </row>
        <row r="3144">
          <cell r="C3144" t="str">
            <v>511121197209166950</v>
          </cell>
          <cell r="D3144" t="str">
            <v>男</v>
          </cell>
          <cell r="E3144" t="str">
            <v>汉族</v>
          </cell>
          <cell r="F3144" t="str">
            <v>19720916</v>
          </cell>
          <cell r="G3144">
            <v>49</v>
          </cell>
          <cell r="H3144" t="str">
            <v>四川省仁寿县贵平镇中岗村13组</v>
          </cell>
          <cell r="I3144">
            <v>15881079334</v>
          </cell>
        </row>
        <row r="3145">
          <cell r="C3145" t="str">
            <v>511121197404246788</v>
          </cell>
          <cell r="D3145" t="str">
            <v>女</v>
          </cell>
          <cell r="E3145" t="str">
            <v>汉族</v>
          </cell>
          <cell r="F3145" t="str">
            <v>19740424</v>
          </cell>
          <cell r="G3145">
            <v>47</v>
          </cell>
          <cell r="H3145" t="str">
            <v>四川省仁寿县贵平镇中岗村13组</v>
          </cell>
          <cell r="I3145">
            <v>13880410885</v>
          </cell>
        </row>
        <row r="3146">
          <cell r="C3146" t="str">
            <v>513822199601256948</v>
          </cell>
          <cell r="D3146" t="str">
            <v>女</v>
          </cell>
          <cell r="E3146" t="str">
            <v>汉族</v>
          </cell>
          <cell r="F3146" t="str">
            <v>19960125</v>
          </cell>
          <cell r="G3146">
            <v>25</v>
          </cell>
          <cell r="H3146" t="str">
            <v>四川省仁寿县贵平镇中岗村13组</v>
          </cell>
          <cell r="I3146">
            <v>13882259053</v>
          </cell>
        </row>
        <row r="3147">
          <cell r="C3147" t="str">
            <v>511121196202286939</v>
          </cell>
          <cell r="D3147" t="str">
            <v>男</v>
          </cell>
          <cell r="E3147" t="str">
            <v>汉族</v>
          </cell>
          <cell r="F3147" t="str">
            <v>19620228</v>
          </cell>
          <cell r="G3147">
            <v>59</v>
          </cell>
          <cell r="H3147" t="str">
            <v>四川省仁寿县贵平镇中岗村13组</v>
          </cell>
          <cell r="I3147">
            <v>18381027294</v>
          </cell>
        </row>
        <row r="3148">
          <cell r="C3148" t="str">
            <v>511121196302156947</v>
          </cell>
          <cell r="D3148" t="str">
            <v>女</v>
          </cell>
          <cell r="E3148" t="str">
            <v>汉族</v>
          </cell>
          <cell r="F3148" t="str">
            <v>19630215</v>
          </cell>
          <cell r="G3148">
            <v>58</v>
          </cell>
          <cell r="H3148" t="str">
            <v>四川省仁寿县贵平镇中岗村13组</v>
          </cell>
          <cell r="I3148">
            <v>15184467619</v>
          </cell>
        </row>
        <row r="3149">
          <cell r="C3149" t="str">
            <v>513822199202176940</v>
          </cell>
          <cell r="D3149" t="str">
            <v>女</v>
          </cell>
          <cell r="E3149" t="str">
            <v>汉族</v>
          </cell>
          <cell r="F3149" t="str">
            <v>19920217</v>
          </cell>
          <cell r="G3149">
            <v>29</v>
          </cell>
          <cell r="H3149" t="str">
            <v>四川省仁寿县贵平镇中岗村13组</v>
          </cell>
          <cell r="I3149">
            <v>18828049129</v>
          </cell>
        </row>
        <row r="3150">
          <cell r="C3150" t="str">
            <v>513822198702087659</v>
          </cell>
          <cell r="D3150" t="str">
            <v>男</v>
          </cell>
          <cell r="E3150" t="str">
            <v>汉族</v>
          </cell>
          <cell r="F3150" t="str">
            <v>19870208</v>
          </cell>
          <cell r="G3150">
            <v>34</v>
          </cell>
          <cell r="H3150" t="str">
            <v>四川省仁寿县贵平镇中岗村13组</v>
          </cell>
        </row>
        <row r="3151">
          <cell r="C3151" t="str">
            <v>511421202003070048</v>
          </cell>
          <cell r="D3151" t="str">
            <v>女</v>
          </cell>
          <cell r="E3151" t="str">
            <v>汉族</v>
          </cell>
          <cell r="F3151" t="str">
            <v>20200307</v>
          </cell>
          <cell r="G3151">
            <v>1</v>
          </cell>
          <cell r="H3151" t="str">
            <v>四川省仁寿县贵平镇中岗村13组</v>
          </cell>
        </row>
        <row r="3152">
          <cell r="C3152" t="str">
            <v>511121196104146932</v>
          </cell>
          <cell r="D3152" t="str">
            <v>男</v>
          </cell>
          <cell r="E3152" t="str">
            <v>汉族</v>
          </cell>
          <cell r="F3152" t="str">
            <v>19610414</v>
          </cell>
          <cell r="G3152">
            <v>60</v>
          </cell>
          <cell r="H3152" t="str">
            <v>四川省仁寿县贵平镇中岗村13组</v>
          </cell>
          <cell r="I3152">
            <v>13558839983</v>
          </cell>
        </row>
        <row r="3153">
          <cell r="C3153" t="str">
            <v>511121196405206986</v>
          </cell>
          <cell r="D3153" t="str">
            <v>女</v>
          </cell>
          <cell r="E3153" t="str">
            <v>汉族</v>
          </cell>
          <cell r="F3153" t="str">
            <v>19640520</v>
          </cell>
          <cell r="G3153">
            <v>57</v>
          </cell>
          <cell r="H3153" t="str">
            <v>四川省仁寿县贵平镇中岗村13组</v>
          </cell>
          <cell r="I3153">
            <v>17828223658</v>
          </cell>
        </row>
        <row r="3154">
          <cell r="C3154" t="str">
            <v>513822198406086934</v>
          </cell>
          <cell r="D3154" t="str">
            <v>男</v>
          </cell>
          <cell r="E3154" t="str">
            <v>汉族</v>
          </cell>
          <cell r="F3154" t="str">
            <v>19840608</v>
          </cell>
          <cell r="G3154">
            <v>37</v>
          </cell>
          <cell r="H3154" t="str">
            <v>四川省仁寿县贵平镇中岗村13组</v>
          </cell>
          <cell r="I3154">
            <v>18067247669</v>
          </cell>
        </row>
        <row r="3155">
          <cell r="C3155" t="str">
            <v>511025198407053361</v>
          </cell>
          <cell r="D3155" t="str">
            <v>女</v>
          </cell>
          <cell r="E3155" t="str">
            <v>汉族</v>
          </cell>
          <cell r="F3155" t="str">
            <v>19840705</v>
          </cell>
          <cell r="G3155">
            <v>37</v>
          </cell>
          <cell r="H3155" t="str">
            <v>四川省仁寿县贵平镇中岗村13组</v>
          </cell>
          <cell r="I3155">
            <v>18067231783</v>
          </cell>
        </row>
        <row r="3156">
          <cell r="C3156" t="str">
            <v>513822198705146933</v>
          </cell>
          <cell r="D3156" t="str">
            <v>男</v>
          </cell>
          <cell r="E3156" t="str">
            <v>汉族</v>
          </cell>
          <cell r="F3156" t="str">
            <v>19870514</v>
          </cell>
          <cell r="G3156">
            <v>34</v>
          </cell>
          <cell r="H3156" t="str">
            <v>四川省仁寿县贵平镇中岗村13组</v>
          </cell>
          <cell r="I3156">
            <v>13980093597</v>
          </cell>
        </row>
        <row r="3157">
          <cell r="C3157" t="str">
            <v>511421201001056870</v>
          </cell>
          <cell r="D3157" t="str">
            <v>男</v>
          </cell>
          <cell r="E3157" t="str">
            <v>汉族</v>
          </cell>
          <cell r="F3157" t="str">
            <v>20100105</v>
          </cell>
          <cell r="G3157">
            <v>11</v>
          </cell>
          <cell r="H3157" t="str">
            <v>四川省仁寿县贵平镇中岗村13组</v>
          </cell>
        </row>
        <row r="3158">
          <cell r="C3158" t="str">
            <v>511121195504166938</v>
          </cell>
          <cell r="D3158" t="str">
            <v>男</v>
          </cell>
          <cell r="E3158" t="str">
            <v>汉族</v>
          </cell>
          <cell r="F3158" t="str">
            <v>19550416</v>
          </cell>
          <cell r="G3158">
            <v>66</v>
          </cell>
          <cell r="H3158" t="str">
            <v>四川省仁寿县贵平镇中岗村13组</v>
          </cell>
          <cell r="I3158">
            <v>15328740239</v>
          </cell>
        </row>
        <row r="3159">
          <cell r="C3159" t="str">
            <v>511121195703026946</v>
          </cell>
          <cell r="D3159" t="str">
            <v>女</v>
          </cell>
          <cell r="E3159" t="str">
            <v>汉族</v>
          </cell>
          <cell r="F3159" t="str">
            <v>19570302</v>
          </cell>
          <cell r="G3159">
            <v>64</v>
          </cell>
          <cell r="H3159" t="str">
            <v>四川省仁寿县贵平镇中岗村13组</v>
          </cell>
        </row>
        <row r="3160">
          <cell r="C3160" t="str">
            <v>511121197709186931</v>
          </cell>
          <cell r="D3160" t="str">
            <v>男</v>
          </cell>
          <cell r="E3160" t="str">
            <v>汉族</v>
          </cell>
          <cell r="F3160" t="str">
            <v>19770918</v>
          </cell>
          <cell r="G3160">
            <v>44</v>
          </cell>
          <cell r="H3160" t="str">
            <v>四川省仁寿县贵平镇中岗村13组</v>
          </cell>
          <cell r="I3160">
            <v>18228546258</v>
          </cell>
        </row>
        <row r="3161">
          <cell r="C3161" t="str">
            <v>511121197501056943</v>
          </cell>
          <cell r="D3161" t="str">
            <v>女</v>
          </cell>
          <cell r="E3161" t="str">
            <v>汉族</v>
          </cell>
          <cell r="F3161" t="str">
            <v>19750105</v>
          </cell>
          <cell r="G3161">
            <v>46</v>
          </cell>
          <cell r="H3161" t="str">
            <v>四川省仁寿县贵平镇中岗村13组</v>
          </cell>
          <cell r="I3161">
            <v>13999160682</v>
          </cell>
        </row>
        <row r="3162">
          <cell r="C3162" t="str">
            <v>51062319760224271X</v>
          </cell>
          <cell r="D3162" t="str">
            <v>男</v>
          </cell>
          <cell r="E3162" t="str">
            <v>汉族</v>
          </cell>
          <cell r="F3162" t="str">
            <v>19760224</v>
          </cell>
          <cell r="G3162">
            <v>45</v>
          </cell>
          <cell r="H3162" t="str">
            <v>四川省仁寿县贵平镇中岗村13组</v>
          </cell>
          <cell r="I3162">
            <v>18690239226</v>
          </cell>
        </row>
        <row r="3163">
          <cell r="C3163" t="str">
            <v>513822200308136694</v>
          </cell>
          <cell r="D3163" t="str">
            <v>男</v>
          </cell>
          <cell r="E3163" t="str">
            <v>汉族</v>
          </cell>
          <cell r="F3163" t="str">
            <v>20030813</v>
          </cell>
          <cell r="G3163">
            <v>18</v>
          </cell>
          <cell r="H3163" t="str">
            <v>四川省仁寿县贵平镇中岗村13组</v>
          </cell>
          <cell r="I3163">
            <v>15299167934</v>
          </cell>
        </row>
        <row r="3164">
          <cell r="C3164" t="str">
            <v>513822199304226742</v>
          </cell>
          <cell r="D3164" t="str">
            <v>女</v>
          </cell>
          <cell r="E3164" t="str">
            <v>汉族</v>
          </cell>
          <cell r="F3164" t="str">
            <v>19930422</v>
          </cell>
          <cell r="G3164">
            <v>28</v>
          </cell>
          <cell r="H3164" t="str">
            <v>四川省仁寿县贵平镇中岗村13组</v>
          </cell>
          <cell r="I3164">
            <v>13999249563</v>
          </cell>
        </row>
        <row r="3165">
          <cell r="C3165" t="str">
            <v>511421201909200107</v>
          </cell>
          <cell r="D3165" t="str">
            <v>女</v>
          </cell>
          <cell r="E3165" t="str">
            <v>汉族</v>
          </cell>
          <cell r="F3165" t="str">
            <v>20190920</v>
          </cell>
          <cell r="G3165">
            <v>2</v>
          </cell>
          <cell r="H3165" t="str">
            <v>四川省仁寿县贵平镇中岗村13组</v>
          </cell>
        </row>
        <row r="3166">
          <cell r="C3166" t="str">
            <v>51112119480822694X</v>
          </cell>
          <cell r="D3166" t="str">
            <v>女</v>
          </cell>
          <cell r="E3166" t="str">
            <v>汉族</v>
          </cell>
          <cell r="F3166" t="str">
            <v>19480822</v>
          </cell>
          <cell r="G3166">
            <v>73</v>
          </cell>
          <cell r="H3166" t="str">
            <v>四川省仁寿县贵平镇中岗村13组</v>
          </cell>
          <cell r="I3166">
            <v>18919529835</v>
          </cell>
        </row>
        <row r="3167">
          <cell r="C3167" t="str">
            <v>511121195802286938</v>
          </cell>
          <cell r="D3167" t="str">
            <v>男</v>
          </cell>
          <cell r="E3167" t="str">
            <v>汉族</v>
          </cell>
          <cell r="F3167" t="str">
            <v>19580228</v>
          </cell>
          <cell r="G3167">
            <v>63</v>
          </cell>
          <cell r="H3167" t="str">
            <v>四川省仁寿县贵平镇中岗村13组</v>
          </cell>
          <cell r="I3167">
            <v>13547676481</v>
          </cell>
        </row>
        <row r="3168">
          <cell r="C3168" t="str">
            <v>511421199303216796</v>
          </cell>
          <cell r="D3168" t="str">
            <v>男</v>
          </cell>
          <cell r="E3168" t="str">
            <v>汉族</v>
          </cell>
          <cell r="F3168" t="str">
            <v>19930321</v>
          </cell>
          <cell r="G3168">
            <v>28</v>
          </cell>
          <cell r="H3168" t="str">
            <v>四川省仁寿县贵平镇中岗村13组</v>
          </cell>
          <cell r="I3168">
            <v>13550202409</v>
          </cell>
        </row>
        <row r="3169">
          <cell r="C3169" t="str">
            <v>51142119960410670X</v>
          </cell>
          <cell r="D3169" t="str">
            <v>女</v>
          </cell>
          <cell r="E3169" t="str">
            <v>汉族</v>
          </cell>
          <cell r="F3169" t="str">
            <v>19960410</v>
          </cell>
          <cell r="G3169">
            <v>25</v>
          </cell>
          <cell r="H3169" t="str">
            <v>四川省仁寿县贵平镇中岗村13组</v>
          </cell>
          <cell r="I3169">
            <v>15884517808</v>
          </cell>
        </row>
        <row r="3170">
          <cell r="C3170" t="str">
            <v>511121196812086950</v>
          </cell>
          <cell r="D3170" t="str">
            <v>男</v>
          </cell>
          <cell r="E3170" t="str">
            <v>汉族</v>
          </cell>
          <cell r="F3170" t="str">
            <v>19681208</v>
          </cell>
          <cell r="G3170">
            <v>53</v>
          </cell>
          <cell r="H3170" t="str">
            <v>四川省仁寿县贵平镇中岗村13组</v>
          </cell>
          <cell r="I3170">
            <v>15282305319</v>
          </cell>
        </row>
        <row r="3171">
          <cell r="C3171" t="str">
            <v>511121196801026952</v>
          </cell>
          <cell r="D3171" t="str">
            <v>男</v>
          </cell>
          <cell r="E3171" t="str">
            <v>汉族</v>
          </cell>
          <cell r="F3171" t="str">
            <v>19680102</v>
          </cell>
          <cell r="G3171">
            <v>53</v>
          </cell>
          <cell r="H3171" t="str">
            <v>四川省仁寿县贵平镇中岗村13组</v>
          </cell>
        </row>
        <row r="3172">
          <cell r="C3172" t="str">
            <v>511121197110196930</v>
          </cell>
          <cell r="D3172" t="str">
            <v>男</v>
          </cell>
          <cell r="E3172" t="str">
            <v>汉族</v>
          </cell>
          <cell r="F3172" t="str">
            <v>19711019</v>
          </cell>
          <cell r="G3172">
            <v>50</v>
          </cell>
          <cell r="H3172" t="str">
            <v>四川省仁寿县贵平镇中岗村13组</v>
          </cell>
          <cell r="I3172">
            <v>18709959088</v>
          </cell>
        </row>
        <row r="3173">
          <cell r="C3173" t="str">
            <v>511121197411016788</v>
          </cell>
          <cell r="D3173" t="str">
            <v>女</v>
          </cell>
          <cell r="E3173" t="str">
            <v>汉族</v>
          </cell>
          <cell r="F3173" t="str">
            <v>19741101</v>
          </cell>
          <cell r="G3173">
            <v>47</v>
          </cell>
          <cell r="H3173" t="str">
            <v>四川省仁寿县贵平镇中岗村13组</v>
          </cell>
          <cell r="I3173">
            <v>13565713852</v>
          </cell>
        </row>
        <row r="3174">
          <cell r="C3174" t="str">
            <v>513822199810026946</v>
          </cell>
          <cell r="D3174" t="str">
            <v>女</v>
          </cell>
          <cell r="E3174" t="str">
            <v>汉族</v>
          </cell>
          <cell r="F3174" t="str">
            <v>19981002</v>
          </cell>
          <cell r="G3174">
            <v>23</v>
          </cell>
          <cell r="H3174" t="str">
            <v>四川省仁寿县贵平镇中岗村13组</v>
          </cell>
          <cell r="I3174">
            <v>19979408264</v>
          </cell>
        </row>
        <row r="3175">
          <cell r="C3175" t="str">
            <v>511421200805226770</v>
          </cell>
          <cell r="D3175" t="str">
            <v>男</v>
          </cell>
          <cell r="E3175" t="str">
            <v>汉族</v>
          </cell>
          <cell r="F3175" t="str">
            <v>20080522</v>
          </cell>
          <cell r="G3175">
            <v>13</v>
          </cell>
          <cell r="H3175" t="str">
            <v>四川省仁寿县贵平镇中岗村13组</v>
          </cell>
        </row>
        <row r="3176">
          <cell r="C3176" t="str">
            <v>51112119740627693X</v>
          </cell>
          <cell r="D3176" t="str">
            <v>男</v>
          </cell>
          <cell r="E3176" t="str">
            <v>汉族</v>
          </cell>
          <cell r="F3176" t="str">
            <v>19740627</v>
          </cell>
          <cell r="G3176">
            <v>47</v>
          </cell>
          <cell r="H3176" t="str">
            <v>四川省仁寿县贵平镇中岗村13组</v>
          </cell>
          <cell r="I3176">
            <v>13899314030</v>
          </cell>
        </row>
        <row r="3177">
          <cell r="C3177" t="str">
            <v>421125197211241327</v>
          </cell>
          <cell r="D3177" t="str">
            <v>女</v>
          </cell>
          <cell r="E3177" t="str">
            <v>汉族</v>
          </cell>
          <cell r="F3177" t="str">
            <v>19721124</v>
          </cell>
          <cell r="G3177">
            <v>49</v>
          </cell>
          <cell r="H3177" t="str">
            <v>四川省仁寿县贵平镇中岗村13组</v>
          </cell>
          <cell r="I3177">
            <v>15022866736</v>
          </cell>
        </row>
        <row r="3178">
          <cell r="C3178" t="str">
            <v>513822200202196736</v>
          </cell>
          <cell r="D3178" t="str">
            <v>男</v>
          </cell>
          <cell r="E3178" t="str">
            <v>汉族</v>
          </cell>
          <cell r="F3178" t="str">
            <v>20020219</v>
          </cell>
          <cell r="G3178">
            <v>19</v>
          </cell>
          <cell r="H3178" t="str">
            <v>四川省仁寿县贵平镇中岗村13组</v>
          </cell>
          <cell r="I3178">
            <v>17628655481</v>
          </cell>
        </row>
        <row r="3179">
          <cell r="C3179" t="str">
            <v>511121197812176942</v>
          </cell>
          <cell r="D3179" t="str">
            <v>女</v>
          </cell>
          <cell r="E3179" t="str">
            <v>汉族</v>
          </cell>
          <cell r="F3179" t="str">
            <v>19781217</v>
          </cell>
          <cell r="G3179">
            <v>43</v>
          </cell>
          <cell r="H3179" t="str">
            <v>四川省仁寿县贵平镇中岗村13组</v>
          </cell>
          <cell r="I3179">
            <v>18328649100</v>
          </cell>
        </row>
        <row r="3180">
          <cell r="C3180" t="str">
            <v>513822199704296934</v>
          </cell>
          <cell r="D3180" t="str">
            <v>男</v>
          </cell>
          <cell r="E3180" t="str">
            <v>汉族</v>
          </cell>
          <cell r="F3180" t="str">
            <v>19970429</v>
          </cell>
          <cell r="G3180">
            <v>24</v>
          </cell>
          <cell r="H3180" t="str">
            <v>四川省仁寿县贵平镇中岗村13组</v>
          </cell>
        </row>
        <row r="3181">
          <cell r="C3181" t="str">
            <v>513822199009137122</v>
          </cell>
          <cell r="D3181" t="str">
            <v>女</v>
          </cell>
          <cell r="E3181" t="str">
            <v>汉族</v>
          </cell>
          <cell r="F3181" t="str">
            <v>19900913</v>
          </cell>
          <cell r="G3181">
            <v>31</v>
          </cell>
          <cell r="H3181" t="str">
            <v>四川省仁寿县贵平镇中岗村13组</v>
          </cell>
          <cell r="I3181">
            <v>13550059226</v>
          </cell>
        </row>
        <row r="3182">
          <cell r="C3182" t="str">
            <v>511121197204056939</v>
          </cell>
          <cell r="D3182" t="str">
            <v>男</v>
          </cell>
          <cell r="E3182" t="str">
            <v>汉族</v>
          </cell>
          <cell r="F3182" t="str">
            <v>19720405</v>
          </cell>
          <cell r="G3182">
            <v>49</v>
          </cell>
          <cell r="H3182" t="str">
            <v>四川省仁寿县贵平镇中岗村13组</v>
          </cell>
          <cell r="I3182">
            <v>13882160443</v>
          </cell>
        </row>
        <row r="3183">
          <cell r="C3183" t="str">
            <v>511121197302096707</v>
          </cell>
          <cell r="D3183" t="str">
            <v>女</v>
          </cell>
          <cell r="E3183" t="str">
            <v>汉族</v>
          </cell>
          <cell r="F3183" t="str">
            <v>19730209</v>
          </cell>
          <cell r="G3183">
            <v>48</v>
          </cell>
          <cell r="H3183" t="str">
            <v>四川省仁寿县贵平镇中岗村13组</v>
          </cell>
          <cell r="I3183">
            <v>13547983057</v>
          </cell>
        </row>
        <row r="3184">
          <cell r="C3184" t="str">
            <v>511121198106106933</v>
          </cell>
          <cell r="D3184" t="str">
            <v>男</v>
          </cell>
          <cell r="E3184" t="str">
            <v>汉族</v>
          </cell>
          <cell r="F3184" t="str">
            <v>19810610</v>
          </cell>
          <cell r="G3184">
            <v>40</v>
          </cell>
          <cell r="H3184" t="str">
            <v>四川省仁寿县贵平镇中岗村13组</v>
          </cell>
          <cell r="I3184">
            <v>17380946652</v>
          </cell>
        </row>
        <row r="3185">
          <cell r="C3185" t="str">
            <v>370831198505062820</v>
          </cell>
          <cell r="D3185" t="str">
            <v>女</v>
          </cell>
          <cell r="E3185" t="str">
            <v>汉族</v>
          </cell>
          <cell r="F3185" t="str">
            <v>19850506</v>
          </cell>
          <cell r="G3185">
            <v>36</v>
          </cell>
          <cell r="H3185" t="str">
            <v>四川省仁寿县贵平镇中岗村13组</v>
          </cell>
        </row>
        <row r="3186">
          <cell r="C3186" t="str">
            <v>513822200104276724</v>
          </cell>
          <cell r="D3186" t="str">
            <v>女</v>
          </cell>
          <cell r="E3186" t="str">
            <v>汉族</v>
          </cell>
          <cell r="F3186" t="str">
            <v>20010427</v>
          </cell>
          <cell r="G3186">
            <v>20</v>
          </cell>
          <cell r="H3186" t="str">
            <v>四川省仁寿县贵平镇中岗村13组</v>
          </cell>
          <cell r="I3186">
            <v>15756311355</v>
          </cell>
        </row>
        <row r="3187">
          <cell r="C3187" t="str">
            <v>511421200803026716</v>
          </cell>
          <cell r="D3187" t="str">
            <v>男</v>
          </cell>
          <cell r="E3187" t="str">
            <v>汉族</v>
          </cell>
          <cell r="F3187" t="str">
            <v>20080302</v>
          </cell>
          <cell r="G3187">
            <v>13</v>
          </cell>
          <cell r="H3187" t="str">
            <v>四川省仁寿县贵平镇中岗村13组</v>
          </cell>
        </row>
        <row r="3188">
          <cell r="C3188" t="str">
            <v>511121197306206950</v>
          </cell>
          <cell r="D3188" t="str">
            <v>男</v>
          </cell>
          <cell r="E3188" t="str">
            <v>汉族</v>
          </cell>
          <cell r="F3188" t="str">
            <v>19730620</v>
          </cell>
          <cell r="G3188">
            <v>48</v>
          </cell>
          <cell r="H3188" t="str">
            <v>四川省仁寿县贵平镇中岗村13组</v>
          </cell>
          <cell r="I3188">
            <v>18816987008</v>
          </cell>
        </row>
        <row r="3189">
          <cell r="C3189" t="str">
            <v>511121197412289083</v>
          </cell>
          <cell r="D3189" t="str">
            <v>女</v>
          </cell>
          <cell r="E3189" t="str">
            <v>汉族</v>
          </cell>
          <cell r="F3189" t="str">
            <v>19741228</v>
          </cell>
          <cell r="G3189">
            <v>47</v>
          </cell>
          <cell r="H3189" t="str">
            <v>四川省仁寿县贵平镇中岗村13组</v>
          </cell>
          <cell r="I3189">
            <v>18221609592</v>
          </cell>
        </row>
        <row r="3190">
          <cell r="C3190" t="str">
            <v>51382219940412695X</v>
          </cell>
          <cell r="D3190" t="str">
            <v>男</v>
          </cell>
          <cell r="E3190" t="str">
            <v>汉族</v>
          </cell>
          <cell r="F3190" t="str">
            <v>19940412</v>
          </cell>
          <cell r="G3190">
            <v>27</v>
          </cell>
          <cell r="H3190" t="str">
            <v>四川省仁寿县贵平镇中岗村13组</v>
          </cell>
          <cell r="I3190">
            <v>13651647361</v>
          </cell>
        </row>
        <row r="3191">
          <cell r="C3191" t="str">
            <v>513902199504078748</v>
          </cell>
          <cell r="D3191" t="str">
            <v>女</v>
          </cell>
          <cell r="E3191" t="str">
            <v>汉族</v>
          </cell>
          <cell r="F3191" t="str">
            <v>19950407</v>
          </cell>
          <cell r="G3191">
            <v>26</v>
          </cell>
          <cell r="H3191" t="str">
            <v>四川省仁寿县贵平镇中岗村13组</v>
          </cell>
          <cell r="I3191">
            <v>18919529835</v>
          </cell>
        </row>
        <row r="3192">
          <cell r="C3192" t="str">
            <v>512081201903010340</v>
          </cell>
          <cell r="D3192" t="str">
            <v>女</v>
          </cell>
          <cell r="E3192" t="str">
            <v>汉族</v>
          </cell>
          <cell r="F3192" t="str">
            <v>20190301</v>
          </cell>
          <cell r="G3192">
            <v>2</v>
          </cell>
          <cell r="H3192" t="str">
            <v>四川省仁寿县贵平镇中岗村13组</v>
          </cell>
        </row>
        <row r="3193">
          <cell r="C3193" t="str">
            <v>511421201705270226</v>
          </cell>
          <cell r="D3193" t="str">
            <v>女</v>
          </cell>
          <cell r="E3193" t="str">
            <v>汉族</v>
          </cell>
          <cell r="F3193" t="str">
            <v>20170527</v>
          </cell>
          <cell r="G3193">
            <v>4</v>
          </cell>
          <cell r="H3193" t="str">
            <v>四川省仁寿县贵平镇中岗村13组</v>
          </cell>
        </row>
        <row r="3194">
          <cell r="C3194" t="str">
            <v>511121197409116958</v>
          </cell>
          <cell r="D3194" t="str">
            <v>男</v>
          </cell>
          <cell r="E3194" t="str">
            <v>汉族</v>
          </cell>
          <cell r="F3194" t="str">
            <v>19740911</v>
          </cell>
          <cell r="G3194">
            <v>47</v>
          </cell>
          <cell r="H3194" t="str">
            <v>四川省仁寿县贵平镇中岗村13组</v>
          </cell>
        </row>
        <row r="3195">
          <cell r="C3195" t="str">
            <v>511121197503216939</v>
          </cell>
          <cell r="D3195" t="str">
            <v>男</v>
          </cell>
          <cell r="E3195" t="str">
            <v>汉族</v>
          </cell>
          <cell r="F3195" t="str">
            <v>19750321</v>
          </cell>
          <cell r="G3195">
            <v>46</v>
          </cell>
          <cell r="H3195" t="str">
            <v>四川省仁寿县贵平镇中岗村13组</v>
          </cell>
          <cell r="I3195">
            <v>15928546087</v>
          </cell>
        </row>
        <row r="3196">
          <cell r="C3196" t="str">
            <v>513434198707014567</v>
          </cell>
          <cell r="D3196" t="str">
            <v>女</v>
          </cell>
          <cell r="E3196" t="str">
            <v>彝族</v>
          </cell>
          <cell r="F3196" t="str">
            <v>19870701</v>
          </cell>
          <cell r="G3196">
            <v>34</v>
          </cell>
          <cell r="H3196" t="str">
            <v>四川省仁寿县贵平镇中岗村13组</v>
          </cell>
          <cell r="I3196">
            <v>13398165506</v>
          </cell>
        </row>
        <row r="3197">
          <cell r="C3197" t="str">
            <v>513822199804246934</v>
          </cell>
          <cell r="D3197" t="str">
            <v>男</v>
          </cell>
          <cell r="E3197" t="str">
            <v>汉族</v>
          </cell>
          <cell r="F3197" t="str">
            <v>19980424</v>
          </cell>
          <cell r="G3197">
            <v>23</v>
          </cell>
          <cell r="H3197" t="str">
            <v>四川省仁寿县贵平镇中岗村13组</v>
          </cell>
          <cell r="I3197">
            <v>18384787698</v>
          </cell>
        </row>
        <row r="3198">
          <cell r="C3198" t="str">
            <v>511421200511186785</v>
          </cell>
          <cell r="D3198" t="str">
            <v>女</v>
          </cell>
          <cell r="E3198" t="str">
            <v>汉族</v>
          </cell>
          <cell r="F3198" t="str">
            <v>20051118</v>
          </cell>
          <cell r="G3198">
            <v>16</v>
          </cell>
          <cell r="H3198" t="str">
            <v>四川省仁寿县贵平镇中岗村13组</v>
          </cell>
        </row>
        <row r="3199">
          <cell r="C3199" t="str">
            <v>511121197510296930</v>
          </cell>
          <cell r="D3199" t="str">
            <v>男</v>
          </cell>
          <cell r="E3199" t="str">
            <v>汉族</v>
          </cell>
          <cell r="F3199" t="str">
            <v>19751029</v>
          </cell>
          <cell r="G3199">
            <v>46</v>
          </cell>
          <cell r="H3199" t="str">
            <v>四川省仁寿县贵平镇中岗村13组</v>
          </cell>
          <cell r="I3199">
            <v>15902370177</v>
          </cell>
        </row>
        <row r="3200">
          <cell r="C3200" t="str">
            <v>511421201506280034</v>
          </cell>
          <cell r="D3200" t="str">
            <v>男</v>
          </cell>
          <cell r="E3200" t="str">
            <v>汉族</v>
          </cell>
          <cell r="F3200" t="str">
            <v>20150628</v>
          </cell>
          <cell r="G3200">
            <v>6</v>
          </cell>
          <cell r="H3200" t="str">
            <v>四川省仁寿县贵平镇中岗村13组</v>
          </cell>
        </row>
        <row r="3201">
          <cell r="C3201" t="str">
            <v>511121196607166951</v>
          </cell>
          <cell r="D3201" t="str">
            <v>男</v>
          </cell>
          <cell r="E3201" t="str">
            <v>汉族</v>
          </cell>
          <cell r="F3201" t="str">
            <v>19660716</v>
          </cell>
          <cell r="G3201">
            <v>55</v>
          </cell>
          <cell r="H3201" t="str">
            <v>四川省仁寿县贵平镇中岗村13组</v>
          </cell>
          <cell r="I3201">
            <v>13684083385</v>
          </cell>
        </row>
        <row r="3202">
          <cell r="C3202" t="str">
            <v>511121196805146943</v>
          </cell>
          <cell r="D3202" t="str">
            <v>女</v>
          </cell>
          <cell r="E3202" t="str">
            <v>汉族</v>
          </cell>
          <cell r="F3202" t="str">
            <v>19680514</v>
          </cell>
          <cell r="G3202">
            <v>53</v>
          </cell>
          <cell r="H3202" t="str">
            <v>四川省仁寿县贵平镇中岗村13组</v>
          </cell>
          <cell r="I3202">
            <v>15281090259</v>
          </cell>
        </row>
        <row r="3203">
          <cell r="C3203" t="str">
            <v>513822199202066936</v>
          </cell>
          <cell r="D3203" t="str">
            <v>男</v>
          </cell>
          <cell r="E3203" t="str">
            <v>汉族</v>
          </cell>
          <cell r="F3203" t="str">
            <v>19920206</v>
          </cell>
          <cell r="G3203">
            <v>29</v>
          </cell>
          <cell r="H3203" t="str">
            <v>四川省仁寿县贵平镇中岗村13组</v>
          </cell>
          <cell r="I3203">
            <v>15908184844</v>
          </cell>
        </row>
        <row r="3204">
          <cell r="C3204" t="str">
            <v>513822198811206944</v>
          </cell>
          <cell r="D3204" t="str">
            <v>女</v>
          </cell>
          <cell r="E3204" t="str">
            <v>汉族</v>
          </cell>
          <cell r="F3204" t="str">
            <v>19881120</v>
          </cell>
          <cell r="G3204">
            <v>33</v>
          </cell>
          <cell r="H3204" t="str">
            <v>四川省仁寿县贵平镇中岗村13组</v>
          </cell>
          <cell r="I3204">
            <v>15208391065</v>
          </cell>
        </row>
        <row r="3205">
          <cell r="C3205" t="str">
            <v>511027197106228832</v>
          </cell>
          <cell r="D3205" t="str">
            <v>男</v>
          </cell>
          <cell r="E3205" t="str">
            <v>汉族</v>
          </cell>
          <cell r="F3205" t="str">
            <v>19710622</v>
          </cell>
          <cell r="G3205">
            <v>50</v>
          </cell>
          <cell r="H3205" t="str">
            <v>四川省仁寿县贵平镇中岗村13组</v>
          </cell>
          <cell r="I3205">
            <v>18828075631</v>
          </cell>
        </row>
        <row r="3206">
          <cell r="C3206" t="str">
            <v>511121197510186942</v>
          </cell>
          <cell r="D3206" t="str">
            <v>女</v>
          </cell>
          <cell r="E3206" t="str">
            <v>汉族</v>
          </cell>
          <cell r="F3206" t="str">
            <v>19751018</v>
          </cell>
          <cell r="G3206">
            <v>46</v>
          </cell>
          <cell r="H3206" t="str">
            <v>四川省仁寿县贵平镇中岗村13组</v>
          </cell>
          <cell r="I3206">
            <v>15680903732</v>
          </cell>
        </row>
        <row r="3207">
          <cell r="C3207" t="str">
            <v>511421200808086718</v>
          </cell>
          <cell r="D3207" t="str">
            <v>男</v>
          </cell>
          <cell r="E3207" t="str">
            <v>汉族</v>
          </cell>
          <cell r="F3207" t="str">
            <v>20080808</v>
          </cell>
          <cell r="G3207">
            <v>13</v>
          </cell>
          <cell r="H3207" t="str">
            <v>四川省仁寿县贵平镇中岗村13组</v>
          </cell>
        </row>
        <row r="3208">
          <cell r="C3208" t="str">
            <v>513822199609166939</v>
          </cell>
          <cell r="D3208" t="str">
            <v>男</v>
          </cell>
          <cell r="E3208" t="str">
            <v>汉族</v>
          </cell>
          <cell r="F3208" t="str">
            <v>19960916</v>
          </cell>
          <cell r="G3208">
            <v>25</v>
          </cell>
          <cell r="H3208" t="str">
            <v>四川省仁寿县贵平镇中岗村13组</v>
          </cell>
          <cell r="I3208">
            <v>19934616987</v>
          </cell>
        </row>
        <row r="3209">
          <cell r="C3209" t="str">
            <v>511421201910130177</v>
          </cell>
          <cell r="D3209" t="str">
            <v>男</v>
          </cell>
          <cell r="E3209" t="str">
            <v>汉族</v>
          </cell>
          <cell r="F3209" t="str">
            <v>20191013</v>
          </cell>
          <cell r="G3209">
            <v>2</v>
          </cell>
          <cell r="H3209" t="str">
            <v>四川省仁寿县贵平镇中岗村13组</v>
          </cell>
        </row>
        <row r="3210">
          <cell r="C3210" t="str">
            <v>511121197606186939</v>
          </cell>
          <cell r="D3210" t="str">
            <v>男</v>
          </cell>
          <cell r="E3210" t="str">
            <v>汉族</v>
          </cell>
          <cell r="F3210" t="str">
            <v>19760618</v>
          </cell>
          <cell r="G3210">
            <v>45</v>
          </cell>
          <cell r="H3210" t="str">
            <v>四川省仁寿县贵平镇中岗村13组</v>
          </cell>
          <cell r="I3210">
            <v>15221800488</v>
          </cell>
        </row>
        <row r="3211">
          <cell r="C3211" t="str">
            <v>51112119770411674X</v>
          </cell>
          <cell r="D3211" t="str">
            <v>女</v>
          </cell>
          <cell r="E3211" t="str">
            <v>汉族</v>
          </cell>
          <cell r="F3211" t="str">
            <v>19770411</v>
          </cell>
          <cell r="G3211">
            <v>44</v>
          </cell>
          <cell r="H3211" t="str">
            <v>四川省仁寿县贵平镇中岗村13组</v>
          </cell>
          <cell r="I3211">
            <v>15282351863</v>
          </cell>
        </row>
        <row r="3212">
          <cell r="C3212" t="str">
            <v>513822199707216944</v>
          </cell>
          <cell r="D3212" t="str">
            <v>女</v>
          </cell>
          <cell r="E3212" t="str">
            <v>汉族</v>
          </cell>
          <cell r="F3212" t="str">
            <v>19970721</v>
          </cell>
          <cell r="G3212">
            <v>24</v>
          </cell>
          <cell r="H3212" t="str">
            <v>四川省仁寿县贵平镇中岗村13组</v>
          </cell>
          <cell r="I3212">
            <v>18717825260</v>
          </cell>
        </row>
        <row r="3213">
          <cell r="C3213" t="str">
            <v>511421201003196754</v>
          </cell>
          <cell r="D3213" t="str">
            <v>男</v>
          </cell>
          <cell r="E3213" t="str">
            <v>汉族</v>
          </cell>
          <cell r="F3213" t="str">
            <v>20100319</v>
          </cell>
          <cell r="G3213">
            <v>11</v>
          </cell>
          <cell r="H3213" t="str">
            <v>四川省仁寿县贵平镇中岗村13组</v>
          </cell>
        </row>
        <row r="3214">
          <cell r="C3214" t="str">
            <v>511121195402276941</v>
          </cell>
          <cell r="D3214" t="str">
            <v>女</v>
          </cell>
          <cell r="E3214" t="str">
            <v>汉族</v>
          </cell>
          <cell r="F3214" t="str">
            <v>19540227</v>
          </cell>
          <cell r="G3214">
            <v>67</v>
          </cell>
          <cell r="H3214" t="str">
            <v>四川省仁寿县贵平镇中岗村13组</v>
          </cell>
        </row>
        <row r="3215">
          <cell r="C3215" t="str">
            <v>51112119790425694X</v>
          </cell>
          <cell r="D3215" t="str">
            <v>女</v>
          </cell>
          <cell r="E3215" t="str">
            <v>汉族</v>
          </cell>
          <cell r="F3215" t="str">
            <v>19790425</v>
          </cell>
          <cell r="G3215">
            <v>42</v>
          </cell>
          <cell r="H3215" t="str">
            <v>四川省仁寿县贵平镇中岗村13组</v>
          </cell>
          <cell r="I3215">
            <v>13472729930</v>
          </cell>
        </row>
        <row r="3216">
          <cell r="C3216" t="str">
            <v>513822199511256936</v>
          </cell>
          <cell r="D3216" t="str">
            <v>男</v>
          </cell>
          <cell r="E3216" t="str">
            <v>汉族</v>
          </cell>
          <cell r="F3216" t="str">
            <v>19951125</v>
          </cell>
          <cell r="G3216">
            <v>26</v>
          </cell>
          <cell r="H3216" t="str">
            <v>四川省仁寿县贵平镇中岗村13组</v>
          </cell>
          <cell r="I3216">
            <v>15021415871</v>
          </cell>
        </row>
        <row r="3217">
          <cell r="C3217" t="str">
            <v>513822199908086939</v>
          </cell>
          <cell r="D3217" t="str">
            <v>男</v>
          </cell>
          <cell r="E3217" t="str">
            <v>汉族</v>
          </cell>
          <cell r="F3217" t="str">
            <v>19990808</v>
          </cell>
          <cell r="G3217">
            <v>22</v>
          </cell>
          <cell r="H3217" t="str">
            <v>四川省仁寿县贵平镇中岗村13组</v>
          </cell>
          <cell r="I3217">
            <v>17601376962</v>
          </cell>
        </row>
        <row r="3218">
          <cell r="C3218" t="str">
            <v>511121198107046936</v>
          </cell>
          <cell r="D3218" t="str">
            <v>男</v>
          </cell>
          <cell r="E3218" t="str">
            <v>汉族</v>
          </cell>
          <cell r="F3218" t="str">
            <v>19810704</v>
          </cell>
          <cell r="G3218">
            <v>40</v>
          </cell>
          <cell r="H3218" t="str">
            <v>四川省仁寿县贵平镇中岗村13组</v>
          </cell>
          <cell r="I3218">
            <v>13882197150</v>
          </cell>
        </row>
        <row r="3219">
          <cell r="C3219" t="str">
            <v>441282198202254864</v>
          </cell>
          <cell r="D3219" t="str">
            <v>女</v>
          </cell>
          <cell r="E3219" t="str">
            <v>汉族</v>
          </cell>
          <cell r="F3219" t="str">
            <v>19820225</v>
          </cell>
          <cell r="G3219">
            <v>39</v>
          </cell>
          <cell r="H3219" t="str">
            <v>四川省仁寿县贵平镇中岗村13组</v>
          </cell>
          <cell r="I3219">
            <v>13488999281</v>
          </cell>
        </row>
        <row r="3220">
          <cell r="C3220" t="str">
            <v>511421200703106719</v>
          </cell>
          <cell r="D3220" t="str">
            <v>男</v>
          </cell>
          <cell r="E3220" t="str">
            <v>汉族</v>
          </cell>
          <cell r="F3220" t="str">
            <v>20070310</v>
          </cell>
          <cell r="G3220">
            <v>14</v>
          </cell>
          <cell r="H3220" t="str">
            <v>四川省仁寿县贵平镇中岗村13组</v>
          </cell>
        </row>
        <row r="3221">
          <cell r="C3221" t="str">
            <v>511121197802026932</v>
          </cell>
          <cell r="D3221" t="str">
            <v>男</v>
          </cell>
          <cell r="E3221" t="str">
            <v>汉族</v>
          </cell>
          <cell r="F3221" t="str">
            <v>19780202</v>
          </cell>
          <cell r="G3221">
            <v>43</v>
          </cell>
          <cell r="H3221" t="str">
            <v>四川省仁寿县贵平镇中岗村13组</v>
          </cell>
          <cell r="I3221">
            <v>13518133589</v>
          </cell>
        </row>
        <row r="3222">
          <cell r="C3222" t="str">
            <v>511421201403066852</v>
          </cell>
          <cell r="D3222" t="str">
            <v>男</v>
          </cell>
          <cell r="E3222" t="str">
            <v>汉族</v>
          </cell>
          <cell r="F3222" t="str">
            <v>20140306</v>
          </cell>
          <cell r="G3222">
            <v>7</v>
          </cell>
          <cell r="H3222" t="str">
            <v>四川省仁寿县贵平镇中岗村13组</v>
          </cell>
        </row>
        <row r="3223">
          <cell r="C3223" t="str">
            <v>511421201403066860</v>
          </cell>
          <cell r="D3223" t="str">
            <v>女</v>
          </cell>
          <cell r="E3223" t="str">
            <v>汉族</v>
          </cell>
          <cell r="F3223" t="str">
            <v>20140306</v>
          </cell>
          <cell r="G3223">
            <v>7</v>
          </cell>
          <cell r="H3223" t="str">
            <v>四川省仁寿县贵平镇中岗村13组</v>
          </cell>
        </row>
        <row r="3224">
          <cell r="C3224" t="str">
            <v>511121197902276939</v>
          </cell>
          <cell r="D3224" t="str">
            <v>男</v>
          </cell>
          <cell r="E3224" t="str">
            <v>汉族</v>
          </cell>
          <cell r="F3224" t="str">
            <v>19790227</v>
          </cell>
          <cell r="G3224">
            <v>42</v>
          </cell>
          <cell r="H3224" t="str">
            <v>四川省仁寿县贵平镇中岗村13组</v>
          </cell>
          <cell r="I3224">
            <v>13999889461</v>
          </cell>
        </row>
        <row r="3225">
          <cell r="C3225" t="str">
            <v>511421200611156786</v>
          </cell>
          <cell r="D3225" t="str">
            <v>女</v>
          </cell>
          <cell r="E3225" t="str">
            <v>汉族</v>
          </cell>
          <cell r="F3225" t="str">
            <v>20061115</v>
          </cell>
          <cell r="G3225">
            <v>15</v>
          </cell>
          <cell r="H3225" t="str">
            <v>四川省仁寿县贵平镇中岗村13组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汤子群</v>
          </cell>
          <cell r="B1" t="str">
            <v>511121196308236964</v>
          </cell>
        </row>
        <row r="2">
          <cell r="A2" t="str">
            <v>汪淑华</v>
          </cell>
          <cell r="B2" t="str">
            <v>511121195409026961</v>
          </cell>
        </row>
        <row r="3">
          <cell r="A3" t="str">
            <v>汤华安</v>
          </cell>
          <cell r="B3" t="str">
            <v>511121195111206935</v>
          </cell>
        </row>
        <row r="4">
          <cell r="A4" t="str">
            <v>汤玉莎</v>
          </cell>
          <cell r="B4" t="str">
            <v>513822199505246942</v>
          </cell>
        </row>
        <row r="5">
          <cell r="A5" t="str">
            <v>汤冬明</v>
          </cell>
          <cell r="B5" t="str">
            <v>511121197711016966</v>
          </cell>
        </row>
        <row r="6">
          <cell r="A6" t="str">
            <v>汤泽明</v>
          </cell>
          <cell r="B6" t="str">
            <v>511121195312186934</v>
          </cell>
        </row>
        <row r="7">
          <cell r="A7" t="str">
            <v>张金玉</v>
          </cell>
          <cell r="B7" t="str">
            <v>511121195401106940</v>
          </cell>
        </row>
        <row r="8">
          <cell r="A8" t="str">
            <v>汤弘旭</v>
          </cell>
          <cell r="B8" t="str">
            <v>511421201401256855</v>
          </cell>
        </row>
        <row r="9">
          <cell r="A9" t="str">
            <v>汤子根</v>
          </cell>
          <cell r="B9" t="str">
            <v>511121197901106938</v>
          </cell>
        </row>
        <row r="10">
          <cell r="A10" t="str">
            <v>汤一一</v>
          </cell>
          <cell r="B10" t="str">
            <v>51382219900505694X</v>
          </cell>
        </row>
        <row r="11">
          <cell r="A11" t="str">
            <v>汤自强</v>
          </cell>
          <cell r="B11" t="str">
            <v>511121198102056932</v>
          </cell>
        </row>
        <row r="12">
          <cell r="A12" t="str">
            <v>汤德清</v>
          </cell>
          <cell r="B12" t="str">
            <v>511121196601036937</v>
          </cell>
        </row>
        <row r="13">
          <cell r="A13" t="str">
            <v>汤云龙</v>
          </cell>
          <cell r="B13" t="str">
            <v>51382219920625693X</v>
          </cell>
        </row>
        <row r="14">
          <cell r="A14" t="str">
            <v>吴云霞</v>
          </cell>
          <cell r="B14" t="str">
            <v>511121196807186965</v>
          </cell>
        </row>
        <row r="15">
          <cell r="A15" t="str">
            <v>汤燕梅</v>
          </cell>
          <cell r="B15" t="str">
            <v>513822199012246944</v>
          </cell>
        </row>
        <row r="16">
          <cell r="A16" t="str">
            <v>汤小凤</v>
          </cell>
          <cell r="B16" t="str">
            <v>513822199608106942</v>
          </cell>
        </row>
        <row r="17">
          <cell r="A17" t="str">
            <v>汤玉成</v>
          </cell>
          <cell r="B17" t="str">
            <v>511121195609216938</v>
          </cell>
        </row>
        <row r="18">
          <cell r="A18" t="str">
            <v>汤洪</v>
          </cell>
          <cell r="B18" t="str">
            <v>511121198211136958</v>
          </cell>
        </row>
        <row r="19">
          <cell r="A19" t="str">
            <v>吴秀荣</v>
          </cell>
          <cell r="B19" t="str">
            <v>511121196108206947</v>
          </cell>
        </row>
        <row r="20">
          <cell r="A20" t="str">
            <v>汤木根</v>
          </cell>
          <cell r="B20" t="str">
            <v>511121197309266932</v>
          </cell>
        </row>
        <row r="21">
          <cell r="A21" t="str">
            <v>汤学君</v>
          </cell>
          <cell r="B21" t="str">
            <v>511121198006196935</v>
          </cell>
        </row>
        <row r="22">
          <cell r="A22" t="str">
            <v>章慧</v>
          </cell>
          <cell r="B22" t="str">
            <v>513823198303232528</v>
          </cell>
        </row>
        <row r="23">
          <cell r="A23" t="str">
            <v>汤俊文</v>
          </cell>
          <cell r="B23" t="str">
            <v>511121193909226936</v>
          </cell>
        </row>
        <row r="24">
          <cell r="A24" t="str">
            <v>刘淑花</v>
          </cell>
          <cell r="B24" t="str">
            <v>511121194310306942</v>
          </cell>
        </row>
        <row r="25">
          <cell r="A25" t="str">
            <v>汤洪岗</v>
          </cell>
          <cell r="B25" t="str">
            <v>511121198106256931</v>
          </cell>
        </row>
        <row r="26">
          <cell r="A26" t="str">
            <v>汤佳惠</v>
          </cell>
          <cell r="B26" t="str">
            <v>51382220041024670X</v>
          </cell>
        </row>
        <row r="27">
          <cell r="A27" t="str">
            <v>汤洪良</v>
          </cell>
          <cell r="B27" t="str">
            <v>511121197704286933</v>
          </cell>
        </row>
        <row r="28">
          <cell r="A28" t="str">
            <v>汤子文</v>
          </cell>
          <cell r="B28" t="str">
            <v>511121195504216931</v>
          </cell>
        </row>
        <row r="29">
          <cell r="A29" t="str">
            <v>汤志岗</v>
          </cell>
          <cell r="B29" t="str">
            <v>511121198104096938</v>
          </cell>
        </row>
        <row r="30">
          <cell r="A30" t="str">
            <v>汤熙悦</v>
          </cell>
          <cell r="B30" t="str">
            <v>511421201610290144</v>
          </cell>
        </row>
        <row r="31">
          <cell r="A31" t="str">
            <v>汤水明</v>
          </cell>
          <cell r="B31" t="str">
            <v>511121196611156991</v>
          </cell>
        </row>
        <row r="32">
          <cell r="A32" t="str">
            <v>汤思礼</v>
          </cell>
          <cell r="B32" t="str">
            <v>511121195109036930</v>
          </cell>
        </row>
        <row r="33">
          <cell r="A33" t="str">
            <v>肖淑先</v>
          </cell>
          <cell r="B33" t="str">
            <v>511121195108186945</v>
          </cell>
        </row>
        <row r="34">
          <cell r="A34" t="str">
            <v>汤子根</v>
          </cell>
          <cell r="B34" t="str">
            <v>511121197607116932</v>
          </cell>
        </row>
        <row r="35">
          <cell r="A35" t="str">
            <v>杨美琼</v>
          </cell>
          <cell r="B35" t="str">
            <v>532724198310111525</v>
          </cell>
        </row>
        <row r="36">
          <cell r="A36" t="str">
            <v>汤欣杨</v>
          </cell>
          <cell r="B36" t="str">
            <v>511421201712020137</v>
          </cell>
        </row>
        <row r="37">
          <cell r="A37" t="str">
            <v>汤子光</v>
          </cell>
          <cell r="B37" t="str">
            <v>511121197206176934</v>
          </cell>
        </row>
        <row r="38">
          <cell r="A38" t="str">
            <v>杨芳</v>
          </cell>
          <cell r="B38" t="str">
            <v>511121197106237066</v>
          </cell>
        </row>
        <row r="39">
          <cell r="A39" t="str">
            <v>汤建明</v>
          </cell>
          <cell r="B39" t="str">
            <v>511121196509026939</v>
          </cell>
        </row>
        <row r="40">
          <cell r="A40" t="str">
            <v>汤蜀林</v>
          </cell>
          <cell r="B40" t="str">
            <v>513822198602286933</v>
          </cell>
        </row>
        <row r="41">
          <cell r="A41" t="str">
            <v>汤聪英</v>
          </cell>
          <cell r="B41" t="str">
            <v>513822198808086961</v>
          </cell>
        </row>
        <row r="42">
          <cell r="A42" t="str">
            <v>汤思勇</v>
          </cell>
          <cell r="B42" t="str">
            <v>511121195505256935</v>
          </cell>
        </row>
        <row r="43">
          <cell r="A43" t="str">
            <v>郑祝君</v>
          </cell>
          <cell r="B43" t="str">
            <v>511121195808306944</v>
          </cell>
        </row>
        <row r="44">
          <cell r="A44" t="str">
            <v>汤小芳</v>
          </cell>
          <cell r="B44" t="str">
            <v>511121198110056940</v>
          </cell>
        </row>
        <row r="45">
          <cell r="A45" t="str">
            <v>朱小慧</v>
          </cell>
          <cell r="B45" t="str">
            <v>513822199402016968</v>
          </cell>
        </row>
        <row r="46">
          <cell r="A46" t="str">
            <v>高炳文</v>
          </cell>
          <cell r="B46" t="str">
            <v>511121194508146948</v>
          </cell>
        </row>
        <row r="47">
          <cell r="A47" t="str">
            <v>汤子钟</v>
          </cell>
          <cell r="B47" t="str">
            <v>511121196709286938</v>
          </cell>
        </row>
        <row r="48">
          <cell r="A48" t="str">
            <v>汤珺祯</v>
          </cell>
          <cell r="B48" t="str">
            <v>511421201602246864</v>
          </cell>
        </row>
        <row r="49">
          <cell r="A49" t="str">
            <v>汤子阳</v>
          </cell>
          <cell r="B49" t="str">
            <v>511121197912156930</v>
          </cell>
        </row>
        <row r="50">
          <cell r="A50" t="str">
            <v>陈建根</v>
          </cell>
          <cell r="B50" t="str">
            <v>511121196904116934</v>
          </cell>
        </row>
        <row r="51">
          <cell r="A51" t="str">
            <v>杨波</v>
          </cell>
          <cell r="B51" t="str">
            <v>513822199105046933</v>
          </cell>
        </row>
        <row r="52">
          <cell r="A52" t="str">
            <v>高云秀</v>
          </cell>
          <cell r="B52" t="str">
            <v>511121197004229102</v>
          </cell>
        </row>
        <row r="53">
          <cell r="A53" t="str">
            <v>汤宇宁</v>
          </cell>
          <cell r="B53" t="str">
            <v>513822199603176933</v>
          </cell>
        </row>
        <row r="54">
          <cell r="A54" t="str">
            <v>梁家勤</v>
          </cell>
          <cell r="B54" t="str">
            <v>511121196310286952</v>
          </cell>
        </row>
        <row r="55">
          <cell r="A55" t="str">
            <v>郑菊先</v>
          </cell>
          <cell r="B55" t="str">
            <v>511121196909298941</v>
          </cell>
        </row>
        <row r="56">
          <cell r="A56" t="str">
            <v>梁笛</v>
          </cell>
          <cell r="B56" t="str">
            <v>513822199412046941</v>
          </cell>
        </row>
        <row r="57">
          <cell r="A57" t="str">
            <v>梁凯</v>
          </cell>
          <cell r="B57" t="str">
            <v>513822198911016937</v>
          </cell>
        </row>
        <row r="58">
          <cell r="A58" t="str">
            <v>梁家兴</v>
          </cell>
          <cell r="B58" t="str">
            <v>511121196007026939</v>
          </cell>
        </row>
        <row r="59">
          <cell r="A59" t="str">
            <v>陈明书</v>
          </cell>
          <cell r="B59" t="str">
            <v>511121196101016948</v>
          </cell>
        </row>
        <row r="60">
          <cell r="A60" t="str">
            <v>汤子君</v>
          </cell>
          <cell r="B60" t="str">
            <v>511121196307146959</v>
          </cell>
        </row>
        <row r="61">
          <cell r="A61" t="str">
            <v>徐菊花</v>
          </cell>
          <cell r="B61" t="str">
            <v>511121196909269147</v>
          </cell>
        </row>
        <row r="62">
          <cell r="A62" t="str">
            <v>汤聪</v>
          </cell>
          <cell r="B62" t="str">
            <v>513822199011076939</v>
          </cell>
        </row>
        <row r="63">
          <cell r="A63" t="str">
            <v>汤雄</v>
          </cell>
          <cell r="B63" t="str">
            <v>513822199406156933</v>
          </cell>
        </row>
        <row r="64">
          <cell r="A64" t="str">
            <v>汤云峰</v>
          </cell>
          <cell r="B64" t="str">
            <v>511421201612250357</v>
          </cell>
        </row>
        <row r="65">
          <cell r="A65" t="str">
            <v>汤嘉旭</v>
          </cell>
          <cell r="B65" t="str">
            <v>511421202008010212</v>
          </cell>
        </row>
        <row r="66">
          <cell r="A66" t="str">
            <v>汤思永</v>
          </cell>
          <cell r="B66" t="str">
            <v>511121193709236937</v>
          </cell>
        </row>
        <row r="67">
          <cell r="A67" t="str">
            <v>汤奎</v>
          </cell>
          <cell r="B67" t="str">
            <v>513822199010216936</v>
          </cell>
        </row>
        <row r="68">
          <cell r="A68" t="str">
            <v>汤小君</v>
          </cell>
          <cell r="B68" t="str">
            <v>511121196707076937</v>
          </cell>
        </row>
        <row r="69">
          <cell r="A69" t="str">
            <v>夏云花</v>
          </cell>
          <cell r="B69" t="str">
            <v>511121196908236941</v>
          </cell>
        </row>
        <row r="70">
          <cell r="A70" t="str">
            <v>刘桥溪</v>
          </cell>
          <cell r="B70" t="str">
            <v>511421201208156772</v>
          </cell>
        </row>
        <row r="71">
          <cell r="A71" t="str">
            <v>刘春先</v>
          </cell>
          <cell r="B71" t="str">
            <v>511121193901216936</v>
          </cell>
        </row>
        <row r="72">
          <cell r="A72" t="str">
            <v>刘福华</v>
          </cell>
          <cell r="B72" t="str">
            <v>511121198105236939</v>
          </cell>
        </row>
        <row r="73">
          <cell r="A73" t="str">
            <v>刘慧</v>
          </cell>
          <cell r="B73" t="str">
            <v>511421200807316729</v>
          </cell>
        </row>
        <row r="74">
          <cell r="A74" t="str">
            <v>彭代英</v>
          </cell>
          <cell r="B74" t="str">
            <v>513822198601026945</v>
          </cell>
        </row>
        <row r="75">
          <cell r="A75" t="str">
            <v>刘桥溪</v>
          </cell>
          <cell r="B75" t="str">
            <v>511421201208156772</v>
          </cell>
        </row>
        <row r="76">
          <cell r="A76" t="str">
            <v>刘志军</v>
          </cell>
          <cell r="B76" t="str">
            <v>511121196810056950</v>
          </cell>
        </row>
        <row r="77">
          <cell r="A77" t="str">
            <v>刘腾</v>
          </cell>
          <cell r="B77" t="str">
            <v>511421201108246957</v>
          </cell>
        </row>
        <row r="78">
          <cell r="A78" t="str">
            <v>王镘蔚</v>
          </cell>
          <cell r="B78" t="str">
            <v>511421201312106863</v>
          </cell>
        </row>
        <row r="79">
          <cell r="A79" t="str">
            <v>刘敏</v>
          </cell>
          <cell r="B79" t="str">
            <v>513822199112116944</v>
          </cell>
        </row>
        <row r="80">
          <cell r="A80" t="str">
            <v>罗秀琼</v>
          </cell>
          <cell r="B80" t="str">
            <v>511121197010106942</v>
          </cell>
        </row>
        <row r="81">
          <cell r="A81" t="str">
            <v>刘德华</v>
          </cell>
          <cell r="B81" t="str">
            <v>511121197112246938</v>
          </cell>
        </row>
        <row r="82">
          <cell r="A82" t="str">
            <v>刘刚</v>
          </cell>
          <cell r="B82" t="str">
            <v>511421199905166693</v>
          </cell>
        </row>
        <row r="83">
          <cell r="A83" t="str">
            <v>刘群花</v>
          </cell>
          <cell r="B83" t="str">
            <v>511421199905166706</v>
          </cell>
        </row>
        <row r="84">
          <cell r="A84" t="str">
            <v>王腊梅</v>
          </cell>
          <cell r="B84" t="str">
            <v>511121197212146942</v>
          </cell>
        </row>
        <row r="85">
          <cell r="A85" t="str">
            <v>王希毅</v>
          </cell>
          <cell r="B85" t="str">
            <v>511421201308050086</v>
          </cell>
        </row>
        <row r="86">
          <cell r="A86" t="str">
            <v>刘玉霞</v>
          </cell>
          <cell r="B86" t="str">
            <v>513822199607246943</v>
          </cell>
        </row>
        <row r="87">
          <cell r="A87" t="str">
            <v>汤德成</v>
          </cell>
          <cell r="B87" t="str">
            <v>51112119670208695X</v>
          </cell>
        </row>
        <row r="88">
          <cell r="A88" t="str">
            <v>汤玉梅</v>
          </cell>
          <cell r="B88" t="str">
            <v>513822199510266948</v>
          </cell>
        </row>
        <row r="89">
          <cell r="A89" t="str">
            <v>刘群霞</v>
          </cell>
          <cell r="B89" t="str">
            <v>511121197510056945</v>
          </cell>
        </row>
        <row r="90">
          <cell r="A90" t="str">
            <v>高雪蝉</v>
          </cell>
          <cell r="B90" t="str">
            <v>511121195403126945</v>
          </cell>
        </row>
        <row r="91">
          <cell r="A91" t="str">
            <v>汤燕</v>
          </cell>
          <cell r="B91" t="str">
            <v>513822198601306947</v>
          </cell>
        </row>
        <row r="92">
          <cell r="A92" t="str">
            <v>汤子兵</v>
          </cell>
          <cell r="B92" t="str">
            <v>513822199102256935</v>
          </cell>
        </row>
        <row r="93">
          <cell r="A93" t="str">
            <v>汤子良</v>
          </cell>
          <cell r="B93" t="str">
            <v>511121195302176935</v>
          </cell>
        </row>
        <row r="94">
          <cell r="A94" t="str">
            <v>何容辉</v>
          </cell>
          <cell r="B94" t="str">
            <v>511121195711146948</v>
          </cell>
        </row>
        <row r="95">
          <cell r="A95" t="str">
            <v>汤勇</v>
          </cell>
          <cell r="B95" t="str">
            <v>511121198107266939</v>
          </cell>
        </row>
        <row r="96">
          <cell r="A96" t="str">
            <v>汤优凡</v>
          </cell>
          <cell r="B96" t="str">
            <v>511421201004126862</v>
          </cell>
        </row>
        <row r="97">
          <cell r="A97" t="str">
            <v>王燕玲</v>
          </cell>
          <cell r="B97" t="str">
            <v>500101198609086147</v>
          </cell>
        </row>
        <row r="98">
          <cell r="A98" t="str">
            <v>夏凤群</v>
          </cell>
          <cell r="B98" t="str">
            <v>511121197312076961</v>
          </cell>
        </row>
        <row r="99">
          <cell r="A99" t="str">
            <v>汤红明</v>
          </cell>
          <cell r="B99" t="str">
            <v>511121197310066938</v>
          </cell>
        </row>
        <row r="100">
          <cell r="A100" t="str">
            <v>汤雨兰</v>
          </cell>
          <cell r="B100" t="str">
            <v>513822199802036941</v>
          </cell>
        </row>
        <row r="101">
          <cell r="A101" t="str">
            <v>王玉英</v>
          </cell>
          <cell r="B101" t="str">
            <v>511121194605106964</v>
          </cell>
        </row>
        <row r="102">
          <cell r="A102" t="str">
            <v>汤方成</v>
          </cell>
          <cell r="B102" t="str">
            <v>511121196505226933</v>
          </cell>
        </row>
        <row r="103">
          <cell r="A103" t="str">
            <v>汤晓</v>
          </cell>
          <cell r="B103" t="str">
            <v>513822198801086942</v>
          </cell>
        </row>
        <row r="104">
          <cell r="A104" t="str">
            <v>汤超</v>
          </cell>
          <cell r="B104" t="str">
            <v>513822199011126932</v>
          </cell>
        </row>
        <row r="105">
          <cell r="A105" t="str">
            <v>朱淑芳</v>
          </cell>
          <cell r="B105" t="str">
            <v>511121196507166946</v>
          </cell>
        </row>
        <row r="106">
          <cell r="A106" t="str">
            <v>汤思水</v>
          </cell>
          <cell r="B106" t="str">
            <v>511121195709296939</v>
          </cell>
        </row>
        <row r="107">
          <cell r="A107" t="str">
            <v>汤子钦</v>
          </cell>
          <cell r="B107" t="str">
            <v>511121198201156939</v>
          </cell>
        </row>
        <row r="108">
          <cell r="A108" t="str">
            <v>刘淑华</v>
          </cell>
          <cell r="B108" t="str">
            <v>511121193202246941</v>
          </cell>
        </row>
        <row r="109">
          <cell r="A109" t="str">
            <v>汤思华</v>
          </cell>
          <cell r="B109" t="str">
            <v>511121196810026938</v>
          </cell>
        </row>
        <row r="110">
          <cell r="A110" t="str">
            <v>汤浩誉</v>
          </cell>
          <cell r="B110" t="str">
            <v>513822199812036937</v>
          </cell>
        </row>
        <row r="111">
          <cell r="A111" t="str">
            <v>夏淑珍</v>
          </cell>
          <cell r="B111" t="str">
            <v>511121193309106949</v>
          </cell>
        </row>
        <row r="112">
          <cell r="A112" t="str">
            <v>王玉娟</v>
          </cell>
          <cell r="B112" t="str">
            <v>510321196911087262</v>
          </cell>
        </row>
        <row r="113">
          <cell r="A113" t="str">
            <v>汤思明</v>
          </cell>
          <cell r="B113" t="str">
            <v>511121195512126936</v>
          </cell>
        </row>
        <row r="114">
          <cell r="A114" t="str">
            <v>汤洪君</v>
          </cell>
          <cell r="B114" t="str">
            <v>511121197810066950</v>
          </cell>
        </row>
        <row r="115">
          <cell r="A115" t="str">
            <v>杨友芳</v>
          </cell>
          <cell r="B115" t="str">
            <v>51112119531001694X</v>
          </cell>
        </row>
        <row r="116">
          <cell r="A116" t="str">
            <v>陈述文</v>
          </cell>
          <cell r="B116" t="str">
            <v>511121195009096952</v>
          </cell>
        </row>
        <row r="117">
          <cell r="A117" t="str">
            <v>陈国先</v>
          </cell>
          <cell r="B117" t="str">
            <v>511121198005066944</v>
          </cell>
        </row>
        <row r="118">
          <cell r="A118" t="str">
            <v>冯碧华</v>
          </cell>
          <cell r="B118" t="str">
            <v>511121194908206946</v>
          </cell>
        </row>
        <row r="119">
          <cell r="A119" t="str">
            <v>陈国良</v>
          </cell>
          <cell r="B119" t="str">
            <v>511121197208056936</v>
          </cell>
        </row>
        <row r="120">
          <cell r="A120" t="str">
            <v>陈润华</v>
          </cell>
          <cell r="B120" t="str">
            <v>513822199710286943</v>
          </cell>
        </row>
        <row r="121">
          <cell r="A121" t="str">
            <v>辜淑华</v>
          </cell>
          <cell r="B121" t="str">
            <v>511121197402056948</v>
          </cell>
        </row>
        <row r="122">
          <cell r="A122" t="str">
            <v>陈耀</v>
          </cell>
          <cell r="B122" t="str">
            <v>513822199609106936</v>
          </cell>
        </row>
        <row r="123">
          <cell r="A123" t="str">
            <v>陈宣妤</v>
          </cell>
          <cell r="B123" t="str">
            <v>511421201711070263</v>
          </cell>
        </row>
        <row r="124">
          <cell r="A124" t="str">
            <v>陈宣伊</v>
          </cell>
          <cell r="B124" t="str">
            <v>511421201909270025</v>
          </cell>
        </row>
        <row r="125">
          <cell r="A125" t="str">
            <v>陈从书</v>
          </cell>
          <cell r="B125" t="str">
            <v>511121196210086937</v>
          </cell>
        </row>
        <row r="126">
          <cell r="A126" t="str">
            <v>陈松</v>
          </cell>
          <cell r="B126" t="str">
            <v>513822199112286935</v>
          </cell>
        </row>
        <row r="127">
          <cell r="A127" t="str">
            <v>林菊容</v>
          </cell>
          <cell r="B127" t="str">
            <v>511121196802206947</v>
          </cell>
        </row>
        <row r="128">
          <cell r="A128" t="str">
            <v>陈聪林</v>
          </cell>
          <cell r="B128" t="str">
            <v>513822200009176717</v>
          </cell>
        </row>
        <row r="129">
          <cell r="A129" t="str">
            <v>陈馨雨</v>
          </cell>
          <cell r="B129" t="str">
            <v>511421201810080168</v>
          </cell>
        </row>
        <row r="130">
          <cell r="A130" t="str">
            <v>陈兴</v>
          </cell>
          <cell r="B130" t="str">
            <v>513822198908136938</v>
          </cell>
        </row>
        <row r="131">
          <cell r="A131" t="str">
            <v>李思琪</v>
          </cell>
          <cell r="B131" t="str">
            <v>510129199412254648</v>
          </cell>
        </row>
        <row r="132">
          <cell r="A132" t="str">
            <v>陈茜芮</v>
          </cell>
          <cell r="B132" t="str">
            <v>511421201510136860</v>
          </cell>
        </row>
        <row r="133">
          <cell r="A133" t="str">
            <v>陈德君</v>
          </cell>
          <cell r="B133" t="str">
            <v>511121196602246936</v>
          </cell>
        </row>
        <row r="134">
          <cell r="A134" t="str">
            <v>陈毅</v>
          </cell>
          <cell r="B134" t="str">
            <v>513822199111246931</v>
          </cell>
        </row>
        <row r="135">
          <cell r="A135" t="str">
            <v>刘小平</v>
          </cell>
          <cell r="B135" t="str">
            <v>511121196803176962</v>
          </cell>
        </row>
        <row r="136">
          <cell r="A136" t="str">
            <v>陈俊屹</v>
          </cell>
          <cell r="B136" t="str">
            <v>51142120170824009X</v>
          </cell>
        </row>
        <row r="137">
          <cell r="A137" t="str">
            <v>陈文华</v>
          </cell>
          <cell r="B137" t="str">
            <v>511121193603186935</v>
          </cell>
        </row>
        <row r="138">
          <cell r="A138" t="str">
            <v>王自荣</v>
          </cell>
          <cell r="B138" t="str">
            <v>511121193901246940</v>
          </cell>
        </row>
        <row r="139">
          <cell r="A139" t="str">
            <v>陈清木</v>
          </cell>
          <cell r="B139" t="str">
            <v>511121196405106934</v>
          </cell>
        </row>
        <row r="140">
          <cell r="A140" t="str">
            <v>张奕阳</v>
          </cell>
          <cell r="B140" t="str">
            <v>511421201504076873</v>
          </cell>
        </row>
        <row r="141">
          <cell r="A141" t="str">
            <v>陈玉莲</v>
          </cell>
          <cell r="B141" t="str">
            <v>51382219911220694X</v>
          </cell>
        </row>
        <row r="142">
          <cell r="A142" t="str">
            <v>陈金辉</v>
          </cell>
          <cell r="B142" t="str">
            <v>511121196710286935</v>
          </cell>
        </row>
        <row r="143">
          <cell r="A143" t="str">
            <v>陈立强</v>
          </cell>
          <cell r="B143" t="str">
            <v>513822199212106938</v>
          </cell>
        </row>
        <row r="144">
          <cell r="A144" t="str">
            <v>陈水全</v>
          </cell>
          <cell r="B144" t="str">
            <v>51112119740208675X</v>
          </cell>
        </row>
        <row r="145">
          <cell r="A145" t="str">
            <v>陈杰鑫</v>
          </cell>
          <cell r="B145" t="str">
            <v>513822199712126935</v>
          </cell>
        </row>
        <row r="146">
          <cell r="A146" t="str">
            <v>吴翠华</v>
          </cell>
          <cell r="B146" t="str">
            <v>511121197601206961</v>
          </cell>
        </row>
        <row r="147">
          <cell r="A147" t="str">
            <v>陈美珍</v>
          </cell>
          <cell r="B147" t="str">
            <v>513822199704186946</v>
          </cell>
        </row>
        <row r="148">
          <cell r="A148" t="str">
            <v>陈世林</v>
          </cell>
          <cell r="B148" t="str">
            <v>511121195005256939</v>
          </cell>
        </row>
        <row r="149">
          <cell r="A149" t="str">
            <v>陈建华</v>
          </cell>
          <cell r="B149" t="str">
            <v>511121195209216971</v>
          </cell>
        </row>
        <row r="150">
          <cell r="A150" t="str">
            <v>徐淑华</v>
          </cell>
          <cell r="B150" t="str">
            <v>511121195111116948</v>
          </cell>
        </row>
        <row r="151">
          <cell r="A151" t="str">
            <v>陈良优</v>
          </cell>
          <cell r="B151" t="str">
            <v>511121196408096938</v>
          </cell>
        </row>
        <row r="152">
          <cell r="A152" t="str">
            <v>王淑英</v>
          </cell>
          <cell r="B152" t="str">
            <v>511121196504266941</v>
          </cell>
        </row>
        <row r="153">
          <cell r="A153" t="str">
            <v>陈帅</v>
          </cell>
          <cell r="B153" t="str">
            <v>513822199404256957</v>
          </cell>
        </row>
        <row r="154">
          <cell r="A154" t="str">
            <v>陈光华</v>
          </cell>
          <cell r="B154" t="str">
            <v>511121196606066932</v>
          </cell>
        </row>
        <row r="155">
          <cell r="A155" t="str">
            <v>陈民杰</v>
          </cell>
          <cell r="B155" t="str">
            <v>51142120080109677X</v>
          </cell>
        </row>
        <row r="156">
          <cell r="A156" t="str">
            <v>陈林</v>
          </cell>
          <cell r="B156" t="str">
            <v>513822198809266948</v>
          </cell>
        </row>
        <row r="157">
          <cell r="A157" t="str">
            <v>陈波</v>
          </cell>
          <cell r="B157" t="str">
            <v>513822199412086935</v>
          </cell>
        </row>
        <row r="158">
          <cell r="A158" t="str">
            <v>刘彩群</v>
          </cell>
          <cell r="B158" t="str">
            <v>511121196606216945</v>
          </cell>
        </row>
        <row r="159">
          <cell r="A159" t="str">
            <v>徐文兵</v>
          </cell>
          <cell r="B159" t="str">
            <v>511121197108116938</v>
          </cell>
        </row>
        <row r="160">
          <cell r="A160" t="str">
            <v>王书成</v>
          </cell>
          <cell r="B160" t="str">
            <v>511121197201246948</v>
          </cell>
        </row>
        <row r="161">
          <cell r="A161" t="str">
            <v>徐旭</v>
          </cell>
          <cell r="B161" t="str">
            <v>513822199502126945</v>
          </cell>
        </row>
        <row r="162">
          <cell r="A162" t="str">
            <v>徐琪璘</v>
          </cell>
          <cell r="B162" t="str">
            <v>513822199711176930</v>
          </cell>
        </row>
        <row r="163">
          <cell r="A163" t="str">
            <v>万熠涵</v>
          </cell>
          <cell r="B163" t="str">
            <v>51142020191008035X</v>
          </cell>
        </row>
        <row r="164">
          <cell r="A164" t="str">
            <v>汤建文</v>
          </cell>
          <cell r="B164" t="str">
            <v>511121194904126930</v>
          </cell>
        </row>
        <row r="165">
          <cell r="A165" t="str">
            <v>陈子先</v>
          </cell>
          <cell r="B165" t="str">
            <v>511121195010236940</v>
          </cell>
        </row>
        <row r="166">
          <cell r="A166" t="str">
            <v>汤未</v>
          </cell>
          <cell r="B166" t="str">
            <v>511421201208126880</v>
          </cell>
        </row>
        <row r="167">
          <cell r="A167" t="str">
            <v>汤洪岗</v>
          </cell>
          <cell r="B167" t="str">
            <v>511121197612036937</v>
          </cell>
        </row>
        <row r="168">
          <cell r="A168" t="str">
            <v>黄建委</v>
          </cell>
          <cell r="B168" t="str">
            <v>130322198205200824</v>
          </cell>
        </row>
        <row r="169">
          <cell r="A169" t="str">
            <v>汤红英</v>
          </cell>
          <cell r="B169" t="str">
            <v>511121197510236946</v>
          </cell>
        </row>
        <row r="170">
          <cell r="A170" t="str">
            <v>汤可</v>
          </cell>
          <cell r="B170" t="str">
            <v>511421200307166728</v>
          </cell>
        </row>
        <row r="171">
          <cell r="A171" t="str">
            <v>汤金平</v>
          </cell>
          <cell r="B171" t="str">
            <v>511121196709126950</v>
          </cell>
        </row>
        <row r="172">
          <cell r="A172" t="str">
            <v>汤欣哲</v>
          </cell>
          <cell r="B172" t="str">
            <v>51142119990601670X</v>
          </cell>
        </row>
        <row r="173">
          <cell r="A173" t="str">
            <v>汤豪</v>
          </cell>
          <cell r="B173" t="str">
            <v>51142120060730693X</v>
          </cell>
        </row>
        <row r="174">
          <cell r="A174" t="str">
            <v>汤慧</v>
          </cell>
          <cell r="B174" t="str">
            <v>511421199906016726</v>
          </cell>
        </row>
        <row r="175">
          <cell r="A175" t="str">
            <v>李明英</v>
          </cell>
          <cell r="B175" t="str">
            <v>511121194510166964</v>
          </cell>
        </row>
        <row r="176">
          <cell r="A176" t="str">
            <v>刘雨嘉</v>
          </cell>
          <cell r="B176" t="str">
            <v>511421201304196862</v>
          </cell>
        </row>
        <row r="177">
          <cell r="A177" t="str">
            <v>汤红兵</v>
          </cell>
          <cell r="B177" t="str">
            <v>51112119721020693X</v>
          </cell>
        </row>
        <row r="178">
          <cell r="A178" t="str">
            <v>汤蕾</v>
          </cell>
          <cell r="B178" t="str">
            <v>513822199810066948</v>
          </cell>
        </row>
        <row r="179">
          <cell r="A179" t="str">
            <v>汤子周</v>
          </cell>
          <cell r="B179" t="str">
            <v>511121197208086959</v>
          </cell>
        </row>
        <row r="180">
          <cell r="A180" t="str">
            <v>汤根明</v>
          </cell>
          <cell r="B180" t="str">
            <v>51112119731012697X</v>
          </cell>
        </row>
        <row r="181">
          <cell r="A181" t="str">
            <v>吴水先</v>
          </cell>
          <cell r="B181" t="str">
            <v>511121197509306783</v>
          </cell>
        </row>
        <row r="182">
          <cell r="A182" t="str">
            <v>汤小波</v>
          </cell>
          <cell r="B182" t="str">
            <v>513822200407276692</v>
          </cell>
        </row>
        <row r="183">
          <cell r="A183" t="str">
            <v>向敏</v>
          </cell>
          <cell r="B183" t="str">
            <v>513822199505126780</v>
          </cell>
        </row>
        <row r="184">
          <cell r="A184" t="str">
            <v>陈世全</v>
          </cell>
          <cell r="B184" t="str">
            <v>511121197709076935</v>
          </cell>
        </row>
        <row r="185">
          <cell r="A185" t="str">
            <v>秦叙敏</v>
          </cell>
          <cell r="B185" t="str">
            <v>513521197301062269</v>
          </cell>
        </row>
        <row r="186">
          <cell r="A186" t="str">
            <v>陈梦仪</v>
          </cell>
          <cell r="B186" t="str">
            <v>511421200010056720</v>
          </cell>
        </row>
        <row r="187">
          <cell r="A187" t="str">
            <v>陈世强</v>
          </cell>
          <cell r="B187" t="str">
            <v>511121197410106933</v>
          </cell>
        </row>
        <row r="188">
          <cell r="A188" t="str">
            <v>陈锐</v>
          </cell>
          <cell r="B188" t="str">
            <v>513822200306196693</v>
          </cell>
        </row>
        <row r="189">
          <cell r="A189" t="str">
            <v>陈思陆</v>
          </cell>
          <cell r="B189" t="str">
            <v>513822199912246966</v>
          </cell>
        </row>
        <row r="190">
          <cell r="A190" t="str">
            <v>陈甜甜</v>
          </cell>
          <cell r="B190" t="str">
            <v>51382219991224694X</v>
          </cell>
        </row>
        <row r="191">
          <cell r="A191" t="str">
            <v>张群华</v>
          </cell>
          <cell r="B191" t="str">
            <v>511121197809146769</v>
          </cell>
        </row>
        <row r="192">
          <cell r="A192" t="str">
            <v>陈秀</v>
          </cell>
          <cell r="B192" t="str">
            <v>513822198511056948</v>
          </cell>
        </row>
        <row r="193">
          <cell r="A193" t="str">
            <v>陈阳</v>
          </cell>
          <cell r="B193" t="str">
            <v>511421200807076710</v>
          </cell>
        </row>
        <row r="194">
          <cell r="A194" t="str">
            <v>刘学明</v>
          </cell>
          <cell r="B194" t="str">
            <v>511121196312146937</v>
          </cell>
        </row>
        <row r="195">
          <cell r="A195" t="str">
            <v>汤子芬</v>
          </cell>
          <cell r="B195" t="str">
            <v>511121197302023944</v>
          </cell>
        </row>
        <row r="196">
          <cell r="A196" t="str">
            <v>廖泽</v>
          </cell>
          <cell r="B196" t="str">
            <v>513822199711216939</v>
          </cell>
        </row>
        <row r="197">
          <cell r="A197" t="str">
            <v>汤子春</v>
          </cell>
          <cell r="B197" t="str">
            <v>511121197407216939</v>
          </cell>
        </row>
        <row r="198">
          <cell r="A198" t="str">
            <v>汤彩月</v>
          </cell>
          <cell r="B198" t="str">
            <v>513822200412096709</v>
          </cell>
        </row>
        <row r="199">
          <cell r="A199" t="str">
            <v>汤少光</v>
          </cell>
          <cell r="B199" t="str">
            <v>511121194905266935</v>
          </cell>
        </row>
        <row r="200">
          <cell r="A200" t="str">
            <v>张华英</v>
          </cell>
          <cell r="B200" t="str">
            <v>51112119521014694X</v>
          </cell>
        </row>
        <row r="201">
          <cell r="A201" t="str">
            <v>汤静</v>
          </cell>
          <cell r="B201" t="str">
            <v>51112119710209693X</v>
          </cell>
        </row>
        <row r="202">
          <cell r="A202" t="str">
            <v>廖菊花</v>
          </cell>
          <cell r="B202" t="str">
            <v>511121196506166944</v>
          </cell>
        </row>
        <row r="203">
          <cell r="A203" t="str">
            <v>汤泉</v>
          </cell>
          <cell r="B203" t="str">
            <v>513822199410076936</v>
          </cell>
        </row>
        <row r="204">
          <cell r="A204" t="str">
            <v>汤自钦</v>
          </cell>
          <cell r="B204" t="str">
            <v>511121197109246953</v>
          </cell>
        </row>
        <row r="205">
          <cell r="A205" t="str">
            <v>汤南</v>
          </cell>
          <cell r="B205" t="str">
            <v>511421200604256754</v>
          </cell>
        </row>
        <row r="206">
          <cell r="A206" t="str">
            <v>汤思荣</v>
          </cell>
          <cell r="B206" t="str">
            <v>511121193209266937</v>
          </cell>
        </row>
        <row r="207">
          <cell r="A207" t="str">
            <v>吴德群</v>
          </cell>
          <cell r="B207" t="str">
            <v>511121193603066941</v>
          </cell>
        </row>
        <row r="208">
          <cell r="A208" t="str">
            <v>汤伟洪</v>
          </cell>
          <cell r="B208" t="str">
            <v>51112119750606693X</v>
          </cell>
        </row>
        <row r="209">
          <cell r="A209" t="str">
            <v>高菊</v>
          </cell>
          <cell r="B209" t="str">
            <v>532526197603060247</v>
          </cell>
        </row>
        <row r="210">
          <cell r="A210" t="str">
            <v>汤刚勇</v>
          </cell>
          <cell r="B210" t="str">
            <v>51382219950808693X</v>
          </cell>
        </row>
        <row r="211">
          <cell r="A211" t="str">
            <v>汤自根</v>
          </cell>
          <cell r="B211" t="str">
            <v>511121196512156953</v>
          </cell>
        </row>
        <row r="212">
          <cell r="A212" t="str">
            <v>郑碧英</v>
          </cell>
          <cell r="B212" t="str">
            <v>511121197303306948</v>
          </cell>
        </row>
        <row r="213">
          <cell r="A213" t="str">
            <v>汤兴</v>
          </cell>
          <cell r="B213" t="str">
            <v>513822199302266935</v>
          </cell>
        </row>
        <row r="214">
          <cell r="A214" t="str">
            <v>汤梓忆</v>
          </cell>
          <cell r="B214" t="str">
            <v>511421202004240184</v>
          </cell>
        </row>
        <row r="215">
          <cell r="A215" t="str">
            <v>汤金文</v>
          </cell>
          <cell r="B215" t="str">
            <v>511121196711106932</v>
          </cell>
        </row>
        <row r="216">
          <cell r="A216" t="str">
            <v>李淑先</v>
          </cell>
          <cell r="B216" t="str">
            <v>511121197006226722</v>
          </cell>
        </row>
        <row r="217">
          <cell r="A217" t="str">
            <v>汤雨</v>
          </cell>
          <cell r="B217" t="str">
            <v>513822199302106931</v>
          </cell>
        </row>
        <row r="218">
          <cell r="A218" t="str">
            <v>汤全文</v>
          </cell>
          <cell r="B218" t="str">
            <v>511121197207266958</v>
          </cell>
        </row>
        <row r="219">
          <cell r="A219" t="str">
            <v>汤运杰</v>
          </cell>
          <cell r="B219" t="str">
            <v>513822199710026930</v>
          </cell>
        </row>
        <row r="220">
          <cell r="A220" t="str">
            <v>林桂兰</v>
          </cell>
          <cell r="B220" t="str">
            <v>511121197512216949</v>
          </cell>
        </row>
        <row r="221">
          <cell r="A221" t="str">
            <v>肖跃英</v>
          </cell>
          <cell r="B221" t="str">
            <v>511121196907276941</v>
          </cell>
        </row>
        <row r="222">
          <cell r="A222" t="str">
            <v>汤自华</v>
          </cell>
          <cell r="B222" t="str">
            <v>511121196607296932</v>
          </cell>
        </row>
        <row r="223">
          <cell r="A223" t="str">
            <v>王琼先</v>
          </cell>
          <cell r="B223" t="str">
            <v>511121194107206962</v>
          </cell>
        </row>
        <row r="224">
          <cell r="A224" t="str">
            <v>汤火金</v>
          </cell>
          <cell r="B224" t="str">
            <v>511121196812036937</v>
          </cell>
        </row>
        <row r="225">
          <cell r="A225" t="str">
            <v>汤自江</v>
          </cell>
          <cell r="B225" t="str">
            <v>511121196401066939</v>
          </cell>
        </row>
        <row r="226">
          <cell r="A226" t="str">
            <v>汤达</v>
          </cell>
          <cell r="B226" t="str">
            <v>513822198912136930</v>
          </cell>
        </row>
        <row r="227">
          <cell r="A227" t="str">
            <v>王木根</v>
          </cell>
          <cell r="B227" t="str">
            <v>511121196302196930</v>
          </cell>
        </row>
        <row r="228">
          <cell r="A228" t="str">
            <v>王杰</v>
          </cell>
          <cell r="B228" t="str">
            <v>511421200209276691</v>
          </cell>
        </row>
        <row r="229">
          <cell r="A229" t="str">
            <v>汤思贵</v>
          </cell>
          <cell r="B229" t="str">
            <v>511121195110016937</v>
          </cell>
        </row>
        <row r="230">
          <cell r="A230" t="str">
            <v>李淑英</v>
          </cell>
          <cell r="B230" t="str">
            <v>51112119541103694X</v>
          </cell>
        </row>
        <row r="231">
          <cell r="A231" t="str">
            <v>马玉梅</v>
          </cell>
          <cell r="B231" t="str">
            <v>513822200211206705</v>
          </cell>
        </row>
        <row r="232">
          <cell r="A232" t="str">
            <v>马志刚</v>
          </cell>
          <cell r="B232" t="str">
            <v>511121197307046936</v>
          </cell>
        </row>
        <row r="233">
          <cell r="A233" t="str">
            <v>汤红英</v>
          </cell>
          <cell r="B233" t="str">
            <v>51112119770712696X</v>
          </cell>
        </row>
        <row r="234">
          <cell r="A234" t="str">
            <v>马江良</v>
          </cell>
          <cell r="B234" t="str">
            <v>513822199802016932</v>
          </cell>
        </row>
        <row r="235">
          <cell r="A235" t="str">
            <v>马初尧</v>
          </cell>
          <cell r="B235" t="str">
            <v>511421202005130075</v>
          </cell>
        </row>
        <row r="236">
          <cell r="A236" t="str">
            <v>汤思文</v>
          </cell>
          <cell r="B236" t="str">
            <v>511121194408216937</v>
          </cell>
        </row>
        <row r="237">
          <cell r="A237" t="str">
            <v>胡良英</v>
          </cell>
          <cell r="B237" t="str">
            <v>511121194902016949</v>
          </cell>
        </row>
        <row r="238">
          <cell r="A238" t="str">
            <v>汤永红</v>
          </cell>
          <cell r="B238" t="str">
            <v>51112119660619693X</v>
          </cell>
        </row>
        <row r="239">
          <cell r="A239" t="str">
            <v>吴晓英</v>
          </cell>
          <cell r="B239" t="str">
            <v>511121196909056942</v>
          </cell>
        </row>
        <row r="240">
          <cell r="A240" t="str">
            <v>汤林龙</v>
          </cell>
          <cell r="B240" t="str">
            <v>511421200010136712</v>
          </cell>
        </row>
        <row r="241">
          <cell r="A241" t="str">
            <v>汤秋霞</v>
          </cell>
          <cell r="B241" t="str">
            <v>513822199006186949</v>
          </cell>
        </row>
        <row r="242">
          <cell r="A242" t="str">
            <v>汤敏</v>
          </cell>
          <cell r="B242" t="str">
            <v>513822199305186949</v>
          </cell>
        </row>
        <row r="243">
          <cell r="A243" t="str">
            <v>汤述钦</v>
          </cell>
          <cell r="B243" t="str">
            <v>511121196802096936</v>
          </cell>
        </row>
        <row r="244">
          <cell r="A244" t="str">
            <v>徐雪兰</v>
          </cell>
          <cell r="B244" t="str">
            <v>511121196801026944</v>
          </cell>
        </row>
        <row r="245">
          <cell r="A245" t="str">
            <v>汤小笛</v>
          </cell>
          <cell r="B245" t="str">
            <v>513822199803016942</v>
          </cell>
        </row>
        <row r="246">
          <cell r="A246" t="str">
            <v>李淑君</v>
          </cell>
          <cell r="B246" t="str">
            <v>511121194804216947</v>
          </cell>
        </row>
        <row r="247">
          <cell r="A247" t="str">
            <v>汤立平</v>
          </cell>
          <cell r="B247" t="str">
            <v>511121198108176943</v>
          </cell>
        </row>
        <row r="248">
          <cell r="A248" t="str">
            <v>汤皓轩</v>
          </cell>
          <cell r="B248" t="str">
            <v>511421201312306857</v>
          </cell>
        </row>
        <row r="249">
          <cell r="A249" t="str">
            <v>汤学文</v>
          </cell>
          <cell r="B249" t="str">
            <v>511121195703306956</v>
          </cell>
        </row>
        <row r="250">
          <cell r="A250" t="str">
            <v>高菊花</v>
          </cell>
          <cell r="B250" t="str">
            <v>511121196306016968</v>
          </cell>
        </row>
        <row r="251">
          <cell r="A251" t="str">
            <v>汤建华</v>
          </cell>
          <cell r="B251" t="str">
            <v>511121196804206959</v>
          </cell>
        </row>
        <row r="252">
          <cell r="A252" t="str">
            <v>汤仲权</v>
          </cell>
          <cell r="B252" t="str">
            <v>511121197207186931</v>
          </cell>
        </row>
        <row r="253">
          <cell r="A253" t="str">
            <v>汤火钦</v>
          </cell>
          <cell r="B253" t="str">
            <v>511121196402236936</v>
          </cell>
        </row>
        <row r="254">
          <cell r="A254" t="str">
            <v>郑菊分</v>
          </cell>
          <cell r="B254" t="str">
            <v>511121196205016942</v>
          </cell>
        </row>
        <row r="255">
          <cell r="A255" t="str">
            <v>汤嘉琪</v>
          </cell>
          <cell r="B255" t="str">
            <v>51142120091231686X</v>
          </cell>
        </row>
        <row r="256">
          <cell r="A256" t="str">
            <v>汤海军</v>
          </cell>
          <cell r="B256" t="str">
            <v>51382219880416693X</v>
          </cell>
        </row>
        <row r="257">
          <cell r="A257" t="str">
            <v>汤俊宸</v>
          </cell>
          <cell r="B257" t="str">
            <v>511421201710230632</v>
          </cell>
        </row>
        <row r="258">
          <cell r="A258" t="str">
            <v>汤超</v>
          </cell>
          <cell r="B258" t="str">
            <v>511121198012146934</v>
          </cell>
        </row>
        <row r="259">
          <cell r="A259" t="str">
            <v>汤宵玉</v>
          </cell>
          <cell r="B259" t="str">
            <v>511421200407126707</v>
          </cell>
        </row>
        <row r="260">
          <cell r="A260" t="str">
            <v>熊碧钦</v>
          </cell>
          <cell r="B260" t="str">
            <v>511121193807126942</v>
          </cell>
        </row>
        <row r="261">
          <cell r="A261" t="str">
            <v>汤兵</v>
          </cell>
          <cell r="B261" t="str">
            <v>511121197005156953</v>
          </cell>
        </row>
        <row r="262">
          <cell r="A262" t="str">
            <v>郑小英</v>
          </cell>
          <cell r="B262" t="str">
            <v>51112119711218698X</v>
          </cell>
        </row>
        <row r="263">
          <cell r="A263" t="str">
            <v>汤星</v>
          </cell>
          <cell r="B263" t="str">
            <v>513822199206046705</v>
          </cell>
        </row>
        <row r="264">
          <cell r="A264" t="str">
            <v>汤火明</v>
          </cell>
          <cell r="B264" t="str">
            <v>511121195507186934</v>
          </cell>
        </row>
        <row r="265">
          <cell r="A265" t="str">
            <v>冯翠华</v>
          </cell>
          <cell r="B265" t="str">
            <v>511121195301236940</v>
          </cell>
        </row>
        <row r="266">
          <cell r="A266" t="str">
            <v>汤雪</v>
          </cell>
          <cell r="B266" t="str">
            <v>511421200506296701</v>
          </cell>
        </row>
        <row r="267">
          <cell r="A267" t="str">
            <v>汤雄</v>
          </cell>
          <cell r="B267" t="str">
            <v>513822198307126937</v>
          </cell>
        </row>
        <row r="268">
          <cell r="A268" t="str">
            <v>徐正琼</v>
          </cell>
          <cell r="B268" t="str">
            <v>511121195007286947</v>
          </cell>
        </row>
        <row r="269">
          <cell r="A269" t="str">
            <v>汤焱</v>
          </cell>
          <cell r="B269" t="str">
            <v>511121197509276932</v>
          </cell>
        </row>
        <row r="270">
          <cell r="A270" t="str">
            <v>向艳红</v>
          </cell>
          <cell r="B270" t="str">
            <v>511121197706226782</v>
          </cell>
        </row>
        <row r="271">
          <cell r="A271" t="str">
            <v>汤棚</v>
          </cell>
          <cell r="B271" t="str">
            <v>513822200304056718</v>
          </cell>
        </row>
        <row r="272">
          <cell r="A272" t="str">
            <v>汤勇军</v>
          </cell>
          <cell r="B272" t="str">
            <v>511121197208166932</v>
          </cell>
        </row>
        <row r="273">
          <cell r="A273" t="str">
            <v>汤雨田</v>
          </cell>
          <cell r="B273" t="str">
            <v>511421199506096739</v>
          </cell>
        </row>
        <row r="274">
          <cell r="A274" t="str">
            <v>肖述钦</v>
          </cell>
          <cell r="B274" t="str">
            <v>511121197007306935</v>
          </cell>
        </row>
        <row r="275">
          <cell r="A275" t="str">
            <v>汪三琼</v>
          </cell>
          <cell r="B275" t="str">
            <v>511121196801076941</v>
          </cell>
        </row>
        <row r="276">
          <cell r="A276" t="str">
            <v>肖军</v>
          </cell>
          <cell r="B276" t="str">
            <v>513822199202286939</v>
          </cell>
        </row>
        <row r="277">
          <cell r="A277" t="str">
            <v>肖述川</v>
          </cell>
          <cell r="B277" t="str">
            <v>511121195103046935</v>
          </cell>
        </row>
        <row r="278">
          <cell r="A278" t="str">
            <v>肖虎</v>
          </cell>
          <cell r="B278" t="str">
            <v>513822198603016935</v>
          </cell>
        </row>
        <row r="279">
          <cell r="A279" t="str">
            <v>陈小丽</v>
          </cell>
          <cell r="B279" t="str">
            <v>510723198705102488</v>
          </cell>
        </row>
        <row r="280">
          <cell r="A280" t="str">
            <v>肖雅婷</v>
          </cell>
          <cell r="B280" t="str">
            <v>511421201201056867</v>
          </cell>
        </row>
        <row r="281">
          <cell r="A281" t="str">
            <v>肖泽瑜</v>
          </cell>
          <cell r="B281" t="str">
            <v>511421202011290059</v>
          </cell>
        </row>
        <row r="282">
          <cell r="A282" t="str">
            <v>肖水根</v>
          </cell>
          <cell r="B282" t="str">
            <v>51112119740918693X</v>
          </cell>
        </row>
        <row r="283">
          <cell r="A283" t="str">
            <v>肖斌</v>
          </cell>
          <cell r="B283" t="str">
            <v>511421200803187691</v>
          </cell>
        </row>
        <row r="284">
          <cell r="A284" t="str">
            <v>肖鹏</v>
          </cell>
          <cell r="B284" t="str">
            <v>513822199805026933</v>
          </cell>
        </row>
        <row r="285">
          <cell r="A285" t="str">
            <v>肖菊芬</v>
          </cell>
          <cell r="B285" t="str">
            <v>511121195801156947</v>
          </cell>
        </row>
        <row r="286">
          <cell r="A286" t="str">
            <v>汤兵</v>
          </cell>
          <cell r="B286" t="str">
            <v>513822198404206939</v>
          </cell>
        </row>
        <row r="287">
          <cell r="A287" t="str">
            <v>张小妹</v>
          </cell>
          <cell r="B287" t="str">
            <v>513222199010060588</v>
          </cell>
        </row>
        <row r="288">
          <cell r="A288" t="str">
            <v>汤锦熙</v>
          </cell>
          <cell r="B288" t="str">
            <v>51142120140830686X</v>
          </cell>
        </row>
        <row r="289">
          <cell r="A289" t="str">
            <v>夏水明</v>
          </cell>
          <cell r="B289" t="str">
            <v>511121195203256948</v>
          </cell>
        </row>
        <row r="290">
          <cell r="A290" t="str">
            <v>汤长安</v>
          </cell>
          <cell r="B290" t="str">
            <v>511121195001026933</v>
          </cell>
        </row>
        <row r="291">
          <cell r="A291" t="str">
            <v>汤伟</v>
          </cell>
          <cell r="B291" t="str">
            <v>511121197112176933</v>
          </cell>
        </row>
        <row r="292">
          <cell r="A292" t="str">
            <v>王秀花</v>
          </cell>
          <cell r="B292" t="str">
            <v>511121197212156948</v>
          </cell>
        </row>
        <row r="293">
          <cell r="A293" t="str">
            <v>汤文林</v>
          </cell>
          <cell r="B293" t="str">
            <v>513822199308226934</v>
          </cell>
        </row>
        <row r="294">
          <cell r="A294" t="str">
            <v>汤如意</v>
          </cell>
          <cell r="B294" t="str">
            <v>511421200506196727</v>
          </cell>
        </row>
        <row r="295">
          <cell r="A295" t="str">
            <v>汤玉容</v>
          </cell>
          <cell r="B295" t="str">
            <v>511121197804236941</v>
          </cell>
        </row>
        <row r="296">
          <cell r="A296" t="str">
            <v>柏雪</v>
          </cell>
          <cell r="B296" t="str">
            <v>513822200002136704</v>
          </cell>
        </row>
        <row r="297">
          <cell r="A297" t="str">
            <v>杨菊华</v>
          </cell>
          <cell r="B297" t="str">
            <v>511121194005126945</v>
          </cell>
        </row>
        <row r="298">
          <cell r="A298" t="str">
            <v>周天航</v>
          </cell>
          <cell r="B298" t="str">
            <v>511421201106056930</v>
          </cell>
        </row>
        <row r="299">
          <cell r="A299" t="str">
            <v>周燕</v>
          </cell>
          <cell r="B299" t="str">
            <v>511421200606026725</v>
          </cell>
        </row>
        <row r="300">
          <cell r="A300" t="str">
            <v>周文全</v>
          </cell>
          <cell r="B300" t="str">
            <v>513423198106070273</v>
          </cell>
        </row>
        <row r="301">
          <cell r="A301" t="str">
            <v>汤木根</v>
          </cell>
          <cell r="B301" t="str">
            <v>51112119591115693X</v>
          </cell>
        </row>
        <row r="302">
          <cell r="A302" t="str">
            <v>汤永建</v>
          </cell>
          <cell r="B302" t="str">
            <v>511121197101026972</v>
          </cell>
        </row>
        <row r="303">
          <cell r="A303" t="str">
            <v>魏琼花</v>
          </cell>
          <cell r="B303" t="str">
            <v>511121197103076949</v>
          </cell>
        </row>
        <row r="304">
          <cell r="A304" t="str">
            <v>汤绍彬</v>
          </cell>
          <cell r="B304" t="str">
            <v>511121194701166932</v>
          </cell>
        </row>
        <row r="305">
          <cell r="A305" t="str">
            <v>汤顺</v>
          </cell>
          <cell r="B305" t="str">
            <v>513822199412166935</v>
          </cell>
        </row>
        <row r="306">
          <cell r="A306" t="str">
            <v>汤小兰</v>
          </cell>
          <cell r="B306" t="str">
            <v>513822199201246943</v>
          </cell>
        </row>
        <row r="307">
          <cell r="A307" t="str">
            <v>汤自忠</v>
          </cell>
          <cell r="B307" t="str">
            <v>511121195311236936</v>
          </cell>
        </row>
        <row r="308">
          <cell r="A308" t="str">
            <v>刘菊芳</v>
          </cell>
          <cell r="B308" t="str">
            <v>511121195212026968</v>
          </cell>
        </row>
        <row r="309">
          <cell r="A309" t="str">
            <v>汤林</v>
          </cell>
          <cell r="B309" t="str">
            <v>511121197801256947</v>
          </cell>
        </row>
        <row r="310">
          <cell r="A310" t="str">
            <v>汤勇</v>
          </cell>
          <cell r="B310" t="str">
            <v>511121197205206935</v>
          </cell>
        </row>
        <row r="311">
          <cell r="A311" t="str">
            <v>魏贵成</v>
          </cell>
          <cell r="B311" t="str">
            <v>511121195509196933</v>
          </cell>
        </row>
        <row r="312">
          <cell r="A312" t="str">
            <v>古秀英</v>
          </cell>
          <cell r="B312" t="str">
            <v>51112119620821694X</v>
          </cell>
        </row>
        <row r="313">
          <cell r="A313" t="str">
            <v>魏永华</v>
          </cell>
          <cell r="B313" t="str">
            <v>51112119720909693X</v>
          </cell>
        </row>
        <row r="314">
          <cell r="A314" t="str">
            <v>周木根</v>
          </cell>
          <cell r="B314" t="str">
            <v>511121197705236962</v>
          </cell>
        </row>
        <row r="315">
          <cell r="A315" t="str">
            <v>魏周祥</v>
          </cell>
          <cell r="B315" t="str">
            <v>513822200003156715</v>
          </cell>
        </row>
        <row r="316">
          <cell r="A316" t="str">
            <v>魏建敏</v>
          </cell>
          <cell r="B316" t="str">
            <v>511121196901076930</v>
          </cell>
        </row>
        <row r="317">
          <cell r="A317" t="str">
            <v>汪桃香</v>
          </cell>
          <cell r="B317" t="str">
            <v>511121197310086920</v>
          </cell>
        </row>
        <row r="318">
          <cell r="A318" t="str">
            <v>魏科</v>
          </cell>
          <cell r="B318" t="str">
            <v>513822199510246955</v>
          </cell>
        </row>
        <row r="319">
          <cell r="A319" t="str">
            <v>魏诗雨</v>
          </cell>
          <cell r="B319" t="str">
            <v>511421201812170220</v>
          </cell>
        </row>
        <row r="320">
          <cell r="A320" t="str">
            <v>魏浩宇</v>
          </cell>
          <cell r="B320" t="str">
            <v>511421202108100151</v>
          </cell>
        </row>
        <row r="321">
          <cell r="A321" t="str">
            <v>周子文</v>
          </cell>
          <cell r="B321" t="str">
            <v>511121192707196949</v>
          </cell>
        </row>
        <row r="322">
          <cell r="A322" t="str">
            <v>王敏勇</v>
          </cell>
          <cell r="B322" t="str">
            <v>511121197212296932</v>
          </cell>
        </row>
        <row r="323">
          <cell r="A323" t="str">
            <v>王志刚</v>
          </cell>
          <cell r="B323" t="str">
            <v>511121197906306939</v>
          </cell>
        </row>
        <row r="324">
          <cell r="A324" t="str">
            <v>汤自平</v>
          </cell>
          <cell r="B324" t="str">
            <v>511121197507276955</v>
          </cell>
        </row>
        <row r="325">
          <cell r="A325" t="str">
            <v>汤礼</v>
          </cell>
          <cell r="B325" t="str">
            <v>511121197707046935</v>
          </cell>
        </row>
        <row r="326">
          <cell r="A326" t="str">
            <v>汤自兵</v>
          </cell>
          <cell r="B326" t="str">
            <v>511121197411166938</v>
          </cell>
        </row>
        <row r="327">
          <cell r="A327" t="str">
            <v>汤程杰</v>
          </cell>
          <cell r="B327" t="str">
            <v>511421200505196696</v>
          </cell>
        </row>
        <row r="328">
          <cell r="A328" t="str">
            <v>肖波</v>
          </cell>
          <cell r="B328" t="str">
            <v>513822199508136757</v>
          </cell>
        </row>
        <row r="329">
          <cell r="A329" t="str">
            <v>汤奎</v>
          </cell>
          <cell r="B329" t="str">
            <v>511121197907106955</v>
          </cell>
        </row>
        <row r="330">
          <cell r="A330" t="str">
            <v>汤文烯</v>
          </cell>
          <cell r="B330" t="str">
            <v>511421201308116874</v>
          </cell>
        </row>
        <row r="331">
          <cell r="A331" t="str">
            <v>汤冰玥</v>
          </cell>
          <cell r="B331" t="str">
            <v>511421200609306765</v>
          </cell>
        </row>
        <row r="332">
          <cell r="A332" t="str">
            <v>汤朝龙</v>
          </cell>
          <cell r="B332" t="str">
            <v>511121197601106936</v>
          </cell>
        </row>
        <row r="333">
          <cell r="A333" t="str">
            <v>汤心雨</v>
          </cell>
          <cell r="B333" t="str">
            <v>511421201104166941</v>
          </cell>
        </row>
        <row r="334">
          <cell r="A334" t="str">
            <v>汤栋</v>
          </cell>
          <cell r="B334" t="str">
            <v>511421200308046699</v>
          </cell>
        </row>
        <row r="335">
          <cell r="A335" t="str">
            <v>汤文旭</v>
          </cell>
          <cell r="B335" t="str">
            <v>511121197403166938</v>
          </cell>
        </row>
        <row r="336">
          <cell r="A336" t="str">
            <v>汤仪佳</v>
          </cell>
          <cell r="B336" t="str">
            <v>513822200202266749</v>
          </cell>
        </row>
        <row r="337">
          <cell r="A337" t="str">
            <v>汤怡婷</v>
          </cell>
          <cell r="B337" t="str">
            <v>511421200801166707</v>
          </cell>
        </row>
        <row r="338">
          <cell r="A338" t="str">
            <v>汤自军</v>
          </cell>
          <cell r="B338" t="str">
            <v>51112119671024695X</v>
          </cell>
        </row>
        <row r="339">
          <cell r="A339" t="str">
            <v>汤丹</v>
          </cell>
          <cell r="B339" t="str">
            <v>513822199201136947</v>
          </cell>
        </row>
        <row r="340">
          <cell r="A340" t="str">
            <v>汤俊</v>
          </cell>
          <cell r="B340" t="str">
            <v>51382219930911693X</v>
          </cell>
        </row>
        <row r="341">
          <cell r="A341" t="str">
            <v>汤木银</v>
          </cell>
          <cell r="B341" t="str">
            <v>51112119680908695X</v>
          </cell>
        </row>
        <row r="342">
          <cell r="A342" t="str">
            <v>杨梅芳</v>
          </cell>
          <cell r="B342" t="str">
            <v>511121196705086947</v>
          </cell>
        </row>
        <row r="343">
          <cell r="A343" t="str">
            <v>汤玉娇</v>
          </cell>
          <cell r="B343" t="str">
            <v>513822198909206926</v>
          </cell>
        </row>
        <row r="344">
          <cell r="A344" t="str">
            <v>汤永根</v>
          </cell>
          <cell r="B344" t="str">
            <v>513822198806246933</v>
          </cell>
        </row>
        <row r="345">
          <cell r="A345" t="str">
            <v>汤永强</v>
          </cell>
          <cell r="B345" t="str">
            <v>511121197808026933</v>
          </cell>
        </row>
        <row r="346">
          <cell r="A346" t="str">
            <v>汤勇刚</v>
          </cell>
          <cell r="B346" t="str">
            <v>511121197901286932</v>
          </cell>
        </row>
        <row r="347">
          <cell r="A347" t="str">
            <v>汤梓艺</v>
          </cell>
          <cell r="B347" t="str">
            <v>513822200406276789</v>
          </cell>
        </row>
        <row r="348">
          <cell r="A348" t="str">
            <v>汤文钦</v>
          </cell>
          <cell r="B348" t="str">
            <v>511121196211216932</v>
          </cell>
        </row>
        <row r="349">
          <cell r="A349" t="str">
            <v>陈菊霞</v>
          </cell>
          <cell r="B349" t="str">
            <v>511121196701156944</v>
          </cell>
        </row>
        <row r="350">
          <cell r="A350" t="str">
            <v>汤娟</v>
          </cell>
          <cell r="B350" t="str">
            <v>513822198411156941</v>
          </cell>
        </row>
        <row r="351">
          <cell r="A351" t="str">
            <v>汤平</v>
          </cell>
          <cell r="B351" t="str">
            <v>513822198609016944</v>
          </cell>
        </row>
        <row r="352">
          <cell r="A352" t="str">
            <v>汤利军</v>
          </cell>
          <cell r="B352" t="str">
            <v>513822198608036935</v>
          </cell>
        </row>
        <row r="353">
          <cell r="A353" t="str">
            <v>辜燕莉</v>
          </cell>
          <cell r="B353" t="str">
            <v>513822199002206746</v>
          </cell>
        </row>
        <row r="354">
          <cell r="A354" t="str">
            <v>汤俊杰</v>
          </cell>
          <cell r="B354" t="str">
            <v>511421200909226791</v>
          </cell>
        </row>
        <row r="355">
          <cell r="A355" t="str">
            <v>汤俊寰</v>
          </cell>
          <cell r="B355" t="str">
            <v>511421201710230632</v>
          </cell>
        </row>
        <row r="356">
          <cell r="A356" t="str">
            <v>王柯陈</v>
          </cell>
          <cell r="B356" t="str">
            <v>511121198108116932</v>
          </cell>
        </row>
        <row r="357">
          <cell r="A357" t="str">
            <v>曾昌琴</v>
          </cell>
          <cell r="B357" t="str">
            <v>510322199101238225</v>
          </cell>
        </row>
        <row r="358">
          <cell r="A358" t="str">
            <v>王君豪</v>
          </cell>
          <cell r="B358" t="str">
            <v>511421202009040018</v>
          </cell>
        </row>
        <row r="359">
          <cell r="A359" t="str">
            <v>王怡涵</v>
          </cell>
          <cell r="B359" t="str">
            <v>511421201805110086</v>
          </cell>
        </row>
        <row r="360">
          <cell r="A360" t="str">
            <v>王佳蕊</v>
          </cell>
          <cell r="B360" t="str">
            <v>511421200912086785</v>
          </cell>
        </row>
        <row r="361">
          <cell r="A361" t="str">
            <v>汤胜</v>
          </cell>
          <cell r="B361" t="str">
            <v>513822198602166931</v>
          </cell>
        </row>
        <row r="362">
          <cell r="A362" t="str">
            <v>汤宇恒</v>
          </cell>
          <cell r="B362" t="str">
            <v>511421201012056972</v>
          </cell>
        </row>
        <row r="363">
          <cell r="A363" t="str">
            <v>汤旭</v>
          </cell>
          <cell r="B363" t="str">
            <v>513822198701016939</v>
          </cell>
        </row>
        <row r="364">
          <cell r="A364" t="str">
            <v>曾双双</v>
          </cell>
          <cell r="B364" t="str">
            <v>52212119900403258X</v>
          </cell>
        </row>
        <row r="365">
          <cell r="A365" t="str">
            <v>汤佳乐</v>
          </cell>
          <cell r="B365" t="str">
            <v>511421201001266878</v>
          </cell>
        </row>
        <row r="366">
          <cell r="A366" t="str">
            <v>汤佳悦</v>
          </cell>
          <cell r="B366" t="str">
            <v>511421201707280057</v>
          </cell>
        </row>
        <row r="367">
          <cell r="A367" t="str">
            <v>汤永忠</v>
          </cell>
          <cell r="B367" t="str">
            <v>511121196909056934</v>
          </cell>
        </row>
        <row r="368">
          <cell r="A368" t="str">
            <v>汤飞</v>
          </cell>
          <cell r="B368" t="str">
            <v>513822199204276937</v>
          </cell>
        </row>
        <row r="369">
          <cell r="A369" t="str">
            <v>王欣</v>
          </cell>
          <cell r="B369" t="str">
            <v>51382219921109674X</v>
          </cell>
        </row>
        <row r="370">
          <cell r="A370" t="str">
            <v>汤艺炘</v>
          </cell>
          <cell r="B370" t="str">
            <v>511421201906170256</v>
          </cell>
        </row>
        <row r="371">
          <cell r="A371" t="str">
            <v>王火江</v>
          </cell>
          <cell r="B371" t="str">
            <v>511121196809206958</v>
          </cell>
        </row>
        <row r="372">
          <cell r="A372" t="str">
            <v>刘建文</v>
          </cell>
          <cell r="B372" t="str">
            <v>511121197108136939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54"/>
  <sheetViews>
    <sheetView tabSelected="1" workbookViewId="0">
      <pane ySplit="2" topLeftCell="A3" activePane="bottomLeft" state="frozen"/>
      <selection/>
      <selection pane="bottomLeft" activeCell="C2159" sqref="$A1:$XFD1048576"/>
    </sheetView>
  </sheetViews>
  <sheetFormatPr defaultColWidth="9" defaultRowHeight="34.95" customHeight="1"/>
  <cols>
    <col min="1" max="1" width="13.5555555555556" style="1" customWidth="1"/>
    <col min="2" max="2" width="14.6666666666667" style="1" customWidth="1"/>
    <col min="3" max="9" width="13.5555555555556" style="1" customWidth="1"/>
    <col min="10" max="10" width="20.6666666666667" style="1" customWidth="1"/>
    <col min="11" max="11" width="12.3333333333333" style="1" customWidth="1"/>
    <col min="12" max="16384" width="9" style="1"/>
  </cols>
  <sheetData>
    <row r="1" customHeight="1" spans="1:11">
      <c r="A1" s="2"/>
      <c r="B1" s="2"/>
      <c r="C1" s="2"/>
      <c r="D1" s="2"/>
      <c r="E1" s="2"/>
      <c r="F1" s="2"/>
      <c r="G1" s="2"/>
      <c r="H1" s="2"/>
      <c r="I1" s="2"/>
      <c r="J1" s="2"/>
    </row>
    <row r="2" customHeight="1" spans="1:11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customHeight="1" spans="1:11">
      <c r="A3" s="3">
        <v>3</v>
      </c>
      <c r="B3" s="1" t="s">
        <v>10</v>
      </c>
      <c r="C3" s="1" t="s">
        <v>11</v>
      </c>
      <c r="D3" s="3" t="s">
        <v>12</v>
      </c>
      <c r="E3" s="1" t="s">
        <v>13</v>
      </c>
      <c r="F3" s="1">
        <v>0.1</v>
      </c>
      <c r="G3" s="3">
        <v>380</v>
      </c>
      <c r="H3" s="3">
        <f t="shared" ref="H3:H21" si="0">G3*F3</f>
        <v>38</v>
      </c>
      <c r="I3" s="3"/>
      <c r="J3" s="1">
        <v>9.25</v>
      </c>
    </row>
    <row r="4" customHeight="1" spans="1:11">
      <c r="A4" s="3">
        <v>4</v>
      </c>
      <c r="B4" s="1" t="s">
        <v>14</v>
      </c>
      <c r="C4" s="1" t="s">
        <v>11</v>
      </c>
      <c r="D4" s="3" t="s">
        <v>12</v>
      </c>
      <c r="E4" s="1" t="s">
        <v>13</v>
      </c>
      <c r="F4" s="1">
        <v>0.08</v>
      </c>
      <c r="G4" s="3">
        <v>380</v>
      </c>
      <c r="H4" s="3">
        <f t="shared" si="0"/>
        <v>30.4</v>
      </c>
      <c r="I4" s="3"/>
      <c r="J4" s="1">
        <v>9.25</v>
      </c>
    </row>
    <row r="5" customHeight="1" spans="1:11">
      <c r="A5" s="3">
        <v>5</v>
      </c>
      <c r="B5" s="1" t="s">
        <v>15</v>
      </c>
      <c r="C5" s="1" t="s">
        <v>11</v>
      </c>
      <c r="D5" s="3" t="s">
        <v>12</v>
      </c>
      <c r="E5" s="1" t="s">
        <v>13</v>
      </c>
      <c r="F5" s="1">
        <v>0.13</v>
      </c>
      <c r="G5" s="3">
        <v>380</v>
      </c>
      <c r="H5" s="3">
        <f t="shared" si="0"/>
        <v>49.4</v>
      </c>
      <c r="I5" s="3"/>
      <c r="J5" s="1">
        <v>9.25</v>
      </c>
    </row>
    <row r="6" customHeight="1" spans="1:11">
      <c r="A6" s="3">
        <v>6</v>
      </c>
      <c r="B6" s="1" t="s">
        <v>16</v>
      </c>
      <c r="C6" s="1" t="s">
        <v>11</v>
      </c>
      <c r="D6" s="3" t="s">
        <v>12</v>
      </c>
      <c r="E6" s="1" t="s">
        <v>13</v>
      </c>
      <c r="F6" s="1">
        <v>0.2</v>
      </c>
      <c r="G6" s="3">
        <v>380</v>
      </c>
      <c r="H6" s="3">
        <f t="shared" si="0"/>
        <v>76</v>
      </c>
      <c r="I6" s="3"/>
      <c r="J6" s="1">
        <v>9.25</v>
      </c>
    </row>
    <row r="7" customHeight="1" spans="1:11">
      <c r="A7" s="3">
        <v>7</v>
      </c>
      <c r="B7" s="1" t="s">
        <v>17</v>
      </c>
      <c r="C7" s="1" t="s">
        <v>11</v>
      </c>
      <c r="D7" s="3" t="s">
        <v>12</v>
      </c>
      <c r="E7" s="1" t="s">
        <v>13</v>
      </c>
      <c r="F7" s="1">
        <v>0.19</v>
      </c>
      <c r="G7" s="3">
        <v>380</v>
      </c>
      <c r="H7" s="3">
        <f t="shared" si="0"/>
        <v>72.2</v>
      </c>
      <c r="I7" s="3"/>
      <c r="J7" s="1">
        <v>9.25</v>
      </c>
    </row>
    <row r="8" customHeight="1" spans="1:11">
      <c r="A8" s="3">
        <v>8</v>
      </c>
      <c r="B8" s="1" t="s">
        <v>18</v>
      </c>
      <c r="C8" s="1" t="s">
        <v>11</v>
      </c>
      <c r="D8" s="3" t="s">
        <v>12</v>
      </c>
      <c r="E8" s="1" t="s">
        <v>13</v>
      </c>
      <c r="F8" s="1">
        <v>0.33</v>
      </c>
      <c r="G8" s="3">
        <v>380</v>
      </c>
      <c r="H8" s="3">
        <f t="shared" si="0"/>
        <v>125.4</v>
      </c>
      <c r="I8" s="3"/>
      <c r="J8" s="1">
        <v>9.25</v>
      </c>
    </row>
    <row r="9" customHeight="1" spans="1:11">
      <c r="A9" s="3">
        <v>9</v>
      </c>
      <c r="B9" s="1" t="s">
        <v>19</v>
      </c>
      <c r="C9" s="1" t="s">
        <v>11</v>
      </c>
      <c r="D9" s="3" t="s">
        <v>12</v>
      </c>
      <c r="E9" s="1" t="s">
        <v>13</v>
      </c>
      <c r="F9" s="1">
        <v>0.11</v>
      </c>
      <c r="G9" s="3">
        <v>380</v>
      </c>
      <c r="H9" s="3">
        <f t="shared" si="0"/>
        <v>41.8</v>
      </c>
      <c r="I9" s="3"/>
      <c r="J9" s="1">
        <v>9.25</v>
      </c>
    </row>
    <row r="10" customHeight="1" spans="1:11">
      <c r="A10" s="3">
        <v>12</v>
      </c>
      <c r="B10" s="1" t="s">
        <v>20</v>
      </c>
      <c r="C10" s="1" t="s">
        <v>21</v>
      </c>
      <c r="D10" s="3"/>
      <c r="E10" s="1" t="s">
        <v>22</v>
      </c>
      <c r="F10" s="1">
        <v>0.38</v>
      </c>
      <c r="G10" s="3">
        <v>480</v>
      </c>
      <c r="H10" s="3">
        <f t="shared" si="0"/>
        <v>182.4</v>
      </c>
      <c r="I10" s="3"/>
      <c r="J10" s="1">
        <v>9.5</v>
      </c>
      <c r="K10" s="1" t="s">
        <v>23</v>
      </c>
    </row>
    <row r="11" customHeight="1" spans="1:11">
      <c r="A11" s="20">
        <v>30</v>
      </c>
      <c r="B11" s="21" t="s">
        <v>24</v>
      </c>
      <c r="C11" s="21" t="s">
        <v>21</v>
      </c>
      <c r="D11" s="20"/>
      <c r="E11" s="21" t="s">
        <v>22</v>
      </c>
      <c r="F11" s="21">
        <v>0.5</v>
      </c>
      <c r="G11" s="20">
        <v>480</v>
      </c>
      <c r="H11" s="20">
        <f t="shared" si="0"/>
        <v>240</v>
      </c>
      <c r="I11" s="20"/>
      <c r="J11" s="21">
        <v>9.5</v>
      </c>
      <c r="K11" s="1" t="s">
        <v>25</v>
      </c>
    </row>
    <row r="12" customHeight="1" spans="1:11">
      <c r="A12" s="20">
        <v>33</v>
      </c>
      <c r="B12" s="21" t="s">
        <v>26</v>
      </c>
      <c r="C12" s="21" t="s">
        <v>21</v>
      </c>
      <c r="D12" s="20"/>
      <c r="E12" s="21" t="s">
        <v>22</v>
      </c>
      <c r="F12" s="21">
        <v>1.03</v>
      </c>
      <c r="G12" s="20">
        <v>480</v>
      </c>
      <c r="H12" s="20">
        <f t="shared" si="0"/>
        <v>494.4</v>
      </c>
      <c r="I12" s="20"/>
      <c r="J12" s="21">
        <v>9.5</v>
      </c>
    </row>
    <row r="13" customHeight="1" spans="1:11">
      <c r="A13" s="3">
        <v>60</v>
      </c>
      <c r="B13" s="1" t="s">
        <v>27</v>
      </c>
      <c r="C13" s="1" t="s">
        <v>21</v>
      </c>
      <c r="D13" s="3"/>
      <c r="E13" s="1" t="s">
        <v>22</v>
      </c>
      <c r="F13" s="1">
        <v>1.56</v>
      </c>
      <c r="G13" s="3">
        <v>480</v>
      </c>
      <c r="H13" s="3">
        <f t="shared" si="0"/>
        <v>748.8</v>
      </c>
      <c r="I13" s="3"/>
      <c r="J13" s="1">
        <v>9.8</v>
      </c>
    </row>
    <row r="14" customHeight="1" spans="1:11">
      <c r="A14" s="3">
        <v>61</v>
      </c>
      <c r="B14" s="1" t="s">
        <v>28</v>
      </c>
      <c r="C14" s="1" t="s">
        <v>21</v>
      </c>
      <c r="D14" s="3"/>
      <c r="E14" s="1" t="s">
        <v>22</v>
      </c>
      <c r="G14" s="3">
        <v>480</v>
      </c>
      <c r="H14" s="3">
        <f t="shared" si="0"/>
        <v>0</v>
      </c>
      <c r="I14" s="3"/>
      <c r="J14" s="1">
        <v>9.8</v>
      </c>
    </row>
    <row r="15" customHeight="1" spans="1:11">
      <c r="A15" s="3">
        <v>62</v>
      </c>
      <c r="B15" s="1" t="s">
        <v>29</v>
      </c>
      <c r="C15" s="1" t="s">
        <v>21</v>
      </c>
      <c r="D15" s="3"/>
      <c r="E15" s="1" t="s">
        <v>22</v>
      </c>
      <c r="F15" s="1">
        <v>1.62</v>
      </c>
      <c r="G15" s="3">
        <v>480</v>
      </c>
      <c r="H15" s="3">
        <f t="shared" si="0"/>
        <v>777.6</v>
      </c>
      <c r="I15" s="3"/>
      <c r="J15" s="1">
        <v>9.8</v>
      </c>
      <c r="K15" s="1" t="s">
        <v>25</v>
      </c>
    </row>
    <row r="16" customHeight="1" spans="1:11">
      <c r="A16" s="3">
        <v>63</v>
      </c>
      <c r="B16" s="1" t="s">
        <v>30</v>
      </c>
      <c r="C16" s="1" t="s">
        <v>21</v>
      </c>
      <c r="D16" s="3"/>
      <c r="E16" s="1" t="s">
        <v>22</v>
      </c>
      <c r="F16" s="1">
        <v>0.81</v>
      </c>
      <c r="G16" s="3">
        <v>480</v>
      </c>
      <c r="H16" s="3">
        <f t="shared" si="0"/>
        <v>388.8</v>
      </c>
      <c r="I16" s="3"/>
      <c r="J16" s="1">
        <v>9.8</v>
      </c>
      <c r="K16" s="1" t="s">
        <v>25</v>
      </c>
    </row>
    <row r="17" customHeight="1" spans="1:11">
      <c r="A17" s="3">
        <v>64</v>
      </c>
      <c r="B17" s="1" t="s">
        <v>31</v>
      </c>
      <c r="C17" s="1" t="s">
        <v>21</v>
      </c>
      <c r="D17" s="3"/>
      <c r="E17" s="1" t="s">
        <v>13</v>
      </c>
      <c r="F17" s="1">
        <v>1.05</v>
      </c>
      <c r="G17" s="3">
        <v>380</v>
      </c>
      <c r="H17" s="3">
        <f t="shared" si="0"/>
        <v>399</v>
      </c>
      <c r="I17" s="3"/>
      <c r="J17" s="1">
        <v>9.8</v>
      </c>
    </row>
    <row r="18" customHeight="1" spans="1:11">
      <c r="A18" s="20">
        <v>66</v>
      </c>
      <c r="B18" s="21" t="s">
        <v>32</v>
      </c>
      <c r="C18" s="21" t="s">
        <v>21</v>
      </c>
      <c r="D18" s="20"/>
      <c r="E18" s="21" t="s">
        <v>13</v>
      </c>
      <c r="F18" s="21">
        <v>0.12</v>
      </c>
      <c r="G18" s="20">
        <v>380</v>
      </c>
      <c r="H18" s="20">
        <f t="shared" si="0"/>
        <v>45.6</v>
      </c>
      <c r="I18" s="20"/>
      <c r="J18" s="21">
        <v>9.8</v>
      </c>
      <c r="K18" s="1" t="s">
        <v>25</v>
      </c>
    </row>
    <row r="19" customHeight="1" spans="1:11">
      <c r="A19" s="3">
        <v>67</v>
      </c>
      <c r="B19" s="1" t="s">
        <v>33</v>
      </c>
      <c r="C19" s="1" t="s">
        <v>21</v>
      </c>
      <c r="D19" s="3"/>
      <c r="E19" s="1" t="s">
        <v>13</v>
      </c>
      <c r="F19" s="1">
        <v>0.93</v>
      </c>
      <c r="G19" s="3">
        <v>380</v>
      </c>
      <c r="H19" s="3">
        <f t="shared" si="0"/>
        <v>353.4</v>
      </c>
      <c r="I19" s="3"/>
      <c r="J19" s="1">
        <v>9.8</v>
      </c>
      <c r="K19" s="1" t="s">
        <v>25</v>
      </c>
    </row>
    <row r="20" customHeight="1" spans="1:11">
      <c r="A20" s="3">
        <v>68</v>
      </c>
      <c r="B20" s="1" t="s">
        <v>34</v>
      </c>
      <c r="C20" s="1" t="s">
        <v>21</v>
      </c>
      <c r="D20" s="3"/>
      <c r="E20" s="1" t="s">
        <v>13</v>
      </c>
      <c r="F20" s="1">
        <v>0.25</v>
      </c>
      <c r="G20" s="3">
        <v>380</v>
      </c>
      <c r="H20" s="3">
        <f t="shared" si="0"/>
        <v>95</v>
      </c>
      <c r="I20" s="3"/>
      <c r="J20" s="1">
        <v>9.8</v>
      </c>
      <c r="K20" s="1" t="s">
        <v>25</v>
      </c>
    </row>
    <row r="21" customHeight="1" spans="1:11">
      <c r="A21" s="3">
        <v>69</v>
      </c>
      <c r="B21" s="1" t="s">
        <v>35</v>
      </c>
      <c r="C21" s="1" t="s">
        <v>21</v>
      </c>
      <c r="D21" s="3"/>
      <c r="E21" s="1" t="s">
        <v>13</v>
      </c>
      <c r="F21" s="1">
        <v>0.85</v>
      </c>
      <c r="G21" s="3">
        <v>380</v>
      </c>
      <c r="H21" s="3">
        <f t="shared" si="0"/>
        <v>323</v>
      </c>
      <c r="I21" s="3"/>
      <c r="J21" s="1">
        <v>9.8</v>
      </c>
    </row>
    <row r="22" customHeight="1" spans="1:11">
      <c r="A22" s="3"/>
      <c r="B22" s="1" t="s">
        <v>36</v>
      </c>
      <c r="C22" s="1" t="s">
        <v>21</v>
      </c>
      <c r="D22" s="3"/>
      <c r="E22" s="1" t="s">
        <v>22</v>
      </c>
      <c r="F22" s="1">
        <v>0.3</v>
      </c>
      <c r="G22" s="3"/>
      <c r="H22" s="3"/>
      <c r="I22" s="3"/>
    </row>
    <row r="23" customHeight="1" spans="1:11">
      <c r="A23" s="3"/>
      <c r="B23" s="1" t="s">
        <v>37</v>
      </c>
      <c r="C23" s="3" t="s">
        <v>21</v>
      </c>
      <c r="D23" s="3"/>
      <c r="E23" s="1" t="s">
        <v>22</v>
      </c>
      <c r="F23" s="1">
        <v>0.4</v>
      </c>
      <c r="G23" s="3"/>
      <c r="H23" s="3"/>
      <c r="I23" s="3"/>
    </row>
    <row r="24" customHeight="1" spans="1:11">
      <c r="A24" s="3">
        <v>70</v>
      </c>
      <c r="B24" s="1" t="s">
        <v>24</v>
      </c>
      <c r="C24" s="1" t="s">
        <v>21</v>
      </c>
      <c r="D24" s="3"/>
      <c r="E24" s="1" t="s">
        <v>13</v>
      </c>
      <c r="F24" s="1">
        <v>0.36</v>
      </c>
      <c r="G24" s="3">
        <v>380</v>
      </c>
      <c r="H24" s="3">
        <f t="shared" ref="H24:H68" si="1">G24*F24</f>
        <v>136.8</v>
      </c>
      <c r="I24" s="3"/>
      <c r="J24" s="1">
        <v>9.8</v>
      </c>
      <c r="K24" s="1" t="s">
        <v>25</v>
      </c>
    </row>
    <row r="25" customHeight="1" spans="1:11">
      <c r="A25" s="3">
        <v>71</v>
      </c>
      <c r="B25" s="1" t="s">
        <v>35</v>
      </c>
      <c r="C25" s="1" t="s">
        <v>21</v>
      </c>
      <c r="D25" s="3"/>
      <c r="E25" s="1" t="s">
        <v>13</v>
      </c>
      <c r="F25" s="1">
        <v>0.35</v>
      </c>
      <c r="G25" s="3">
        <v>380</v>
      </c>
      <c r="H25" s="3">
        <f t="shared" si="1"/>
        <v>133</v>
      </c>
      <c r="I25" s="3"/>
      <c r="J25" s="1">
        <v>9.8</v>
      </c>
    </row>
    <row r="26" customHeight="1" spans="1:11">
      <c r="A26" s="3">
        <v>72</v>
      </c>
      <c r="B26" s="1" t="s">
        <v>34</v>
      </c>
      <c r="C26" s="1" t="s">
        <v>21</v>
      </c>
      <c r="D26" s="3"/>
      <c r="E26" s="1" t="s">
        <v>13</v>
      </c>
      <c r="F26" s="1">
        <v>0.2</v>
      </c>
      <c r="G26" s="3">
        <v>380</v>
      </c>
      <c r="H26" s="3">
        <f t="shared" si="1"/>
        <v>76</v>
      </c>
      <c r="I26" s="3"/>
      <c r="J26" s="1">
        <v>9.8</v>
      </c>
      <c r="K26" s="1" t="s">
        <v>25</v>
      </c>
    </row>
    <row r="27" customHeight="1" spans="1:11">
      <c r="A27" s="3">
        <v>73</v>
      </c>
      <c r="B27" s="1" t="s">
        <v>38</v>
      </c>
      <c r="C27" s="1" t="s">
        <v>21</v>
      </c>
      <c r="D27" s="3"/>
      <c r="E27" s="1" t="s">
        <v>13</v>
      </c>
      <c r="F27" s="1">
        <v>0.17</v>
      </c>
      <c r="G27" s="3">
        <v>380</v>
      </c>
      <c r="H27" s="3">
        <f t="shared" si="1"/>
        <v>64.6</v>
      </c>
      <c r="I27" s="3"/>
      <c r="J27" s="1">
        <v>9.8</v>
      </c>
      <c r="K27" s="1" t="s">
        <v>25</v>
      </c>
    </row>
    <row r="28" customHeight="1" spans="1:11">
      <c r="A28" s="3">
        <v>74</v>
      </c>
      <c r="B28" s="1" t="s">
        <v>39</v>
      </c>
      <c r="C28" s="1" t="s">
        <v>21</v>
      </c>
      <c r="D28" s="3"/>
      <c r="E28" s="1" t="s">
        <v>13</v>
      </c>
      <c r="F28" s="1">
        <v>0.16</v>
      </c>
      <c r="G28" s="3">
        <v>380</v>
      </c>
      <c r="H28" s="3">
        <f t="shared" si="1"/>
        <v>60.8</v>
      </c>
      <c r="I28" s="3"/>
      <c r="J28" s="1">
        <v>9.8</v>
      </c>
      <c r="K28" s="1" t="s">
        <v>25</v>
      </c>
    </row>
    <row r="29" customHeight="1" spans="1:11">
      <c r="A29" s="3">
        <v>75</v>
      </c>
      <c r="B29" s="1" t="s">
        <v>32</v>
      </c>
      <c r="C29" s="1" t="s">
        <v>21</v>
      </c>
      <c r="D29" s="3"/>
      <c r="E29" s="1" t="s">
        <v>13</v>
      </c>
      <c r="F29" s="1">
        <v>0.09</v>
      </c>
      <c r="G29" s="3">
        <v>380</v>
      </c>
      <c r="H29" s="3">
        <f t="shared" si="1"/>
        <v>34.2</v>
      </c>
      <c r="I29" s="3"/>
      <c r="J29" s="1">
        <v>9.8</v>
      </c>
      <c r="K29" s="1" t="s">
        <v>25</v>
      </c>
    </row>
    <row r="30" customHeight="1" spans="1:11">
      <c r="A30" s="3">
        <v>76</v>
      </c>
      <c r="B30" s="1" t="s">
        <v>27</v>
      </c>
      <c r="C30" s="1" t="s">
        <v>21</v>
      </c>
      <c r="D30" s="3"/>
      <c r="E30" s="1" t="s">
        <v>22</v>
      </c>
      <c r="F30" s="1">
        <v>1.42</v>
      </c>
      <c r="G30" s="3">
        <v>480</v>
      </c>
      <c r="H30" s="3">
        <f t="shared" si="1"/>
        <v>681.6</v>
      </c>
      <c r="I30" s="3"/>
      <c r="J30" s="1">
        <v>9.8</v>
      </c>
    </row>
    <row r="31" customHeight="1" spans="1:11">
      <c r="A31" s="3">
        <v>77</v>
      </c>
      <c r="B31" s="1" t="s">
        <v>40</v>
      </c>
      <c r="C31" s="1" t="s">
        <v>21</v>
      </c>
      <c r="D31" s="3"/>
      <c r="E31" s="1" t="s">
        <v>22</v>
      </c>
      <c r="F31" s="1">
        <v>1.36</v>
      </c>
      <c r="G31" s="3">
        <v>480</v>
      </c>
      <c r="H31" s="3">
        <f t="shared" si="1"/>
        <v>652.8</v>
      </c>
      <c r="I31" s="3"/>
      <c r="J31" s="1">
        <v>9.8</v>
      </c>
    </row>
    <row r="32" customHeight="1" spans="1:11">
      <c r="A32" s="3">
        <v>78</v>
      </c>
      <c r="B32" s="1" t="s">
        <v>41</v>
      </c>
      <c r="C32" s="1" t="s">
        <v>21</v>
      </c>
      <c r="D32" s="3"/>
      <c r="E32" s="1" t="s">
        <v>22</v>
      </c>
      <c r="F32" s="1">
        <v>0.73</v>
      </c>
      <c r="G32" s="3">
        <v>480</v>
      </c>
      <c r="H32" s="3">
        <f t="shared" si="1"/>
        <v>350.4</v>
      </c>
      <c r="I32" s="3"/>
      <c r="J32" s="1">
        <v>9.8</v>
      </c>
    </row>
    <row r="33" customHeight="1" spans="1:11">
      <c r="A33" s="3">
        <v>79</v>
      </c>
      <c r="B33" s="1" t="s">
        <v>42</v>
      </c>
      <c r="C33" s="1" t="s">
        <v>21</v>
      </c>
      <c r="D33" s="3"/>
      <c r="E33" s="1" t="s">
        <v>22</v>
      </c>
      <c r="F33" s="1">
        <v>0.78</v>
      </c>
      <c r="G33" s="3">
        <v>480</v>
      </c>
      <c r="H33" s="3">
        <f t="shared" si="1"/>
        <v>374.4</v>
      </c>
      <c r="I33" s="3"/>
      <c r="J33" s="1">
        <v>9.8</v>
      </c>
      <c r="K33" s="1" t="s">
        <v>25</v>
      </c>
    </row>
    <row r="34" customHeight="1" spans="1:11">
      <c r="A34" s="3">
        <v>80</v>
      </c>
      <c r="B34" s="1" t="s">
        <v>43</v>
      </c>
      <c r="C34" s="1" t="s">
        <v>21</v>
      </c>
      <c r="D34" s="3"/>
      <c r="E34" s="1" t="s">
        <v>22</v>
      </c>
      <c r="F34" s="1">
        <v>0.24</v>
      </c>
      <c r="G34" s="3">
        <v>480</v>
      </c>
      <c r="H34" s="3">
        <f t="shared" si="1"/>
        <v>115.2</v>
      </c>
      <c r="I34" s="3"/>
      <c r="J34" s="1">
        <v>9.8</v>
      </c>
      <c r="K34" s="1" t="s">
        <v>25</v>
      </c>
    </row>
    <row r="35" customHeight="1" spans="1:11">
      <c r="A35" s="3">
        <v>81</v>
      </c>
      <c r="B35" s="1" t="s">
        <v>30</v>
      </c>
      <c r="C35" s="1" t="s">
        <v>21</v>
      </c>
      <c r="D35" s="3"/>
      <c r="E35" s="1" t="s">
        <v>22</v>
      </c>
      <c r="F35" s="1">
        <v>0.23</v>
      </c>
      <c r="G35" s="3">
        <v>480</v>
      </c>
      <c r="H35" s="3">
        <f t="shared" si="1"/>
        <v>110.4</v>
      </c>
      <c r="I35" s="3"/>
      <c r="J35" s="1">
        <v>9.8</v>
      </c>
      <c r="K35" s="1" t="s">
        <v>25</v>
      </c>
    </row>
    <row r="36" customHeight="1" spans="1:11">
      <c r="A36" s="3">
        <v>82</v>
      </c>
      <c r="B36" s="1" t="s">
        <v>44</v>
      </c>
      <c r="C36" s="1" t="s">
        <v>21</v>
      </c>
      <c r="D36" s="3"/>
      <c r="E36" s="1" t="s">
        <v>22</v>
      </c>
      <c r="F36" s="1">
        <v>0.79</v>
      </c>
      <c r="G36" s="3">
        <v>480</v>
      </c>
      <c r="H36" s="3">
        <f t="shared" si="1"/>
        <v>379.2</v>
      </c>
      <c r="I36" s="3"/>
      <c r="J36" s="1">
        <v>9.8</v>
      </c>
      <c r="K36" s="1" t="s">
        <v>25</v>
      </c>
    </row>
    <row r="37" customHeight="1" spans="1:11">
      <c r="A37" s="3">
        <v>83</v>
      </c>
      <c r="B37" s="1" t="s">
        <v>20</v>
      </c>
      <c r="C37" s="1" t="s">
        <v>21</v>
      </c>
      <c r="D37" s="3"/>
      <c r="E37" s="1" t="s">
        <v>22</v>
      </c>
      <c r="F37" s="1">
        <v>0.26</v>
      </c>
      <c r="G37" s="3">
        <v>480</v>
      </c>
      <c r="H37" s="3">
        <f t="shared" si="1"/>
        <v>124.8</v>
      </c>
      <c r="I37" s="3"/>
      <c r="J37" s="1">
        <v>9.8</v>
      </c>
      <c r="K37" s="1" t="s">
        <v>23</v>
      </c>
    </row>
    <row r="38" customHeight="1" spans="1:11">
      <c r="A38" s="3">
        <v>84</v>
      </c>
      <c r="B38" s="1" t="s">
        <v>45</v>
      </c>
      <c r="C38" s="1" t="s">
        <v>21</v>
      </c>
      <c r="D38" s="3"/>
      <c r="E38" s="1" t="s">
        <v>22</v>
      </c>
      <c r="F38" s="1">
        <v>0.37</v>
      </c>
      <c r="G38" s="3">
        <v>480</v>
      </c>
      <c r="H38" s="3">
        <f t="shared" si="1"/>
        <v>177.6</v>
      </c>
      <c r="I38" s="3"/>
      <c r="J38" s="1">
        <v>9.8</v>
      </c>
      <c r="K38" s="1" t="s">
        <v>25</v>
      </c>
    </row>
    <row r="39" customHeight="1" spans="1:11">
      <c r="A39" s="3">
        <v>85</v>
      </c>
      <c r="B39" s="1" t="s">
        <v>46</v>
      </c>
      <c r="C39" s="1" t="s">
        <v>21</v>
      </c>
      <c r="D39" s="3"/>
      <c r="E39" s="1" t="s">
        <v>22</v>
      </c>
      <c r="F39" s="1">
        <v>0.28</v>
      </c>
      <c r="G39" s="3">
        <v>480</v>
      </c>
      <c r="H39" s="3">
        <f t="shared" si="1"/>
        <v>134.4</v>
      </c>
      <c r="I39" s="3"/>
      <c r="J39" s="1">
        <v>9.8</v>
      </c>
    </row>
    <row r="40" customHeight="1" spans="1:11">
      <c r="A40" s="3">
        <v>86</v>
      </c>
      <c r="B40" s="1" t="s">
        <v>40</v>
      </c>
      <c r="C40" s="1" t="s">
        <v>21</v>
      </c>
      <c r="D40" s="3"/>
      <c r="E40" s="1" t="s">
        <v>13</v>
      </c>
      <c r="F40" s="1">
        <v>0.09</v>
      </c>
      <c r="G40" s="3">
        <v>380</v>
      </c>
      <c r="H40" s="3">
        <f t="shared" si="1"/>
        <v>34.2</v>
      </c>
      <c r="I40" s="3"/>
      <c r="J40" s="1">
        <v>9.8</v>
      </c>
    </row>
    <row r="41" customHeight="1" spans="1:11">
      <c r="A41" s="3">
        <v>87</v>
      </c>
      <c r="B41" s="1" t="s">
        <v>20</v>
      </c>
      <c r="C41" s="1" t="s">
        <v>21</v>
      </c>
      <c r="D41" s="3"/>
      <c r="E41" s="1" t="s">
        <v>22</v>
      </c>
      <c r="F41" s="1">
        <v>0.34</v>
      </c>
      <c r="G41" s="3">
        <v>380</v>
      </c>
      <c r="H41" s="3">
        <f t="shared" si="1"/>
        <v>129.2</v>
      </c>
      <c r="I41" s="3"/>
      <c r="J41" s="1">
        <v>9.8</v>
      </c>
      <c r="K41" s="1" t="s">
        <v>23</v>
      </c>
    </row>
    <row r="42" customHeight="1" spans="1:11">
      <c r="A42" s="3">
        <v>88</v>
      </c>
      <c r="B42" s="1" t="s">
        <v>47</v>
      </c>
      <c r="C42" s="1" t="s">
        <v>21</v>
      </c>
      <c r="D42" s="3"/>
      <c r="E42" s="1" t="s">
        <v>13</v>
      </c>
      <c r="F42" s="1">
        <v>0.2</v>
      </c>
      <c r="G42" s="3">
        <v>380</v>
      </c>
      <c r="H42" s="3">
        <f t="shared" si="1"/>
        <v>76</v>
      </c>
      <c r="I42" s="3"/>
      <c r="J42" s="1">
        <v>9.8</v>
      </c>
      <c r="K42" s="1" t="s">
        <v>25</v>
      </c>
    </row>
    <row r="43" customHeight="1" spans="1:11">
      <c r="A43" s="3">
        <v>89</v>
      </c>
      <c r="B43" s="1" t="s">
        <v>40</v>
      </c>
      <c r="C43" s="1" t="s">
        <v>21</v>
      </c>
      <c r="D43" s="3"/>
      <c r="E43" s="1" t="s">
        <v>13</v>
      </c>
      <c r="F43" s="1">
        <v>0.04</v>
      </c>
      <c r="G43" s="3">
        <v>380</v>
      </c>
      <c r="H43" s="3">
        <f t="shared" si="1"/>
        <v>15.2</v>
      </c>
      <c r="I43" s="3"/>
      <c r="J43" s="1">
        <v>9.8</v>
      </c>
    </row>
    <row r="44" customHeight="1" spans="1:11">
      <c r="A44" s="3">
        <v>91</v>
      </c>
      <c r="B44" s="1" t="s">
        <v>40</v>
      </c>
      <c r="C44" s="1" t="s">
        <v>21</v>
      </c>
      <c r="D44" s="3"/>
      <c r="E44" s="1" t="s">
        <v>13</v>
      </c>
      <c r="F44" s="1">
        <v>0.58</v>
      </c>
      <c r="G44" s="3">
        <v>380</v>
      </c>
      <c r="H44" s="3">
        <f t="shared" si="1"/>
        <v>220.4</v>
      </c>
      <c r="I44" s="3"/>
      <c r="J44" s="1">
        <v>9.8</v>
      </c>
    </row>
    <row r="45" customHeight="1" spans="1:11">
      <c r="A45" s="3">
        <v>92</v>
      </c>
      <c r="B45" s="1" t="s">
        <v>48</v>
      </c>
      <c r="C45" s="1" t="s">
        <v>21</v>
      </c>
      <c r="D45" s="3"/>
      <c r="E45" s="1" t="s">
        <v>13</v>
      </c>
      <c r="F45" s="1">
        <v>0.03</v>
      </c>
      <c r="G45" s="3">
        <v>380</v>
      </c>
      <c r="H45" s="3">
        <f t="shared" si="1"/>
        <v>11.4</v>
      </c>
      <c r="I45" s="3"/>
      <c r="J45" s="1">
        <v>9.8</v>
      </c>
      <c r="K45" s="1" t="s">
        <v>25</v>
      </c>
    </row>
    <row r="46" customHeight="1" spans="1:11">
      <c r="A46" s="3">
        <v>93</v>
      </c>
      <c r="B46" s="1" t="s">
        <v>49</v>
      </c>
      <c r="C46" s="1" t="s">
        <v>21</v>
      </c>
      <c r="D46" s="3"/>
      <c r="E46" s="1" t="s">
        <v>13</v>
      </c>
      <c r="F46" s="1">
        <v>0.64</v>
      </c>
      <c r="G46" s="3">
        <v>380</v>
      </c>
      <c r="H46" s="3">
        <f t="shared" si="1"/>
        <v>243.2</v>
      </c>
      <c r="I46" s="3"/>
      <c r="J46" s="1">
        <v>9.8</v>
      </c>
    </row>
    <row r="47" customHeight="1" spans="1:11">
      <c r="A47" s="3">
        <v>94</v>
      </c>
      <c r="B47" s="1" t="s">
        <v>27</v>
      </c>
      <c r="C47" s="1" t="s">
        <v>21</v>
      </c>
      <c r="D47" s="3"/>
      <c r="E47" s="1" t="s">
        <v>13</v>
      </c>
      <c r="F47" s="1">
        <v>0.04</v>
      </c>
      <c r="G47" s="3">
        <v>380</v>
      </c>
      <c r="H47" s="3">
        <f t="shared" si="1"/>
        <v>15.2</v>
      </c>
      <c r="I47" s="3"/>
      <c r="J47" s="1">
        <v>9.8</v>
      </c>
    </row>
    <row r="48" customHeight="1" spans="1:11">
      <c r="A48" s="3">
        <v>95</v>
      </c>
      <c r="B48" s="1" t="s">
        <v>41</v>
      </c>
      <c r="C48" s="1" t="s">
        <v>21</v>
      </c>
      <c r="D48" s="3"/>
      <c r="E48" s="1" t="s">
        <v>13</v>
      </c>
      <c r="F48" s="1">
        <v>0.14</v>
      </c>
      <c r="G48" s="3">
        <v>380</v>
      </c>
      <c r="H48" s="3">
        <f t="shared" si="1"/>
        <v>53.2</v>
      </c>
      <c r="I48" s="3"/>
      <c r="J48" s="1">
        <v>9.8</v>
      </c>
    </row>
    <row r="49" customHeight="1" spans="1:11">
      <c r="A49" s="3">
        <v>96</v>
      </c>
      <c r="B49" s="1" t="s">
        <v>43</v>
      </c>
      <c r="C49" s="1" t="s">
        <v>21</v>
      </c>
      <c r="D49" s="3"/>
      <c r="E49" s="1" t="s">
        <v>13</v>
      </c>
      <c r="F49" s="1">
        <v>0.05</v>
      </c>
      <c r="G49" s="3">
        <v>380</v>
      </c>
      <c r="H49" s="3">
        <f t="shared" si="1"/>
        <v>19</v>
      </c>
      <c r="I49" s="3"/>
      <c r="J49" s="1">
        <v>9.8</v>
      </c>
      <c r="K49" s="1" t="s">
        <v>25</v>
      </c>
    </row>
    <row r="50" customHeight="1" spans="1:11">
      <c r="A50" s="3">
        <v>97</v>
      </c>
      <c r="B50" s="22" t="s">
        <v>50</v>
      </c>
      <c r="C50" s="1" t="s">
        <v>21</v>
      </c>
      <c r="D50" s="3"/>
      <c r="E50" s="1" t="s">
        <v>13</v>
      </c>
      <c r="F50" s="1">
        <v>0.13</v>
      </c>
      <c r="G50" s="3">
        <v>380</v>
      </c>
      <c r="H50" s="3">
        <f t="shared" si="1"/>
        <v>49.4</v>
      </c>
      <c r="I50" s="3"/>
      <c r="J50" s="1">
        <v>9.8</v>
      </c>
      <c r="K50" s="1" t="s">
        <v>25</v>
      </c>
    </row>
    <row r="51" customHeight="1" spans="1:11">
      <c r="A51" s="3">
        <v>98</v>
      </c>
      <c r="B51" s="1" t="s">
        <v>51</v>
      </c>
      <c r="C51" s="1" t="s">
        <v>21</v>
      </c>
      <c r="D51" s="3"/>
      <c r="E51" s="1" t="s">
        <v>13</v>
      </c>
      <c r="F51" s="1">
        <v>0.18</v>
      </c>
      <c r="G51" s="3">
        <v>380</v>
      </c>
      <c r="H51" s="3">
        <f t="shared" si="1"/>
        <v>68.4</v>
      </c>
      <c r="I51" s="3"/>
      <c r="J51" s="1">
        <v>9.8</v>
      </c>
      <c r="K51" s="1" t="s">
        <v>25</v>
      </c>
    </row>
    <row r="52" customHeight="1" spans="1:11">
      <c r="A52" s="3">
        <v>99</v>
      </c>
      <c r="B52" s="1" t="s">
        <v>40</v>
      </c>
      <c r="C52" s="1" t="s">
        <v>21</v>
      </c>
      <c r="D52" s="3"/>
      <c r="E52" s="1" t="s">
        <v>13</v>
      </c>
      <c r="F52" s="1">
        <v>0.29</v>
      </c>
      <c r="G52" s="3">
        <v>380</v>
      </c>
      <c r="H52" s="3">
        <f t="shared" si="1"/>
        <v>110.2</v>
      </c>
      <c r="I52" s="3"/>
      <c r="J52" s="1">
        <v>9.8</v>
      </c>
    </row>
    <row r="53" customHeight="1" spans="1:11">
      <c r="A53" s="3">
        <v>100</v>
      </c>
      <c r="B53" s="1" t="s">
        <v>41</v>
      </c>
      <c r="C53" s="1" t="s">
        <v>21</v>
      </c>
      <c r="D53" s="3"/>
      <c r="E53" s="1" t="s">
        <v>13</v>
      </c>
      <c r="F53" s="1">
        <v>0.51</v>
      </c>
      <c r="G53" s="3">
        <v>380</v>
      </c>
      <c r="H53" s="3">
        <f t="shared" si="1"/>
        <v>193.8</v>
      </c>
      <c r="I53" s="3"/>
      <c r="J53" s="1">
        <v>9.8</v>
      </c>
    </row>
    <row r="54" customHeight="1" spans="1:11">
      <c r="A54" s="3">
        <v>101</v>
      </c>
      <c r="B54" s="1" t="s">
        <v>42</v>
      </c>
      <c r="C54" s="1" t="s">
        <v>21</v>
      </c>
      <c r="D54" s="3"/>
      <c r="E54" s="1" t="s">
        <v>13</v>
      </c>
      <c r="F54" s="1">
        <v>0.14</v>
      </c>
      <c r="G54" s="3">
        <v>380</v>
      </c>
      <c r="H54" s="3">
        <f t="shared" si="1"/>
        <v>53.2</v>
      </c>
      <c r="I54" s="3"/>
      <c r="J54" s="1">
        <v>9.8</v>
      </c>
      <c r="K54" s="1" t="s">
        <v>25</v>
      </c>
    </row>
    <row r="55" customHeight="1" spans="1:11">
      <c r="A55" s="3">
        <v>102</v>
      </c>
      <c r="B55" s="1" t="s">
        <v>49</v>
      </c>
      <c r="C55" s="1" t="s">
        <v>21</v>
      </c>
      <c r="D55" s="3"/>
      <c r="E55" s="1" t="s">
        <v>13</v>
      </c>
      <c r="F55" s="1">
        <v>0.15</v>
      </c>
      <c r="G55" s="3">
        <v>380</v>
      </c>
      <c r="H55" s="3">
        <f t="shared" si="1"/>
        <v>57</v>
      </c>
      <c r="I55" s="3"/>
      <c r="J55" s="1">
        <v>9.8</v>
      </c>
    </row>
    <row r="56" customHeight="1" spans="1:11">
      <c r="A56" s="3">
        <v>103</v>
      </c>
      <c r="B56" s="1" t="s">
        <v>27</v>
      </c>
      <c r="C56" s="1" t="s">
        <v>21</v>
      </c>
      <c r="D56" s="3"/>
      <c r="E56" s="1" t="s">
        <v>13</v>
      </c>
      <c r="F56" s="1">
        <v>0.52</v>
      </c>
      <c r="G56" s="3">
        <v>380</v>
      </c>
      <c r="H56" s="3">
        <f t="shared" si="1"/>
        <v>197.6</v>
      </c>
      <c r="I56" s="3"/>
      <c r="J56" s="1">
        <v>9.8</v>
      </c>
    </row>
    <row r="57" customHeight="1" spans="1:11">
      <c r="A57" s="3">
        <v>104</v>
      </c>
      <c r="B57" s="1" t="s">
        <v>30</v>
      </c>
      <c r="C57" s="1" t="s">
        <v>21</v>
      </c>
      <c r="D57" s="3"/>
      <c r="E57" s="1" t="s">
        <v>13</v>
      </c>
      <c r="F57" s="1">
        <v>0.03</v>
      </c>
      <c r="G57" s="3">
        <v>380</v>
      </c>
      <c r="H57" s="3">
        <f t="shared" si="1"/>
        <v>11.4</v>
      </c>
      <c r="I57" s="3"/>
      <c r="J57" s="1">
        <v>9.8</v>
      </c>
      <c r="K57" s="1" t="s">
        <v>25</v>
      </c>
    </row>
    <row r="58" customHeight="1" spans="1:11">
      <c r="A58" s="3">
        <v>105</v>
      </c>
      <c r="B58" s="1" t="s">
        <v>52</v>
      </c>
      <c r="C58" s="1" t="s">
        <v>21</v>
      </c>
      <c r="D58" s="3"/>
      <c r="E58" s="1" t="s">
        <v>13</v>
      </c>
      <c r="F58" s="1">
        <v>0.02</v>
      </c>
      <c r="G58" s="3">
        <v>380</v>
      </c>
      <c r="H58" s="3">
        <f t="shared" si="1"/>
        <v>7.6</v>
      </c>
      <c r="I58" s="3"/>
      <c r="J58" s="1">
        <v>9.8</v>
      </c>
      <c r="K58" s="1" t="s">
        <v>25</v>
      </c>
    </row>
    <row r="59" customHeight="1" spans="1:11">
      <c r="A59" s="3">
        <v>106</v>
      </c>
      <c r="B59" s="1" t="s">
        <v>27</v>
      </c>
      <c r="C59" s="1" t="s">
        <v>21</v>
      </c>
      <c r="D59" s="3"/>
      <c r="E59" s="1" t="s">
        <v>13</v>
      </c>
      <c r="F59" s="1">
        <v>0.07</v>
      </c>
      <c r="G59" s="3">
        <v>380</v>
      </c>
      <c r="H59" s="3">
        <f t="shared" si="1"/>
        <v>26.6</v>
      </c>
      <c r="I59" s="3"/>
      <c r="J59" s="1">
        <v>9.8</v>
      </c>
    </row>
    <row r="60" customHeight="1" spans="1:11">
      <c r="A60" s="3">
        <v>107</v>
      </c>
      <c r="B60" s="1" t="s">
        <v>20</v>
      </c>
      <c r="C60" s="1" t="s">
        <v>21</v>
      </c>
      <c r="D60" s="3"/>
      <c r="E60" s="1" t="s">
        <v>22</v>
      </c>
      <c r="F60" s="1">
        <v>0.05</v>
      </c>
      <c r="G60" s="3">
        <v>380</v>
      </c>
      <c r="H60" s="3">
        <f t="shared" si="1"/>
        <v>19</v>
      </c>
      <c r="I60" s="3"/>
      <c r="J60" s="1">
        <v>9.8</v>
      </c>
      <c r="K60" s="1" t="s">
        <v>23</v>
      </c>
    </row>
    <row r="61" customHeight="1" spans="1:11">
      <c r="A61" s="3">
        <v>108</v>
      </c>
      <c r="B61" s="1" t="s">
        <v>53</v>
      </c>
      <c r="C61" s="1" t="s">
        <v>21</v>
      </c>
      <c r="D61" s="3"/>
      <c r="E61" s="1" t="s">
        <v>13</v>
      </c>
      <c r="F61" s="1">
        <v>0.25</v>
      </c>
      <c r="G61" s="3">
        <v>380</v>
      </c>
      <c r="H61" s="3">
        <f t="shared" si="1"/>
        <v>95</v>
      </c>
      <c r="I61" s="3"/>
      <c r="J61" s="1">
        <v>9.8</v>
      </c>
      <c r="K61" s="1" t="s">
        <v>25</v>
      </c>
    </row>
    <row r="62" customHeight="1" spans="1:11">
      <c r="A62" s="3">
        <v>109</v>
      </c>
      <c r="B62" s="1" t="s">
        <v>27</v>
      </c>
      <c r="C62" s="1" t="s">
        <v>21</v>
      </c>
      <c r="D62" s="3"/>
      <c r="E62" s="1" t="s">
        <v>13</v>
      </c>
      <c r="F62" s="1">
        <v>1.45</v>
      </c>
      <c r="G62" s="3">
        <v>380</v>
      </c>
      <c r="H62" s="3">
        <f t="shared" si="1"/>
        <v>551</v>
      </c>
      <c r="I62" s="3"/>
      <c r="J62" s="1">
        <v>9.8</v>
      </c>
    </row>
    <row r="63" customHeight="1" spans="1:11">
      <c r="A63" s="3">
        <v>110</v>
      </c>
      <c r="B63" s="1" t="s">
        <v>54</v>
      </c>
      <c r="C63" s="1" t="s">
        <v>21</v>
      </c>
      <c r="D63" s="3"/>
      <c r="E63" s="1" t="s">
        <v>13</v>
      </c>
      <c r="F63" s="1">
        <v>0.34</v>
      </c>
      <c r="G63" s="3">
        <v>380</v>
      </c>
      <c r="H63" s="3">
        <f t="shared" si="1"/>
        <v>129.2</v>
      </c>
      <c r="I63" s="3"/>
      <c r="J63" s="1">
        <v>9.8</v>
      </c>
    </row>
    <row r="64" customHeight="1" spans="1:11">
      <c r="A64" s="3">
        <v>111</v>
      </c>
      <c r="B64" s="1" t="s">
        <v>55</v>
      </c>
      <c r="C64" s="1" t="s">
        <v>21</v>
      </c>
      <c r="D64" s="3"/>
      <c r="E64" s="1" t="s">
        <v>13</v>
      </c>
      <c r="F64" s="1">
        <v>0.25</v>
      </c>
      <c r="G64" s="3">
        <v>380</v>
      </c>
      <c r="H64" s="3">
        <f t="shared" si="1"/>
        <v>95</v>
      </c>
      <c r="I64" s="3"/>
      <c r="J64" s="1">
        <v>9.8</v>
      </c>
    </row>
    <row r="65" customHeight="1" spans="1:11">
      <c r="A65" s="3">
        <v>112</v>
      </c>
      <c r="B65" s="1" t="s">
        <v>56</v>
      </c>
      <c r="C65" s="1" t="s">
        <v>21</v>
      </c>
      <c r="D65" s="3"/>
      <c r="E65" s="1" t="s">
        <v>13</v>
      </c>
      <c r="F65" s="1">
        <v>0.19</v>
      </c>
      <c r="G65" s="3">
        <v>380</v>
      </c>
      <c r="H65" s="3">
        <f t="shared" si="1"/>
        <v>72.2</v>
      </c>
      <c r="I65" s="3"/>
      <c r="J65" s="1">
        <v>9.8</v>
      </c>
    </row>
    <row r="66" customHeight="1" spans="1:11">
      <c r="A66" s="3">
        <v>113</v>
      </c>
      <c r="B66" s="1" t="s">
        <v>57</v>
      </c>
      <c r="C66" s="1" t="s">
        <v>21</v>
      </c>
      <c r="D66" s="3"/>
      <c r="E66" s="1" t="s">
        <v>22</v>
      </c>
      <c r="F66" s="1">
        <v>0.5</v>
      </c>
      <c r="G66" s="3">
        <v>480</v>
      </c>
      <c r="H66" s="3">
        <f t="shared" si="1"/>
        <v>240</v>
      </c>
      <c r="I66" s="3"/>
      <c r="J66" s="1">
        <v>9.8</v>
      </c>
      <c r="K66" s="1" t="s">
        <v>25</v>
      </c>
    </row>
    <row r="67" customHeight="1" spans="1:11">
      <c r="A67" s="3">
        <v>115</v>
      </c>
      <c r="B67" s="1" t="s">
        <v>53</v>
      </c>
      <c r="C67" s="1" t="s">
        <v>21</v>
      </c>
      <c r="D67" s="3"/>
      <c r="E67" s="1" t="s">
        <v>22</v>
      </c>
      <c r="F67" s="1">
        <v>1.05</v>
      </c>
      <c r="G67" s="3">
        <v>480</v>
      </c>
      <c r="H67" s="3">
        <f t="shared" si="1"/>
        <v>504</v>
      </c>
      <c r="I67" s="3"/>
      <c r="J67" s="1">
        <v>9.8</v>
      </c>
      <c r="K67" s="1" t="s">
        <v>25</v>
      </c>
    </row>
    <row r="68" customHeight="1" spans="1:11">
      <c r="A68" s="3">
        <v>116</v>
      </c>
      <c r="B68" s="1" t="s">
        <v>30</v>
      </c>
      <c r="C68" s="1" t="s">
        <v>21</v>
      </c>
      <c r="D68" s="3"/>
      <c r="E68" s="1" t="s">
        <v>22</v>
      </c>
      <c r="F68" s="1">
        <v>0.63</v>
      </c>
      <c r="G68" s="3">
        <v>480</v>
      </c>
      <c r="H68" s="3">
        <f t="shared" si="1"/>
        <v>302.4</v>
      </c>
      <c r="I68" s="3"/>
      <c r="J68" s="1">
        <v>9.8</v>
      </c>
      <c r="K68" s="1" t="s">
        <v>25</v>
      </c>
    </row>
    <row r="69" customHeight="1" spans="1:11">
      <c r="A69" s="3">
        <v>117</v>
      </c>
      <c r="B69" s="1" t="s">
        <v>58</v>
      </c>
      <c r="C69" s="1" t="s">
        <v>21</v>
      </c>
      <c r="D69" s="3"/>
      <c r="E69" s="1" t="s">
        <v>22</v>
      </c>
      <c r="F69" s="1">
        <v>0.2</v>
      </c>
      <c r="G69" s="3">
        <v>480</v>
      </c>
      <c r="H69" s="3">
        <f t="shared" ref="H69:H132" si="2">G69*F69</f>
        <v>96</v>
      </c>
      <c r="I69" s="3"/>
      <c r="J69" s="1">
        <v>9.8</v>
      </c>
      <c r="K69" s="1" t="s">
        <v>25</v>
      </c>
    </row>
    <row r="70" customHeight="1" spans="1:11">
      <c r="A70" s="3">
        <v>118</v>
      </c>
      <c r="B70" s="1" t="s">
        <v>59</v>
      </c>
      <c r="C70" s="1" t="s">
        <v>11</v>
      </c>
      <c r="D70" s="3"/>
      <c r="E70" s="1" t="s">
        <v>22</v>
      </c>
      <c r="F70" s="1">
        <v>0.52</v>
      </c>
      <c r="G70" s="3">
        <v>480</v>
      </c>
      <c r="H70" s="3">
        <f t="shared" si="2"/>
        <v>249.6</v>
      </c>
      <c r="I70" s="3"/>
      <c r="J70" s="1">
        <v>9.8</v>
      </c>
    </row>
    <row r="71" customHeight="1" spans="1:11">
      <c r="A71" s="3">
        <v>119</v>
      </c>
      <c r="B71" s="1" t="s">
        <v>60</v>
      </c>
      <c r="C71" s="1" t="s">
        <v>11</v>
      </c>
      <c r="D71" s="3"/>
      <c r="E71" s="1" t="s">
        <v>22</v>
      </c>
      <c r="F71" s="1">
        <v>0.25</v>
      </c>
      <c r="G71" s="3">
        <v>480</v>
      </c>
      <c r="H71" s="3">
        <f t="shared" si="2"/>
        <v>120</v>
      </c>
      <c r="I71" s="3"/>
      <c r="J71" s="1">
        <v>9.8</v>
      </c>
    </row>
    <row r="72" customHeight="1" spans="1:11">
      <c r="A72" s="3">
        <v>120</v>
      </c>
      <c r="B72" s="1" t="s">
        <v>61</v>
      </c>
      <c r="C72" s="1" t="s">
        <v>11</v>
      </c>
      <c r="D72" s="3"/>
      <c r="E72" s="1" t="s">
        <v>22</v>
      </c>
      <c r="F72" s="1">
        <v>0.11</v>
      </c>
      <c r="G72" s="3">
        <v>480</v>
      </c>
      <c r="H72" s="3">
        <f t="shared" si="2"/>
        <v>52.8</v>
      </c>
      <c r="I72" s="3"/>
      <c r="J72" s="1">
        <v>9.8</v>
      </c>
    </row>
    <row r="73" customHeight="1" spans="1:11">
      <c r="A73" s="3">
        <v>121</v>
      </c>
      <c r="B73" s="1" t="s">
        <v>62</v>
      </c>
      <c r="C73" s="1" t="s">
        <v>11</v>
      </c>
      <c r="D73" s="3"/>
      <c r="E73" s="1" t="s">
        <v>22</v>
      </c>
      <c r="F73" s="1">
        <v>0.41</v>
      </c>
      <c r="G73" s="3">
        <v>480</v>
      </c>
      <c r="H73" s="3">
        <f t="shared" si="2"/>
        <v>196.8</v>
      </c>
      <c r="I73" s="3"/>
      <c r="J73" s="1">
        <v>9.8</v>
      </c>
    </row>
    <row r="74" customHeight="1" spans="1:11">
      <c r="A74" s="3">
        <v>122</v>
      </c>
      <c r="B74" s="1" t="s">
        <v>63</v>
      </c>
      <c r="C74" s="1" t="s">
        <v>11</v>
      </c>
      <c r="D74" s="3"/>
      <c r="E74" s="1" t="s">
        <v>22</v>
      </c>
      <c r="F74" s="1">
        <v>0.45</v>
      </c>
      <c r="G74" s="3">
        <v>480</v>
      </c>
      <c r="H74" s="3">
        <f t="shared" si="2"/>
        <v>216</v>
      </c>
      <c r="I74" s="3"/>
      <c r="J74" s="1">
        <v>9.8</v>
      </c>
    </row>
    <row r="75" customHeight="1" spans="1:11">
      <c r="A75" s="3">
        <v>123</v>
      </c>
      <c r="B75" s="1" t="s">
        <v>14</v>
      </c>
      <c r="C75" s="1" t="s">
        <v>11</v>
      </c>
      <c r="D75" s="3"/>
      <c r="E75" s="1" t="s">
        <v>22</v>
      </c>
      <c r="F75" s="1">
        <v>0.6</v>
      </c>
      <c r="G75" s="3">
        <v>480</v>
      </c>
      <c r="H75" s="3">
        <f t="shared" si="2"/>
        <v>288</v>
      </c>
      <c r="I75" s="3"/>
      <c r="J75" s="1">
        <v>9.8</v>
      </c>
    </row>
    <row r="76" customHeight="1" spans="1:11">
      <c r="A76" s="3">
        <v>124</v>
      </c>
      <c r="B76" s="1" t="s">
        <v>64</v>
      </c>
      <c r="C76" s="1" t="s">
        <v>21</v>
      </c>
      <c r="D76" s="3"/>
      <c r="E76" s="1" t="s">
        <v>22</v>
      </c>
      <c r="F76" s="1">
        <v>0.69</v>
      </c>
      <c r="G76" s="3">
        <v>480</v>
      </c>
      <c r="H76" s="3">
        <f t="shared" si="2"/>
        <v>331.2</v>
      </c>
      <c r="I76" s="3"/>
      <c r="J76" s="1">
        <v>9.8</v>
      </c>
    </row>
    <row r="77" customHeight="1" spans="1:11">
      <c r="A77" s="3">
        <v>125</v>
      </c>
      <c r="B77" s="1" t="s">
        <v>58</v>
      </c>
      <c r="C77" s="1" t="s">
        <v>21</v>
      </c>
      <c r="D77" s="3"/>
      <c r="E77" s="1" t="s">
        <v>22</v>
      </c>
      <c r="F77" s="1">
        <v>0.74</v>
      </c>
      <c r="G77" s="3">
        <v>480</v>
      </c>
      <c r="H77" s="3">
        <f t="shared" si="2"/>
        <v>355.2</v>
      </c>
      <c r="I77" s="3"/>
      <c r="J77" s="1">
        <v>9.8</v>
      </c>
      <c r="K77" s="1" t="s">
        <v>25</v>
      </c>
    </row>
    <row r="78" customHeight="1" spans="1:11">
      <c r="A78" s="3">
        <v>126</v>
      </c>
      <c r="B78" s="1" t="s">
        <v>30</v>
      </c>
      <c r="C78" s="1" t="s">
        <v>21</v>
      </c>
      <c r="D78" s="3"/>
      <c r="E78" s="1" t="s">
        <v>22</v>
      </c>
      <c r="F78" s="1">
        <v>1</v>
      </c>
      <c r="G78" s="3">
        <v>480</v>
      </c>
      <c r="H78" s="3">
        <f t="shared" si="2"/>
        <v>480</v>
      </c>
      <c r="I78" s="3"/>
      <c r="J78" s="1">
        <v>9.8</v>
      </c>
      <c r="K78" s="1" t="s">
        <v>25</v>
      </c>
    </row>
    <row r="79" customHeight="1" spans="1:11">
      <c r="A79" s="3">
        <v>127</v>
      </c>
      <c r="B79" s="1" t="s">
        <v>64</v>
      </c>
      <c r="C79" s="1" t="s">
        <v>21</v>
      </c>
      <c r="D79" s="3"/>
      <c r="E79" s="1" t="s">
        <v>22</v>
      </c>
      <c r="F79" s="1">
        <v>0.9</v>
      </c>
      <c r="G79" s="3">
        <v>480</v>
      </c>
      <c r="H79" s="3">
        <f t="shared" si="2"/>
        <v>432</v>
      </c>
      <c r="I79" s="3"/>
      <c r="J79" s="1">
        <v>9.8</v>
      </c>
    </row>
    <row r="80" customHeight="1" spans="1:11">
      <c r="A80" s="3">
        <v>128</v>
      </c>
      <c r="B80" s="1" t="s">
        <v>27</v>
      </c>
      <c r="C80" s="1" t="s">
        <v>21</v>
      </c>
      <c r="D80" s="3"/>
      <c r="E80" s="1" t="s">
        <v>22</v>
      </c>
      <c r="F80" s="1">
        <v>0.18</v>
      </c>
      <c r="G80" s="3">
        <v>480</v>
      </c>
      <c r="H80" s="3">
        <f t="shared" si="2"/>
        <v>86.4</v>
      </c>
      <c r="I80" s="3"/>
      <c r="J80" s="1">
        <v>9.8</v>
      </c>
    </row>
    <row r="81" customHeight="1" spans="1:11">
      <c r="A81" s="3">
        <v>130</v>
      </c>
      <c r="B81" s="1" t="s">
        <v>65</v>
      </c>
      <c r="C81" s="1" t="s">
        <v>21</v>
      </c>
      <c r="D81" s="3"/>
      <c r="E81" s="1" t="s">
        <v>22</v>
      </c>
      <c r="F81" s="1">
        <v>0.41</v>
      </c>
      <c r="G81" s="3">
        <v>480</v>
      </c>
      <c r="H81" s="3">
        <f t="shared" si="2"/>
        <v>196.8</v>
      </c>
      <c r="I81" s="3"/>
      <c r="J81" s="1">
        <v>9.8</v>
      </c>
      <c r="K81" s="1" t="s">
        <v>25</v>
      </c>
    </row>
    <row r="82" customHeight="1" spans="1:11">
      <c r="A82" s="3">
        <v>131</v>
      </c>
      <c r="B82" s="1" t="s">
        <v>27</v>
      </c>
      <c r="C82" s="1" t="s">
        <v>21</v>
      </c>
      <c r="D82" s="3"/>
      <c r="E82" s="1" t="s">
        <v>22</v>
      </c>
      <c r="F82" s="1">
        <v>1.01</v>
      </c>
      <c r="G82" s="3">
        <v>480</v>
      </c>
      <c r="H82" s="3">
        <f t="shared" si="2"/>
        <v>484.8</v>
      </c>
      <c r="I82" s="3"/>
      <c r="J82" s="1">
        <v>9.8</v>
      </c>
    </row>
    <row r="83" customHeight="1" spans="1:11">
      <c r="A83" s="3">
        <v>132</v>
      </c>
      <c r="B83" s="1" t="s">
        <v>66</v>
      </c>
      <c r="C83" s="1" t="s">
        <v>21</v>
      </c>
      <c r="D83" s="3"/>
      <c r="E83" s="1" t="s">
        <v>22</v>
      </c>
      <c r="F83" s="1">
        <v>0.26</v>
      </c>
      <c r="G83" s="3">
        <v>480</v>
      </c>
      <c r="H83" s="3">
        <f t="shared" si="2"/>
        <v>124.8</v>
      </c>
      <c r="I83" s="3"/>
      <c r="J83" s="1">
        <v>9.8</v>
      </c>
    </row>
    <row r="84" customHeight="1" spans="1:11">
      <c r="A84" s="3">
        <v>133</v>
      </c>
      <c r="B84" s="1" t="s">
        <v>67</v>
      </c>
      <c r="C84" s="1" t="s">
        <v>21</v>
      </c>
      <c r="D84" s="3"/>
      <c r="E84" s="1" t="s">
        <v>22</v>
      </c>
      <c r="F84" s="1">
        <v>0.28</v>
      </c>
      <c r="G84" s="3">
        <v>480</v>
      </c>
      <c r="H84" s="3">
        <f t="shared" si="2"/>
        <v>134.4</v>
      </c>
      <c r="I84" s="3"/>
      <c r="J84" s="1">
        <v>9.8</v>
      </c>
      <c r="K84" s="1" t="s">
        <v>25</v>
      </c>
    </row>
    <row r="85" customHeight="1" spans="1:11">
      <c r="A85" s="3">
        <v>134</v>
      </c>
      <c r="B85" s="1" t="s">
        <v>68</v>
      </c>
      <c r="C85" s="1" t="s">
        <v>21</v>
      </c>
      <c r="D85" s="3"/>
      <c r="E85" s="1" t="s">
        <v>22</v>
      </c>
      <c r="F85" s="1">
        <v>0.2</v>
      </c>
      <c r="G85" s="3">
        <v>480</v>
      </c>
      <c r="H85" s="3">
        <f t="shared" si="2"/>
        <v>96</v>
      </c>
      <c r="I85" s="3"/>
      <c r="J85" s="1">
        <v>9.8</v>
      </c>
    </row>
    <row r="86" customHeight="1" spans="1:11">
      <c r="A86" s="3">
        <v>135</v>
      </c>
      <c r="B86" s="1" t="s">
        <v>69</v>
      </c>
      <c r="C86" s="1" t="s">
        <v>21</v>
      </c>
      <c r="D86" s="3"/>
      <c r="E86" s="1" t="s">
        <v>22</v>
      </c>
      <c r="F86" s="1">
        <v>0.08</v>
      </c>
      <c r="G86" s="3">
        <v>480</v>
      </c>
      <c r="H86" s="3">
        <f t="shared" si="2"/>
        <v>38.4</v>
      </c>
      <c r="I86" s="3"/>
      <c r="J86" s="1">
        <v>9.8</v>
      </c>
    </row>
    <row r="87" customHeight="1" spans="1:11">
      <c r="A87" s="3">
        <v>136</v>
      </c>
      <c r="B87" s="1" t="s">
        <v>70</v>
      </c>
      <c r="C87" s="1" t="s">
        <v>21</v>
      </c>
      <c r="D87" s="3"/>
      <c r="E87" s="1" t="s">
        <v>22</v>
      </c>
      <c r="F87" s="1">
        <v>0.1</v>
      </c>
      <c r="G87" s="3">
        <v>480</v>
      </c>
      <c r="H87" s="3">
        <f t="shared" si="2"/>
        <v>48</v>
      </c>
      <c r="I87" s="3"/>
      <c r="J87" s="1">
        <v>9.8</v>
      </c>
      <c r="K87" s="1" t="s">
        <v>25</v>
      </c>
    </row>
    <row r="88" customHeight="1" spans="1:11">
      <c r="A88" s="3">
        <v>137</v>
      </c>
      <c r="B88" s="1" t="s">
        <v>71</v>
      </c>
      <c r="C88" s="1" t="s">
        <v>21</v>
      </c>
      <c r="D88" s="3"/>
      <c r="E88" s="1" t="s">
        <v>22</v>
      </c>
      <c r="F88" s="1">
        <v>0.26</v>
      </c>
      <c r="G88" s="3">
        <v>480</v>
      </c>
      <c r="H88" s="3">
        <f t="shared" si="2"/>
        <v>124.8</v>
      </c>
      <c r="I88" s="3"/>
      <c r="J88" s="1">
        <v>9.8</v>
      </c>
    </row>
    <row r="89" customHeight="1" spans="1:11">
      <c r="A89" s="3">
        <v>138</v>
      </c>
      <c r="B89" s="1" t="s">
        <v>72</v>
      </c>
      <c r="C89" s="1" t="s">
        <v>21</v>
      </c>
      <c r="D89" s="3"/>
      <c r="E89" s="1" t="s">
        <v>22</v>
      </c>
      <c r="F89" s="1">
        <v>0.58</v>
      </c>
      <c r="G89" s="3">
        <v>480</v>
      </c>
      <c r="H89" s="3">
        <f t="shared" si="2"/>
        <v>278.4</v>
      </c>
      <c r="I89" s="3"/>
      <c r="J89" s="1">
        <v>9.8</v>
      </c>
    </row>
    <row r="90" customHeight="1" spans="1:11">
      <c r="A90" s="3">
        <v>139</v>
      </c>
      <c r="B90" s="1" t="s">
        <v>53</v>
      </c>
      <c r="C90" s="1" t="s">
        <v>21</v>
      </c>
      <c r="D90" s="3"/>
      <c r="E90" s="1" t="s">
        <v>22</v>
      </c>
      <c r="F90" s="1">
        <v>0.36</v>
      </c>
      <c r="G90" s="3">
        <v>480</v>
      </c>
      <c r="H90" s="3">
        <f t="shared" si="2"/>
        <v>172.8</v>
      </c>
      <c r="I90" s="3"/>
      <c r="J90" s="1">
        <v>9.8</v>
      </c>
      <c r="K90" s="1" t="s">
        <v>25</v>
      </c>
    </row>
    <row r="91" customHeight="1" spans="1:11">
      <c r="A91" s="3">
        <v>140</v>
      </c>
      <c r="B91" s="1" t="s">
        <v>73</v>
      </c>
      <c r="C91" s="1" t="s">
        <v>21</v>
      </c>
      <c r="D91" s="3"/>
      <c r="E91" s="1" t="s">
        <v>22</v>
      </c>
      <c r="F91" s="1">
        <v>0.65</v>
      </c>
      <c r="G91" s="3">
        <v>480</v>
      </c>
      <c r="H91" s="3">
        <f t="shared" si="2"/>
        <v>312</v>
      </c>
      <c r="I91" s="3"/>
      <c r="J91" s="1">
        <v>9.8</v>
      </c>
    </row>
    <row r="92" customHeight="1" spans="1:11">
      <c r="A92" s="3">
        <v>141</v>
      </c>
      <c r="B92" s="1" t="s">
        <v>74</v>
      </c>
      <c r="C92" s="1" t="s">
        <v>21</v>
      </c>
      <c r="D92" s="3"/>
      <c r="E92" s="1" t="s">
        <v>22</v>
      </c>
      <c r="F92" s="1">
        <v>0.4</v>
      </c>
      <c r="G92" s="3">
        <v>480</v>
      </c>
      <c r="H92" s="3">
        <f t="shared" si="2"/>
        <v>192</v>
      </c>
      <c r="I92" s="3"/>
      <c r="J92" s="1">
        <v>9.8</v>
      </c>
    </row>
    <row r="93" customHeight="1" spans="1:11">
      <c r="A93" s="3">
        <v>142</v>
      </c>
      <c r="B93" s="1" t="s">
        <v>75</v>
      </c>
      <c r="C93" s="1" t="s">
        <v>21</v>
      </c>
      <c r="D93" s="3"/>
      <c r="E93" s="1" t="s">
        <v>22</v>
      </c>
      <c r="F93" s="1">
        <v>0.53</v>
      </c>
      <c r="G93" s="3">
        <v>480</v>
      </c>
      <c r="H93" s="3">
        <f t="shared" si="2"/>
        <v>254.4</v>
      </c>
      <c r="I93" s="3"/>
      <c r="J93" s="1">
        <v>9.8</v>
      </c>
    </row>
    <row r="94" customHeight="1" spans="1:11">
      <c r="A94" s="3">
        <v>143</v>
      </c>
      <c r="B94" s="1" t="s">
        <v>72</v>
      </c>
      <c r="C94" s="1" t="s">
        <v>21</v>
      </c>
      <c r="D94" s="3"/>
      <c r="E94" s="1" t="s">
        <v>22</v>
      </c>
      <c r="F94" s="1">
        <v>0.16</v>
      </c>
      <c r="G94" s="3">
        <v>480</v>
      </c>
      <c r="H94" s="3">
        <f t="shared" si="2"/>
        <v>76.8</v>
      </c>
      <c r="I94" s="3"/>
      <c r="J94" s="1">
        <v>9.8</v>
      </c>
    </row>
    <row r="95" customHeight="1" spans="1:11">
      <c r="A95" s="3">
        <v>144</v>
      </c>
      <c r="B95" s="1" t="s">
        <v>67</v>
      </c>
      <c r="C95" s="1" t="s">
        <v>21</v>
      </c>
      <c r="D95" s="3"/>
      <c r="E95" s="1" t="s">
        <v>22</v>
      </c>
      <c r="F95" s="1">
        <v>0.93</v>
      </c>
      <c r="G95" s="3">
        <v>480</v>
      </c>
      <c r="H95" s="3">
        <f t="shared" si="2"/>
        <v>446.4</v>
      </c>
      <c r="I95" s="3"/>
      <c r="J95" s="1">
        <v>9.8</v>
      </c>
      <c r="K95" s="1" t="s">
        <v>25</v>
      </c>
    </row>
    <row r="96" customHeight="1" spans="1:11">
      <c r="A96" s="3">
        <v>145</v>
      </c>
      <c r="B96" s="1" t="s">
        <v>76</v>
      </c>
      <c r="C96" s="1" t="s">
        <v>21</v>
      </c>
      <c r="D96" s="3"/>
      <c r="E96" s="1" t="s">
        <v>22</v>
      </c>
      <c r="F96" s="1">
        <v>0.47</v>
      </c>
      <c r="G96" s="3">
        <v>480</v>
      </c>
      <c r="H96" s="3">
        <f t="shared" si="2"/>
        <v>225.6</v>
      </c>
      <c r="I96" s="3"/>
      <c r="J96" s="1">
        <v>9.8</v>
      </c>
    </row>
    <row r="97" customHeight="1" spans="1:11">
      <c r="A97" s="3">
        <v>146</v>
      </c>
      <c r="B97" s="1" t="s">
        <v>73</v>
      </c>
      <c r="C97" s="1" t="s">
        <v>21</v>
      </c>
      <c r="D97" s="3"/>
      <c r="E97" s="1" t="s">
        <v>22</v>
      </c>
      <c r="F97" s="1">
        <v>0.36</v>
      </c>
      <c r="G97" s="3">
        <v>480</v>
      </c>
      <c r="H97" s="3">
        <f t="shared" si="2"/>
        <v>172.8</v>
      </c>
      <c r="I97" s="3"/>
      <c r="J97" s="1">
        <v>9.8</v>
      </c>
    </row>
    <row r="98" customHeight="1" spans="1:11">
      <c r="A98" s="3">
        <v>147</v>
      </c>
      <c r="B98" s="3" t="s">
        <v>77</v>
      </c>
      <c r="C98" s="1" t="s">
        <v>21</v>
      </c>
      <c r="D98" s="3"/>
      <c r="E98" s="3" t="s">
        <v>13</v>
      </c>
      <c r="F98" s="3">
        <v>0.56</v>
      </c>
      <c r="G98" s="3">
        <v>380</v>
      </c>
      <c r="H98" s="3">
        <f t="shared" si="2"/>
        <v>212.8</v>
      </c>
      <c r="I98" s="3"/>
      <c r="J98" s="1">
        <v>9.9</v>
      </c>
    </row>
    <row r="99" customHeight="1" spans="1:11">
      <c r="A99" s="3">
        <v>148</v>
      </c>
      <c r="B99" s="3" t="s">
        <v>77</v>
      </c>
      <c r="C99" s="1" t="s">
        <v>21</v>
      </c>
      <c r="D99" s="3"/>
      <c r="E99" s="3" t="s">
        <v>22</v>
      </c>
      <c r="F99" s="3">
        <v>2.42</v>
      </c>
      <c r="G99" s="3">
        <v>480</v>
      </c>
      <c r="H99" s="3">
        <f t="shared" si="2"/>
        <v>1161.6</v>
      </c>
      <c r="I99" s="3"/>
      <c r="J99" s="1">
        <v>9.9</v>
      </c>
    </row>
    <row r="100" customHeight="1" spans="1:11">
      <c r="A100" s="3">
        <v>149</v>
      </c>
      <c r="B100" s="3" t="s">
        <v>78</v>
      </c>
      <c r="C100" s="1" t="s">
        <v>21</v>
      </c>
      <c r="D100" s="3"/>
      <c r="E100" s="3" t="s">
        <v>22</v>
      </c>
      <c r="F100" s="3">
        <v>1.57</v>
      </c>
      <c r="G100" s="3">
        <v>480</v>
      </c>
      <c r="H100" s="3">
        <f t="shared" si="2"/>
        <v>753.6</v>
      </c>
      <c r="I100" s="3"/>
      <c r="J100" s="1">
        <v>9.9</v>
      </c>
    </row>
    <row r="101" customHeight="1" spans="1:11">
      <c r="A101" s="3">
        <v>150</v>
      </c>
      <c r="B101" s="3" t="s">
        <v>78</v>
      </c>
      <c r="C101" s="1" t="s">
        <v>21</v>
      </c>
      <c r="D101" s="3"/>
      <c r="E101" s="3" t="s">
        <v>13</v>
      </c>
      <c r="F101" s="3">
        <v>0.05</v>
      </c>
      <c r="G101" s="3">
        <v>380</v>
      </c>
      <c r="H101" s="3">
        <f t="shared" si="2"/>
        <v>19</v>
      </c>
      <c r="I101" s="3"/>
      <c r="J101" s="1">
        <v>9.9</v>
      </c>
    </row>
    <row r="102" customHeight="1" spans="1:11">
      <c r="A102" s="3">
        <v>151</v>
      </c>
      <c r="B102" s="3" t="s">
        <v>79</v>
      </c>
      <c r="C102" s="1" t="s">
        <v>21</v>
      </c>
      <c r="D102" s="3"/>
      <c r="E102" s="3" t="s">
        <v>22</v>
      </c>
      <c r="F102" s="3">
        <v>0.19</v>
      </c>
      <c r="G102" s="3">
        <v>480</v>
      </c>
      <c r="H102" s="3">
        <f t="shared" si="2"/>
        <v>91.2</v>
      </c>
      <c r="I102" s="3"/>
      <c r="J102" s="1">
        <v>9.9</v>
      </c>
    </row>
    <row r="103" customHeight="1" spans="1:11">
      <c r="A103" s="3">
        <v>152</v>
      </c>
      <c r="B103" s="3" t="s">
        <v>69</v>
      </c>
      <c r="C103" s="1" t="s">
        <v>21</v>
      </c>
      <c r="D103" s="3"/>
      <c r="E103" s="3" t="s">
        <v>22</v>
      </c>
      <c r="F103" s="3">
        <v>0.49</v>
      </c>
      <c r="G103" s="3">
        <v>480</v>
      </c>
      <c r="H103" s="3">
        <f t="shared" si="2"/>
        <v>235.2</v>
      </c>
      <c r="I103" s="3"/>
      <c r="J103" s="1">
        <v>9.9</v>
      </c>
    </row>
    <row r="104" customHeight="1" spans="1:11">
      <c r="A104" s="3">
        <v>153</v>
      </c>
      <c r="B104" s="3" t="s">
        <v>70</v>
      </c>
      <c r="C104" s="1" t="s">
        <v>21</v>
      </c>
      <c r="D104" s="3"/>
      <c r="E104" s="3" t="s">
        <v>22</v>
      </c>
      <c r="F104" s="3">
        <v>0.1</v>
      </c>
      <c r="G104" s="3">
        <v>480</v>
      </c>
      <c r="H104" s="3">
        <f t="shared" si="2"/>
        <v>48</v>
      </c>
      <c r="I104" s="3"/>
      <c r="J104" s="1">
        <v>9.9</v>
      </c>
      <c r="K104" s="1" t="s">
        <v>25</v>
      </c>
    </row>
    <row r="105" customHeight="1" spans="1:11">
      <c r="A105" s="3">
        <v>154</v>
      </c>
      <c r="B105" s="3" t="s">
        <v>80</v>
      </c>
      <c r="C105" s="1" t="s">
        <v>21</v>
      </c>
      <c r="D105" s="3"/>
      <c r="E105" s="3" t="s">
        <v>22</v>
      </c>
      <c r="F105" s="3">
        <v>0.7</v>
      </c>
      <c r="G105" s="3">
        <v>480</v>
      </c>
      <c r="H105" s="3">
        <f t="shared" si="2"/>
        <v>336</v>
      </c>
      <c r="I105" s="3"/>
      <c r="J105" s="1">
        <v>9.9</v>
      </c>
    </row>
    <row r="106" customHeight="1" spans="1:11">
      <c r="A106" s="3">
        <v>155</v>
      </c>
      <c r="B106" s="3" t="s">
        <v>80</v>
      </c>
      <c r="C106" s="1" t="s">
        <v>21</v>
      </c>
      <c r="D106" s="3"/>
      <c r="E106" s="3" t="s">
        <v>13</v>
      </c>
      <c r="F106" s="3">
        <v>1.21</v>
      </c>
      <c r="G106" s="3">
        <v>380</v>
      </c>
      <c r="H106" s="3">
        <f t="shared" si="2"/>
        <v>459.8</v>
      </c>
      <c r="I106" s="3"/>
      <c r="J106" s="1">
        <v>9.9</v>
      </c>
    </row>
    <row r="107" customHeight="1" spans="1:11">
      <c r="A107" s="3">
        <v>156</v>
      </c>
      <c r="B107" s="3" t="s">
        <v>70</v>
      </c>
      <c r="C107" s="1" t="s">
        <v>21</v>
      </c>
      <c r="D107" s="3"/>
      <c r="E107" s="3" t="s">
        <v>22</v>
      </c>
      <c r="F107" s="3">
        <v>0.7</v>
      </c>
      <c r="G107" s="3">
        <v>480</v>
      </c>
      <c r="H107" s="3">
        <f t="shared" si="2"/>
        <v>336</v>
      </c>
      <c r="I107" s="3"/>
      <c r="J107" s="1">
        <v>9.9</v>
      </c>
      <c r="K107" s="1" t="s">
        <v>25</v>
      </c>
    </row>
    <row r="108" customHeight="1" spans="1:11">
      <c r="A108" s="3">
        <v>157</v>
      </c>
      <c r="B108" s="3" t="s">
        <v>67</v>
      </c>
      <c r="C108" s="1" t="s">
        <v>21</v>
      </c>
      <c r="D108" s="3"/>
      <c r="E108" s="3" t="s">
        <v>22</v>
      </c>
      <c r="F108" s="3">
        <v>0.43</v>
      </c>
      <c r="G108" s="3">
        <v>480</v>
      </c>
      <c r="H108" s="3">
        <f t="shared" si="2"/>
        <v>206.4</v>
      </c>
      <c r="I108" s="3"/>
      <c r="J108" s="1">
        <v>9.9</v>
      </c>
      <c r="K108" s="1" t="s">
        <v>25</v>
      </c>
    </row>
    <row r="109" customHeight="1" spans="1:11">
      <c r="A109" s="3">
        <v>158</v>
      </c>
      <c r="B109" s="3" t="s">
        <v>81</v>
      </c>
      <c r="C109" s="1" t="s">
        <v>21</v>
      </c>
      <c r="D109" s="3"/>
      <c r="E109" s="3" t="s">
        <v>13</v>
      </c>
      <c r="F109" s="3">
        <v>0.07</v>
      </c>
      <c r="G109" s="3">
        <v>380</v>
      </c>
      <c r="H109" s="3">
        <f t="shared" si="2"/>
        <v>26.6</v>
      </c>
      <c r="I109" s="3"/>
      <c r="J109" s="1">
        <v>9.9</v>
      </c>
      <c r="K109" s="1" t="s">
        <v>25</v>
      </c>
    </row>
    <row r="110" customHeight="1" spans="1:11">
      <c r="A110" s="3">
        <v>159</v>
      </c>
      <c r="B110" s="3" t="s">
        <v>30</v>
      </c>
      <c r="C110" s="1" t="s">
        <v>21</v>
      </c>
      <c r="D110" s="3"/>
      <c r="E110" s="3" t="s">
        <v>13</v>
      </c>
      <c r="F110" s="3">
        <v>0.07</v>
      </c>
      <c r="G110" s="3">
        <v>380</v>
      </c>
      <c r="H110" s="3">
        <f t="shared" si="2"/>
        <v>26.6</v>
      </c>
      <c r="I110" s="3"/>
      <c r="J110" s="1">
        <v>9.9</v>
      </c>
      <c r="K110" s="1" t="s">
        <v>25</v>
      </c>
    </row>
    <row r="111" customHeight="1" spans="1:11">
      <c r="A111" s="3">
        <v>160</v>
      </c>
      <c r="B111" s="3" t="s">
        <v>82</v>
      </c>
      <c r="C111" s="1" t="s">
        <v>21</v>
      </c>
      <c r="D111" s="3"/>
      <c r="E111" s="3" t="s">
        <v>13</v>
      </c>
      <c r="F111" s="3">
        <v>0.12</v>
      </c>
      <c r="G111" s="3">
        <v>380</v>
      </c>
      <c r="H111" s="3">
        <f t="shared" si="2"/>
        <v>45.6</v>
      </c>
      <c r="I111" s="3"/>
      <c r="J111" s="1">
        <v>9.9</v>
      </c>
    </row>
    <row r="112" customHeight="1" spans="1:11">
      <c r="A112" s="3">
        <v>161</v>
      </c>
      <c r="B112" s="3" t="s">
        <v>83</v>
      </c>
      <c r="C112" s="1" t="s">
        <v>21</v>
      </c>
      <c r="D112" s="3"/>
      <c r="E112" s="3" t="s">
        <v>13</v>
      </c>
      <c r="F112" s="3">
        <v>0.39</v>
      </c>
      <c r="G112" s="3">
        <v>380</v>
      </c>
      <c r="H112" s="3">
        <f t="shared" si="2"/>
        <v>148.2</v>
      </c>
      <c r="I112" s="3"/>
      <c r="J112" s="1">
        <v>9.9</v>
      </c>
    </row>
    <row r="113" customHeight="1" spans="1:11">
      <c r="A113" s="3">
        <v>162</v>
      </c>
      <c r="B113" s="3" t="s">
        <v>84</v>
      </c>
      <c r="C113" s="1" t="s">
        <v>21</v>
      </c>
      <c r="D113" s="3"/>
      <c r="E113" s="3" t="s">
        <v>13</v>
      </c>
      <c r="F113" s="3">
        <v>0.01</v>
      </c>
      <c r="G113" s="3">
        <v>380</v>
      </c>
      <c r="H113" s="3">
        <f t="shared" si="2"/>
        <v>3.8</v>
      </c>
      <c r="I113" s="3"/>
      <c r="J113" s="1">
        <v>9.9</v>
      </c>
    </row>
    <row r="114" customHeight="1" spans="1:11">
      <c r="A114" s="3">
        <v>163</v>
      </c>
      <c r="B114" s="3" t="s">
        <v>65</v>
      </c>
      <c r="C114" s="1" t="s">
        <v>21</v>
      </c>
      <c r="D114" s="3"/>
      <c r="E114" s="3" t="s">
        <v>13</v>
      </c>
      <c r="F114" s="3">
        <v>0.15</v>
      </c>
      <c r="G114" s="3">
        <v>380</v>
      </c>
      <c r="H114" s="3">
        <f t="shared" si="2"/>
        <v>57</v>
      </c>
      <c r="I114" s="3"/>
      <c r="J114" s="1">
        <v>9.9</v>
      </c>
      <c r="K114" s="1" t="s">
        <v>25</v>
      </c>
    </row>
    <row r="115" customHeight="1" spans="1:11">
      <c r="A115" s="3">
        <v>164</v>
      </c>
      <c r="B115" s="3" t="s">
        <v>30</v>
      </c>
      <c r="C115" s="1" t="s">
        <v>21</v>
      </c>
      <c r="D115" s="3"/>
      <c r="E115" s="3" t="s">
        <v>13</v>
      </c>
      <c r="F115" s="3">
        <v>1.25</v>
      </c>
      <c r="G115" s="3">
        <v>380</v>
      </c>
      <c r="H115" s="3">
        <f t="shared" si="2"/>
        <v>475</v>
      </c>
      <c r="I115" s="3"/>
      <c r="J115" s="1">
        <v>9.9</v>
      </c>
      <c r="K115" s="1" t="s">
        <v>25</v>
      </c>
    </row>
    <row r="116" customHeight="1" spans="1:11">
      <c r="A116" s="3">
        <v>165</v>
      </c>
      <c r="B116" s="3" t="s">
        <v>81</v>
      </c>
      <c r="C116" s="1" t="s">
        <v>21</v>
      </c>
      <c r="D116" s="3"/>
      <c r="E116" s="3" t="s">
        <v>13</v>
      </c>
      <c r="F116" s="3">
        <v>0.68</v>
      </c>
      <c r="G116" s="3">
        <v>380</v>
      </c>
      <c r="H116" s="3">
        <f t="shared" si="2"/>
        <v>258.4</v>
      </c>
      <c r="I116" s="3"/>
      <c r="J116" s="1">
        <v>9.9</v>
      </c>
      <c r="K116" s="1" t="s">
        <v>25</v>
      </c>
    </row>
    <row r="117" customHeight="1" spans="1:11">
      <c r="A117" s="3">
        <v>166</v>
      </c>
      <c r="B117" s="3" t="s">
        <v>41</v>
      </c>
      <c r="C117" s="1" t="s">
        <v>21</v>
      </c>
      <c r="D117" s="3"/>
      <c r="E117" s="3" t="s">
        <v>13</v>
      </c>
      <c r="F117" s="3">
        <v>1.05</v>
      </c>
      <c r="G117" s="3">
        <v>380</v>
      </c>
      <c r="H117" s="3">
        <f t="shared" si="2"/>
        <v>399</v>
      </c>
      <c r="I117" s="3"/>
      <c r="J117" s="1">
        <v>9.9</v>
      </c>
    </row>
    <row r="118" customHeight="1" spans="1:11">
      <c r="A118" s="3">
        <v>167</v>
      </c>
      <c r="B118" s="3" t="s">
        <v>27</v>
      </c>
      <c r="C118" s="1" t="s">
        <v>21</v>
      </c>
      <c r="D118" s="3"/>
      <c r="E118" s="3" t="s">
        <v>13</v>
      </c>
      <c r="F118" s="3">
        <v>1.51</v>
      </c>
      <c r="G118" s="3">
        <v>380</v>
      </c>
      <c r="H118" s="3">
        <f t="shared" si="2"/>
        <v>573.8</v>
      </c>
      <c r="I118" s="3"/>
      <c r="J118" s="1">
        <v>9.9</v>
      </c>
    </row>
    <row r="119" customHeight="1" spans="1:11">
      <c r="A119" s="3">
        <v>168</v>
      </c>
      <c r="B119" s="3" t="s">
        <v>85</v>
      </c>
      <c r="C119" s="1" t="s">
        <v>21</v>
      </c>
      <c r="D119" s="3"/>
      <c r="E119" s="3" t="s">
        <v>13</v>
      </c>
      <c r="F119" s="3">
        <v>0.01</v>
      </c>
      <c r="G119" s="3">
        <v>380</v>
      </c>
      <c r="H119" s="3">
        <f t="shared" si="2"/>
        <v>3.8</v>
      </c>
      <c r="I119" s="3"/>
      <c r="J119" s="1">
        <v>9.9</v>
      </c>
    </row>
    <row r="120" customHeight="1" spans="1:11">
      <c r="A120" s="3">
        <v>169</v>
      </c>
      <c r="B120" s="3" t="s">
        <v>45</v>
      </c>
      <c r="C120" s="1" t="s">
        <v>21</v>
      </c>
      <c r="D120" s="3"/>
      <c r="E120" s="3" t="s">
        <v>13</v>
      </c>
      <c r="F120" s="3">
        <v>0.34</v>
      </c>
      <c r="G120" s="3">
        <v>380</v>
      </c>
      <c r="H120" s="3">
        <f t="shared" si="2"/>
        <v>129.2</v>
      </c>
      <c r="I120" s="3"/>
      <c r="J120" s="1">
        <v>9.9</v>
      </c>
      <c r="K120" s="1" t="s">
        <v>25</v>
      </c>
    </row>
    <row r="121" customHeight="1" spans="1:11">
      <c r="A121" s="3">
        <v>170</v>
      </c>
      <c r="B121" s="3" t="s">
        <v>58</v>
      </c>
      <c r="C121" s="1" t="s">
        <v>21</v>
      </c>
      <c r="D121" s="3"/>
      <c r="E121" s="3" t="s">
        <v>13</v>
      </c>
      <c r="F121" s="3">
        <v>0.04</v>
      </c>
      <c r="G121" s="3">
        <v>380</v>
      </c>
      <c r="H121" s="3">
        <f t="shared" si="2"/>
        <v>15.2</v>
      </c>
      <c r="I121" s="3"/>
      <c r="J121" s="1">
        <v>9.9</v>
      </c>
      <c r="K121" s="1" t="s">
        <v>25</v>
      </c>
    </row>
    <row r="122" customHeight="1" spans="1:11">
      <c r="A122" s="3">
        <v>171</v>
      </c>
      <c r="B122" s="3" t="s">
        <v>31</v>
      </c>
      <c r="C122" s="1" t="s">
        <v>21</v>
      </c>
      <c r="D122" s="3"/>
      <c r="E122" s="3" t="s">
        <v>13</v>
      </c>
      <c r="F122" s="3">
        <v>0.03</v>
      </c>
      <c r="G122" s="3">
        <v>380</v>
      </c>
      <c r="H122" s="3">
        <f t="shared" si="2"/>
        <v>11.4</v>
      </c>
      <c r="I122" s="3"/>
      <c r="J122" s="1">
        <v>9.9</v>
      </c>
    </row>
    <row r="123" customHeight="1" spans="1:11">
      <c r="A123" s="3">
        <v>172</v>
      </c>
      <c r="B123" s="3" t="s">
        <v>44</v>
      </c>
      <c r="C123" s="1" t="s">
        <v>21</v>
      </c>
      <c r="D123" s="3"/>
      <c r="E123" s="3" t="s">
        <v>13</v>
      </c>
      <c r="F123" s="3">
        <v>0.02</v>
      </c>
      <c r="G123" s="3">
        <v>380</v>
      </c>
      <c r="H123" s="3">
        <f t="shared" si="2"/>
        <v>7.6</v>
      </c>
      <c r="I123" s="3"/>
      <c r="J123" s="1">
        <v>9.9</v>
      </c>
      <c r="K123" s="1" t="s">
        <v>25</v>
      </c>
    </row>
    <row r="124" customHeight="1" spans="1:11">
      <c r="A124" s="3">
        <v>173</v>
      </c>
      <c r="B124" s="3" t="s">
        <v>57</v>
      </c>
      <c r="C124" s="1" t="s">
        <v>21</v>
      </c>
      <c r="D124" s="3"/>
      <c r="E124" s="3" t="s">
        <v>13</v>
      </c>
      <c r="F124" s="3">
        <v>0.21</v>
      </c>
      <c r="G124" s="3">
        <v>380</v>
      </c>
      <c r="H124" s="3">
        <f t="shared" si="2"/>
        <v>79.8</v>
      </c>
      <c r="I124" s="3"/>
      <c r="J124" s="1">
        <v>9.9</v>
      </c>
      <c r="K124" s="1" t="s">
        <v>25</v>
      </c>
    </row>
    <row r="125" customHeight="1" spans="1:11">
      <c r="A125" s="3">
        <v>174</v>
      </c>
      <c r="B125" s="3" t="s">
        <v>52</v>
      </c>
      <c r="C125" s="1" t="s">
        <v>21</v>
      </c>
      <c r="D125" s="3"/>
      <c r="E125" s="3" t="s">
        <v>13</v>
      </c>
      <c r="F125" s="3">
        <v>0.26</v>
      </c>
      <c r="G125" s="3">
        <v>380</v>
      </c>
      <c r="H125" s="3">
        <f t="shared" si="2"/>
        <v>98.8</v>
      </c>
      <c r="I125" s="3"/>
      <c r="J125" s="1">
        <v>9.9</v>
      </c>
      <c r="K125" s="1" t="s">
        <v>25</v>
      </c>
    </row>
    <row r="126" customHeight="1" spans="1:11">
      <c r="A126" s="3">
        <v>175</v>
      </c>
      <c r="B126" s="3" t="s">
        <v>42</v>
      </c>
      <c r="C126" s="1" t="s">
        <v>21</v>
      </c>
      <c r="D126" s="3"/>
      <c r="E126" s="3" t="s">
        <v>13</v>
      </c>
      <c r="F126" s="3">
        <v>0.58</v>
      </c>
      <c r="G126" s="3">
        <v>380</v>
      </c>
      <c r="H126" s="3">
        <f t="shared" si="2"/>
        <v>220.4</v>
      </c>
      <c r="I126" s="3"/>
      <c r="J126" s="1">
        <v>9.9</v>
      </c>
      <c r="K126" s="1" t="s">
        <v>25</v>
      </c>
    </row>
    <row r="127" customHeight="1" spans="1:11">
      <c r="A127" s="3">
        <v>176</v>
      </c>
      <c r="B127" s="3" t="s">
        <v>40</v>
      </c>
      <c r="C127" s="1" t="s">
        <v>21</v>
      </c>
      <c r="D127" s="3"/>
      <c r="E127" s="3" t="s">
        <v>13</v>
      </c>
      <c r="F127" s="3">
        <v>0.29</v>
      </c>
      <c r="G127" s="3">
        <v>380</v>
      </c>
      <c r="H127" s="3">
        <f t="shared" si="2"/>
        <v>110.2</v>
      </c>
      <c r="I127" s="3"/>
      <c r="J127" s="1">
        <v>9.9</v>
      </c>
    </row>
    <row r="128" customHeight="1" spans="1:11">
      <c r="A128" s="3">
        <v>177</v>
      </c>
      <c r="B128" s="3" t="s">
        <v>48</v>
      </c>
      <c r="C128" s="1" t="s">
        <v>21</v>
      </c>
      <c r="D128" s="3"/>
      <c r="E128" s="3" t="s">
        <v>13</v>
      </c>
      <c r="F128" s="3">
        <v>0.03</v>
      </c>
      <c r="G128" s="3">
        <v>380</v>
      </c>
      <c r="H128" s="3">
        <f t="shared" si="2"/>
        <v>11.4</v>
      </c>
      <c r="I128" s="3"/>
      <c r="J128" s="1">
        <v>9.9</v>
      </c>
      <c r="K128" s="1" t="s">
        <v>25</v>
      </c>
    </row>
    <row r="129" customHeight="1" spans="1:11">
      <c r="A129" s="3">
        <v>178</v>
      </c>
      <c r="B129" s="3" t="s">
        <v>49</v>
      </c>
      <c r="C129" s="1" t="s">
        <v>21</v>
      </c>
      <c r="D129" s="3"/>
      <c r="E129" s="3" t="s">
        <v>13</v>
      </c>
      <c r="F129" s="3">
        <v>0.83</v>
      </c>
      <c r="G129" s="3">
        <v>380</v>
      </c>
      <c r="H129" s="3">
        <f t="shared" si="2"/>
        <v>315.4</v>
      </c>
      <c r="I129" s="3"/>
      <c r="J129" s="1">
        <v>9.9</v>
      </c>
    </row>
    <row r="130" customHeight="1" spans="1:11">
      <c r="A130" s="3">
        <v>179</v>
      </c>
      <c r="B130" s="3" t="s">
        <v>86</v>
      </c>
      <c r="C130" s="1" t="s">
        <v>21</v>
      </c>
      <c r="D130" s="3"/>
      <c r="E130" s="3" t="s">
        <v>13</v>
      </c>
      <c r="F130" s="3">
        <v>0.97</v>
      </c>
      <c r="G130" s="3">
        <v>380</v>
      </c>
      <c r="H130" s="3">
        <f t="shared" si="2"/>
        <v>368.6</v>
      </c>
      <c r="I130" s="3"/>
      <c r="J130" s="1">
        <v>9.9</v>
      </c>
    </row>
    <row r="131" customHeight="1" spans="1:11">
      <c r="A131" s="3">
        <v>180</v>
      </c>
      <c r="B131" s="3" t="s">
        <v>87</v>
      </c>
      <c r="C131" s="1" t="s">
        <v>21</v>
      </c>
      <c r="D131" s="3"/>
      <c r="E131" s="3" t="s">
        <v>22</v>
      </c>
      <c r="F131" s="3">
        <v>0.27</v>
      </c>
      <c r="G131" s="3">
        <v>480</v>
      </c>
      <c r="H131" s="3">
        <f t="shared" si="2"/>
        <v>129.6</v>
      </c>
      <c r="I131" s="3"/>
      <c r="J131" s="1">
        <v>9.9</v>
      </c>
    </row>
    <row r="132" customHeight="1" spans="1:11">
      <c r="A132" s="3">
        <v>181</v>
      </c>
      <c r="B132" s="3" t="s">
        <v>20</v>
      </c>
      <c r="C132" s="1" t="s">
        <v>21</v>
      </c>
      <c r="D132" s="3"/>
      <c r="E132" s="3" t="s">
        <v>22</v>
      </c>
      <c r="F132" s="3">
        <v>0.31</v>
      </c>
      <c r="G132" s="3">
        <v>480</v>
      </c>
      <c r="H132" s="3">
        <f t="shared" si="2"/>
        <v>148.8</v>
      </c>
      <c r="I132" s="3"/>
      <c r="J132" s="1">
        <v>9.9</v>
      </c>
      <c r="K132" s="1" t="s">
        <v>23</v>
      </c>
    </row>
    <row r="133" customHeight="1" spans="1:11">
      <c r="A133" s="3">
        <v>182</v>
      </c>
      <c r="B133" s="3" t="s">
        <v>48</v>
      </c>
      <c r="C133" s="1" t="s">
        <v>21</v>
      </c>
      <c r="D133" s="3"/>
      <c r="E133" s="3" t="s">
        <v>22</v>
      </c>
      <c r="F133" s="3">
        <v>0.13</v>
      </c>
      <c r="G133" s="3">
        <v>480</v>
      </c>
      <c r="H133" s="3">
        <f t="shared" ref="H133:H196" si="3">G133*F133</f>
        <v>62.4</v>
      </c>
      <c r="I133" s="3"/>
      <c r="J133" s="1">
        <v>9.9</v>
      </c>
      <c r="K133" s="1" t="s">
        <v>25</v>
      </c>
    </row>
    <row r="134" customHeight="1" spans="1:11">
      <c r="A134" s="3">
        <v>183</v>
      </c>
      <c r="B134" s="3" t="s">
        <v>52</v>
      </c>
      <c r="C134" s="1" t="s">
        <v>21</v>
      </c>
      <c r="D134" s="3"/>
      <c r="E134" s="3" t="s">
        <v>22</v>
      </c>
      <c r="F134" s="3">
        <v>0.15</v>
      </c>
      <c r="G134" s="3">
        <v>480</v>
      </c>
      <c r="H134" s="3">
        <f t="shared" si="3"/>
        <v>72</v>
      </c>
      <c r="I134" s="3"/>
      <c r="J134" s="1">
        <v>9.9</v>
      </c>
      <c r="K134" s="1" t="s">
        <v>25</v>
      </c>
    </row>
    <row r="135" customHeight="1" spans="1:11">
      <c r="A135" s="3">
        <v>184</v>
      </c>
      <c r="B135" s="3" t="s">
        <v>45</v>
      </c>
      <c r="C135" s="1" t="s">
        <v>21</v>
      </c>
      <c r="D135" s="3"/>
      <c r="E135" s="3" t="s">
        <v>22</v>
      </c>
      <c r="F135" s="3">
        <v>0.28</v>
      </c>
      <c r="G135" s="3">
        <v>480</v>
      </c>
      <c r="H135" s="3">
        <f t="shared" si="3"/>
        <v>134.4</v>
      </c>
      <c r="I135" s="3"/>
      <c r="J135" s="1">
        <v>9.9</v>
      </c>
      <c r="K135" s="1" t="s">
        <v>25</v>
      </c>
    </row>
    <row r="136" customHeight="1" spans="1:11">
      <c r="A136" s="3">
        <v>185</v>
      </c>
      <c r="B136" s="3" t="s">
        <v>30</v>
      </c>
      <c r="C136" s="1" t="s">
        <v>21</v>
      </c>
      <c r="D136" s="3"/>
      <c r="E136" s="3" t="s">
        <v>22</v>
      </c>
      <c r="F136" s="3">
        <v>1.23</v>
      </c>
      <c r="G136" s="3">
        <v>480</v>
      </c>
      <c r="H136" s="3">
        <f t="shared" si="3"/>
        <v>590.4</v>
      </c>
      <c r="I136" s="3"/>
      <c r="J136" s="1">
        <v>9.9</v>
      </c>
      <c r="K136" s="1" t="s">
        <v>25</v>
      </c>
    </row>
    <row r="137" customHeight="1" spans="1:11">
      <c r="A137" s="3">
        <v>186</v>
      </c>
      <c r="B137" s="3" t="s">
        <v>29</v>
      </c>
      <c r="C137" s="1" t="s">
        <v>21</v>
      </c>
      <c r="D137" s="3"/>
      <c r="E137" s="3" t="s">
        <v>22</v>
      </c>
      <c r="F137" s="3">
        <v>0.33</v>
      </c>
      <c r="G137" s="3">
        <v>480</v>
      </c>
      <c r="H137" s="3">
        <f t="shared" si="3"/>
        <v>158.4</v>
      </c>
      <c r="I137" s="3"/>
      <c r="J137" s="1">
        <v>9.9</v>
      </c>
      <c r="K137" s="1" t="s">
        <v>25</v>
      </c>
    </row>
    <row r="138" customHeight="1" spans="1:11">
      <c r="A138" s="3">
        <v>187</v>
      </c>
      <c r="B138" s="3" t="s">
        <v>47</v>
      </c>
      <c r="C138" s="1" t="s">
        <v>21</v>
      </c>
      <c r="D138" s="3"/>
      <c r="E138" s="3" t="s">
        <v>13</v>
      </c>
      <c r="F138" s="3">
        <v>0.29</v>
      </c>
      <c r="G138" s="3">
        <v>380</v>
      </c>
      <c r="H138" s="3">
        <f t="shared" si="3"/>
        <v>110.2</v>
      </c>
      <c r="I138" s="3"/>
      <c r="J138" s="1">
        <v>9.9</v>
      </c>
      <c r="K138" s="1" t="s">
        <v>25</v>
      </c>
    </row>
    <row r="139" customHeight="1" spans="1:11">
      <c r="A139" s="3">
        <v>188</v>
      </c>
      <c r="B139" s="23" t="s">
        <v>50</v>
      </c>
      <c r="C139" s="1" t="s">
        <v>21</v>
      </c>
      <c r="D139" s="3"/>
      <c r="E139" s="3" t="s">
        <v>13</v>
      </c>
      <c r="F139" s="3">
        <v>0.11</v>
      </c>
      <c r="G139" s="3">
        <v>380</v>
      </c>
      <c r="H139" s="3">
        <f t="shared" si="3"/>
        <v>41.8</v>
      </c>
      <c r="I139" s="3"/>
      <c r="J139" s="1">
        <v>9.9</v>
      </c>
      <c r="K139" s="1" t="s">
        <v>25</v>
      </c>
    </row>
    <row r="140" customHeight="1" spans="1:11">
      <c r="A140" s="3">
        <v>189</v>
      </c>
      <c r="B140" s="3" t="s">
        <v>48</v>
      </c>
      <c r="C140" s="1" t="s">
        <v>21</v>
      </c>
      <c r="D140" s="3"/>
      <c r="E140" s="3" t="s">
        <v>13</v>
      </c>
      <c r="F140" s="3">
        <v>0.11</v>
      </c>
      <c r="G140" s="3">
        <v>380</v>
      </c>
      <c r="H140" s="3">
        <f t="shared" si="3"/>
        <v>41.8</v>
      </c>
      <c r="I140" s="3"/>
      <c r="J140" s="1">
        <v>9.9</v>
      </c>
      <c r="K140" s="1" t="s">
        <v>25</v>
      </c>
    </row>
    <row r="141" customHeight="1" spans="1:11">
      <c r="A141" s="3">
        <v>190</v>
      </c>
      <c r="B141" s="3" t="s">
        <v>88</v>
      </c>
      <c r="C141" s="1" t="s">
        <v>21</v>
      </c>
      <c r="D141" s="3"/>
      <c r="E141" s="3" t="s">
        <v>22</v>
      </c>
      <c r="F141" s="3">
        <v>0.28</v>
      </c>
      <c r="G141" s="3">
        <v>480</v>
      </c>
      <c r="H141" s="3">
        <f t="shared" si="3"/>
        <v>134.4</v>
      </c>
      <c r="I141" s="3"/>
      <c r="J141" s="1">
        <v>9.9</v>
      </c>
    </row>
    <row r="142" customHeight="1" spans="1:11">
      <c r="A142" s="3">
        <v>191</v>
      </c>
      <c r="B142" s="3" t="s">
        <v>89</v>
      </c>
      <c r="C142" s="1" t="s">
        <v>21</v>
      </c>
      <c r="D142" s="3"/>
      <c r="E142" s="3" t="s">
        <v>22</v>
      </c>
      <c r="F142" s="3">
        <v>0.22</v>
      </c>
      <c r="G142" s="3">
        <v>480</v>
      </c>
      <c r="H142" s="3">
        <f t="shared" si="3"/>
        <v>105.6</v>
      </c>
      <c r="I142" s="3"/>
      <c r="J142" s="1">
        <v>9.9</v>
      </c>
    </row>
    <row r="143" customHeight="1" spans="1:11">
      <c r="A143" s="3">
        <v>192</v>
      </c>
      <c r="B143" s="3" t="s">
        <v>90</v>
      </c>
      <c r="C143" s="1" t="s">
        <v>21</v>
      </c>
      <c r="D143" s="3"/>
      <c r="E143" s="3" t="s">
        <v>22</v>
      </c>
      <c r="F143" s="3">
        <v>0.4</v>
      </c>
      <c r="G143" s="3">
        <v>480</v>
      </c>
      <c r="H143" s="3">
        <f t="shared" si="3"/>
        <v>192</v>
      </c>
      <c r="I143" s="3"/>
      <c r="J143" s="1">
        <v>9.9</v>
      </c>
    </row>
    <row r="144" customHeight="1" spans="1:11">
      <c r="A144" s="3">
        <v>193</v>
      </c>
      <c r="B144" s="3" t="s">
        <v>74</v>
      </c>
      <c r="C144" s="1" t="s">
        <v>21</v>
      </c>
      <c r="D144" s="3"/>
      <c r="E144" s="3" t="s">
        <v>22</v>
      </c>
      <c r="F144" s="3">
        <v>0.15</v>
      </c>
      <c r="G144" s="3">
        <v>480</v>
      </c>
      <c r="H144" s="3">
        <f t="shared" si="3"/>
        <v>72</v>
      </c>
      <c r="I144" s="3"/>
      <c r="J144" s="1">
        <v>9.9</v>
      </c>
    </row>
    <row r="145" customHeight="1" spans="1:11">
      <c r="A145" s="3">
        <v>194</v>
      </c>
      <c r="B145" s="3" t="s">
        <v>82</v>
      </c>
      <c r="C145" s="1" t="s">
        <v>21</v>
      </c>
      <c r="D145" s="3"/>
      <c r="E145" s="3" t="s">
        <v>13</v>
      </c>
      <c r="F145" s="3">
        <v>0.78</v>
      </c>
      <c r="G145" s="3">
        <v>380</v>
      </c>
      <c r="H145" s="3">
        <f t="shared" si="3"/>
        <v>296.4</v>
      </c>
      <c r="I145" s="3"/>
      <c r="J145" s="1">
        <v>9.9</v>
      </c>
    </row>
    <row r="146" customHeight="1" spans="1:11">
      <c r="A146" s="3">
        <v>195</v>
      </c>
      <c r="B146" s="3" t="s">
        <v>75</v>
      </c>
      <c r="C146" s="1" t="s">
        <v>21</v>
      </c>
      <c r="D146" s="3"/>
      <c r="E146" s="3" t="s">
        <v>13</v>
      </c>
      <c r="F146" s="3">
        <v>0.14</v>
      </c>
      <c r="G146" s="3">
        <v>380</v>
      </c>
      <c r="H146" s="3">
        <f t="shared" si="3"/>
        <v>53.2</v>
      </c>
      <c r="I146" s="3"/>
      <c r="J146" s="1">
        <v>9.9</v>
      </c>
    </row>
    <row r="147" customHeight="1" spans="1:11">
      <c r="A147" s="3">
        <v>196</v>
      </c>
      <c r="B147" s="3" t="s">
        <v>91</v>
      </c>
      <c r="C147" s="1" t="s">
        <v>21</v>
      </c>
      <c r="D147" s="3"/>
      <c r="E147" s="3" t="s">
        <v>13</v>
      </c>
      <c r="F147" s="3">
        <v>0.77</v>
      </c>
      <c r="G147" s="3">
        <v>380</v>
      </c>
      <c r="H147" s="3">
        <f t="shared" si="3"/>
        <v>292.6</v>
      </c>
      <c r="I147" s="3"/>
      <c r="J147" s="1">
        <v>9.9</v>
      </c>
    </row>
    <row r="148" customHeight="1" spans="1:11">
      <c r="A148" s="3">
        <v>197</v>
      </c>
      <c r="B148" s="3" t="s">
        <v>29</v>
      </c>
      <c r="C148" s="1" t="s">
        <v>21</v>
      </c>
      <c r="D148" s="3"/>
      <c r="E148" s="3" t="s">
        <v>13</v>
      </c>
      <c r="F148" s="3">
        <v>0.28</v>
      </c>
      <c r="G148" s="3">
        <v>380</v>
      </c>
      <c r="H148" s="3">
        <f t="shared" si="3"/>
        <v>106.4</v>
      </c>
      <c r="I148" s="3"/>
      <c r="J148" s="1">
        <v>9.9</v>
      </c>
      <c r="K148" s="1" t="s">
        <v>25</v>
      </c>
    </row>
    <row r="149" customHeight="1" spans="1:11">
      <c r="A149" s="3">
        <v>198</v>
      </c>
      <c r="B149" s="3" t="s">
        <v>73</v>
      </c>
      <c r="C149" s="1" t="s">
        <v>21</v>
      </c>
      <c r="D149" s="3"/>
      <c r="E149" s="3" t="s">
        <v>13</v>
      </c>
      <c r="F149" s="3">
        <v>0.51</v>
      </c>
      <c r="G149" s="3">
        <v>380</v>
      </c>
      <c r="H149" s="3">
        <f t="shared" si="3"/>
        <v>193.8</v>
      </c>
      <c r="I149" s="3"/>
      <c r="J149" s="1">
        <v>9.9</v>
      </c>
      <c r="K149" s="1" t="s">
        <v>92</v>
      </c>
    </row>
    <row r="150" customHeight="1" spans="1:11">
      <c r="A150" s="3">
        <v>199</v>
      </c>
      <c r="B150" s="3" t="s">
        <v>75</v>
      </c>
      <c r="C150" s="1" t="s">
        <v>21</v>
      </c>
      <c r="D150" s="3"/>
      <c r="E150" s="3" t="s">
        <v>13</v>
      </c>
      <c r="F150" s="3">
        <v>0.17</v>
      </c>
      <c r="G150" s="3">
        <v>380</v>
      </c>
      <c r="H150" s="3">
        <f t="shared" si="3"/>
        <v>64.6</v>
      </c>
      <c r="I150" s="3"/>
      <c r="J150" s="1">
        <v>9.9</v>
      </c>
    </row>
    <row r="151" customHeight="1" spans="1:11">
      <c r="A151" s="3">
        <v>200</v>
      </c>
      <c r="B151" s="3" t="s">
        <v>71</v>
      </c>
      <c r="C151" s="1" t="s">
        <v>21</v>
      </c>
      <c r="D151" s="3"/>
      <c r="E151" s="3" t="s">
        <v>13</v>
      </c>
      <c r="F151" s="3">
        <v>0.93</v>
      </c>
      <c r="G151" s="3">
        <v>380</v>
      </c>
      <c r="H151" s="3">
        <f t="shared" si="3"/>
        <v>353.4</v>
      </c>
      <c r="I151" s="3"/>
      <c r="J151" s="1">
        <v>9.9</v>
      </c>
    </row>
    <row r="152" customHeight="1" spans="1:11">
      <c r="A152" s="3">
        <v>201</v>
      </c>
      <c r="B152" s="3" t="s">
        <v>75</v>
      </c>
      <c r="C152" s="1" t="s">
        <v>21</v>
      </c>
      <c r="D152" s="3"/>
      <c r="E152" s="3" t="s">
        <v>13</v>
      </c>
      <c r="F152" s="3">
        <v>0.48</v>
      </c>
      <c r="G152" s="3">
        <v>380</v>
      </c>
      <c r="H152" s="3">
        <f t="shared" si="3"/>
        <v>182.4</v>
      </c>
      <c r="I152" s="3"/>
      <c r="J152" s="1">
        <v>9.9</v>
      </c>
    </row>
    <row r="153" customHeight="1" spans="1:11">
      <c r="A153" s="3">
        <v>202</v>
      </c>
      <c r="B153" s="3" t="s">
        <v>93</v>
      </c>
      <c r="C153" s="1" t="s">
        <v>21</v>
      </c>
      <c r="D153" s="3"/>
      <c r="E153" s="3" t="s">
        <v>13</v>
      </c>
      <c r="F153" s="3">
        <v>0.97</v>
      </c>
      <c r="G153" s="3">
        <v>380</v>
      </c>
      <c r="H153" s="3">
        <f t="shared" si="3"/>
        <v>368.6</v>
      </c>
      <c r="I153" s="3"/>
      <c r="J153" s="1">
        <v>9.9</v>
      </c>
    </row>
    <row r="154" customHeight="1" spans="1:11">
      <c r="A154" s="3">
        <v>203</v>
      </c>
      <c r="B154" s="3" t="s">
        <v>53</v>
      </c>
      <c r="C154" s="1" t="s">
        <v>21</v>
      </c>
      <c r="D154" s="3"/>
      <c r="E154" s="3" t="s">
        <v>22</v>
      </c>
      <c r="F154" s="3">
        <v>0.61</v>
      </c>
      <c r="G154" s="3">
        <v>480</v>
      </c>
      <c r="H154" s="3">
        <f t="shared" si="3"/>
        <v>292.8</v>
      </c>
      <c r="I154" s="3"/>
      <c r="J154" s="1">
        <v>9.9</v>
      </c>
      <c r="K154" s="1" t="s">
        <v>25</v>
      </c>
    </row>
    <row r="155" customHeight="1" spans="1:11">
      <c r="A155" s="3">
        <v>204</v>
      </c>
      <c r="B155" s="3" t="s">
        <v>91</v>
      </c>
      <c r="C155" s="1" t="s">
        <v>21</v>
      </c>
      <c r="D155" s="3"/>
      <c r="E155" s="3" t="s">
        <v>22</v>
      </c>
      <c r="F155" s="3">
        <v>0.79</v>
      </c>
      <c r="G155" s="3">
        <v>480</v>
      </c>
      <c r="H155" s="3">
        <f t="shared" si="3"/>
        <v>379.2</v>
      </c>
      <c r="I155" s="3"/>
      <c r="J155" s="1">
        <v>9.9</v>
      </c>
    </row>
    <row r="156" customHeight="1" spans="1:11">
      <c r="A156" s="3">
        <v>205</v>
      </c>
      <c r="B156" s="3" t="s">
        <v>80</v>
      </c>
      <c r="C156" s="1" t="s">
        <v>21</v>
      </c>
      <c r="D156" s="3"/>
      <c r="E156" s="3" t="s">
        <v>22</v>
      </c>
      <c r="F156" s="3">
        <v>0.25</v>
      </c>
      <c r="G156" s="3">
        <v>480</v>
      </c>
      <c r="H156" s="3">
        <f t="shared" si="3"/>
        <v>120</v>
      </c>
      <c r="I156" s="3"/>
      <c r="J156" s="1">
        <v>9.9</v>
      </c>
    </row>
    <row r="157" customHeight="1" spans="1:11">
      <c r="A157" s="3">
        <v>206</v>
      </c>
      <c r="B157" s="3" t="s">
        <v>94</v>
      </c>
      <c r="C157" s="1" t="s">
        <v>21</v>
      </c>
      <c r="D157" s="3"/>
      <c r="E157" s="3" t="s">
        <v>22</v>
      </c>
      <c r="F157" s="3">
        <v>0.53</v>
      </c>
      <c r="G157" s="3">
        <v>480</v>
      </c>
      <c r="H157" s="3">
        <f t="shared" si="3"/>
        <v>254.4</v>
      </c>
      <c r="I157" s="3"/>
      <c r="J157" s="1">
        <v>9.9</v>
      </c>
      <c r="K157" s="1" t="s">
        <v>25</v>
      </c>
    </row>
    <row r="158" customHeight="1" spans="1:11">
      <c r="A158" s="3">
        <v>207</v>
      </c>
      <c r="B158" s="3" t="s">
        <v>91</v>
      </c>
      <c r="C158" s="1" t="s">
        <v>21</v>
      </c>
      <c r="D158" s="3"/>
      <c r="E158" s="3" t="s">
        <v>22</v>
      </c>
      <c r="F158" s="3">
        <v>0.66</v>
      </c>
      <c r="G158" s="3">
        <v>480</v>
      </c>
      <c r="H158" s="3">
        <f t="shared" si="3"/>
        <v>316.8</v>
      </c>
      <c r="I158" s="3"/>
      <c r="J158" s="1">
        <v>9.9</v>
      </c>
    </row>
    <row r="159" customHeight="1" spans="1:11">
      <c r="A159" s="3">
        <v>208</v>
      </c>
      <c r="B159" s="3" t="s">
        <v>89</v>
      </c>
      <c r="C159" s="1" t="s">
        <v>21</v>
      </c>
      <c r="D159" s="3"/>
      <c r="E159" s="3" t="s">
        <v>22</v>
      </c>
      <c r="F159" s="3">
        <v>0.26</v>
      </c>
      <c r="G159" s="3">
        <v>480</v>
      </c>
      <c r="H159" s="3">
        <f t="shared" si="3"/>
        <v>124.8</v>
      </c>
      <c r="I159" s="3"/>
      <c r="J159" s="1">
        <v>9.9</v>
      </c>
    </row>
    <row r="160" customHeight="1" spans="1:11">
      <c r="A160" s="3">
        <v>209</v>
      </c>
      <c r="B160" s="3" t="s">
        <v>73</v>
      </c>
      <c r="C160" s="1" t="s">
        <v>21</v>
      </c>
      <c r="D160" s="3"/>
      <c r="E160" s="3" t="s">
        <v>22</v>
      </c>
      <c r="F160" s="3">
        <v>0.06</v>
      </c>
      <c r="G160" s="3">
        <v>480</v>
      </c>
      <c r="H160" s="3">
        <f t="shared" si="3"/>
        <v>28.8</v>
      </c>
      <c r="I160" s="3"/>
      <c r="J160" s="1">
        <v>9.9</v>
      </c>
    </row>
    <row r="161" customHeight="1" spans="1:11">
      <c r="A161" s="3">
        <v>210</v>
      </c>
      <c r="B161" s="3" t="s">
        <v>93</v>
      </c>
      <c r="C161" s="1" t="s">
        <v>21</v>
      </c>
      <c r="D161" s="3"/>
      <c r="E161" s="3" t="s">
        <v>22</v>
      </c>
      <c r="F161" s="3">
        <v>0.1</v>
      </c>
      <c r="G161" s="3">
        <v>480</v>
      </c>
      <c r="H161" s="3">
        <f t="shared" si="3"/>
        <v>48</v>
      </c>
      <c r="I161" s="3"/>
      <c r="J161" s="1">
        <v>9.9</v>
      </c>
    </row>
    <row r="162" customHeight="1" spans="1:11">
      <c r="A162" s="3">
        <v>211</v>
      </c>
      <c r="B162" s="3" t="s">
        <v>95</v>
      </c>
      <c r="C162" s="1" t="s">
        <v>21</v>
      </c>
      <c r="D162" s="3"/>
      <c r="E162" s="3" t="s">
        <v>22</v>
      </c>
      <c r="F162" s="3">
        <v>0.36</v>
      </c>
      <c r="G162" s="3">
        <v>480</v>
      </c>
      <c r="H162" s="3">
        <f t="shared" si="3"/>
        <v>172.8</v>
      </c>
      <c r="I162" s="3"/>
      <c r="J162" s="1">
        <v>9.9</v>
      </c>
    </row>
    <row r="163" customHeight="1" spans="1:11">
      <c r="A163" s="3">
        <v>212</v>
      </c>
      <c r="B163" s="3" t="s">
        <v>72</v>
      </c>
      <c r="C163" s="1" t="s">
        <v>21</v>
      </c>
      <c r="D163" s="3"/>
      <c r="E163" s="3" t="s">
        <v>22</v>
      </c>
      <c r="F163" s="3">
        <v>0.04</v>
      </c>
      <c r="G163" s="3">
        <v>480</v>
      </c>
      <c r="H163" s="3">
        <f t="shared" si="3"/>
        <v>19.2</v>
      </c>
      <c r="I163" s="3"/>
      <c r="J163" s="1">
        <v>9.9</v>
      </c>
    </row>
    <row r="164" customHeight="1" spans="1:11">
      <c r="A164" s="3">
        <v>212</v>
      </c>
      <c r="B164" s="3" t="s">
        <v>67</v>
      </c>
      <c r="C164" s="1" t="s">
        <v>21</v>
      </c>
      <c r="D164" s="3"/>
      <c r="E164" s="3" t="s">
        <v>22</v>
      </c>
      <c r="F164" s="3">
        <v>0.06</v>
      </c>
      <c r="G164" s="3">
        <v>480</v>
      </c>
      <c r="H164" s="3">
        <f t="shared" si="3"/>
        <v>28.8</v>
      </c>
      <c r="I164" s="3"/>
      <c r="J164" s="1">
        <v>9.9</v>
      </c>
      <c r="K164" s="1" t="s">
        <v>25</v>
      </c>
    </row>
    <row r="165" customHeight="1" spans="1:11">
      <c r="A165" s="3">
        <v>213</v>
      </c>
      <c r="B165" s="3" t="s">
        <v>94</v>
      </c>
      <c r="C165" s="1" t="s">
        <v>21</v>
      </c>
      <c r="D165" s="3"/>
      <c r="E165" s="3" t="s">
        <v>22</v>
      </c>
      <c r="F165" s="3">
        <v>0.64</v>
      </c>
      <c r="G165" s="3">
        <v>480</v>
      </c>
      <c r="H165" s="3">
        <f t="shared" si="3"/>
        <v>307.2</v>
      </c>
      <c r="I165" s="3"/>
      <c r="J165" s="1">
        <v>9.9</v>
      </c>
      <c r="K165" s="1" t="s">
        <v>25</v>
      </c>
    </row>
    <row r="166" customHeight="1" spans="1:11">
      <c r="A166" s="3">
        <v>214</v>
      </c>
      <c r="B166" s="3" t="s">
        <v>93</v>
      </c>
      <c r="C166" s="1" t="s">
        <v>21</v>
      </c>
      <c r="D166" s="3"/>
      <c r="E166" s="3" t="s">
        <v>22</v>
      </c>
      <c r="F166" s="3">
        <v>0.34</v>
      </c>
      <c r="G166" s="3">
        <v>480</v>
      </c>
      <c r="H166" s="3">
        <f t="shared" si="3"/>
        <v>163.2</v>
      </c>
      <c r="I166" s="3"/>
      <c r="J166" s="1">
        <v>9.9</v>
      </c>
    </row>
    <row r="167" customHeight="1" spans="1:11">
      <c r="A167" s="3">
        <v>215</v>
      </c>
      <c r="B167" s="3" t="s">
        <v>96</v>
      </c>
      <c r="C167" s="1" t="s">
        <v>21</v>
      </c>
      <c r="D167" s="3"/>
      <c r="E167" s="3" t="s">
        <v>22</v>
      </c>
      <c r="F167" s="3">
        <v>0.51</v>
      </c>
      <c r="G167" s="3">
        <v>480</v>
      </c>
      <c r="H167" s="3">
        <f t="shared" si="3"/>
        <v>244.8</v>
      </c>
      <c r="I167" s="3"/>
      <c r="J167" s="1">
        <v>9.9</v>
      </c>
    </row>
    <row r="168" customHeight="1" spans="1:11">
      <c r="A168" s="3">
        <v>216</v>
      </c>
      <c r="B168" s="3" t="s">
        <v>71</v>
      </c>
      <c r="C168" s="1" t="s">
        <v>21</v>
      </c>
      <c r="D168" s="3"/>
      <c r="E168" s="3" t="s">
        <v>22</v>
      </c>
      <c r="F168" s="3">
        <v>0.2</v>
      </c>
      <c r="G168" s="3">
        <v>480</v>
      </c>
      <c r="H168" s="3">
        <f t="shared" si="3"/>
        <v>96</v>
      </c>
      <c r="I168" s="3"/>
      <c r="J168" s="1">
        <v>9.9</v>
      </c>
    </row>
    <row r="169" customHeight="1" spans="1:11">
      <c r="A169" s="3">
        <v>217</v>
      </c>
      <c r="B169" s="3" t="s">
        <v>75</v>
      </c>
      <c r="C169" s="1" t="s">
        <v>21</v>
      </c>
      <c r="D169" s="3"/>
      <c r="E169" s="3" t="s">
        <v>22</v>
      </c>
      <c r="F169" s="3">
        <v>0.51</v>
      </c>
      <c r="G169" s="3">
        <v>480</v>
      </c>
      <c r="H169" s="3">
        <f t="shared" si="3"/>
        <v>244.8</v>
      </c>
      <c r="I169" s="3"/>
      <c r="J169" s="1">
        <v>9.9</v>
      </c>
    </row>
    <row r="170" customHeight="1" spans="1:11">
      <c r="A170" s="3">
        <v>219</v>
      </c>
      <c r="B170" s="3" t="s">
        <v>89</v>
      </c>
      <c r="C170" s="1" t="s">
        <v>21</v>
      </c>
      <c r="D170" s="3"/>
      <c r="E170" s="3" t="s">
        <v>22</v>
      </c>
      <c r="F170" s="3">
        <v>0.14</v>
      </c>
      <c r="G170" s="3">
        <v>480</v>
      </c>
      <c r="H170" s="3">
        <f t="shared" si="3"/>
        <v>67.2</v>
      </c>
      <c r="I170" s="3"/>
      <c r="J170" s="1">
        <v>9.9</v>
      </c>
    </row>
    <row r="171" customHeight="1" spans="1:11">
      <c r="A171" s="3">
        <v>220</v>
      </c>
      <c r="B171" s="3" t="s">
        <v>97</v>
      </c>
      <c r="C171" s="1" t="s">
        <v>21</v>
      </c>
      <c r="D171" s="3"/>
      <c r="E171" s="3" t="s">
        <v>22</v>
      </c>
      <c r="F171" s="3">
        <v>0.14</v>
      </c>
      <c r="G171" s="3">
        <v>480</v>
      </c>
      <c r="H171" s="3">
        <f t="shared" si="3"/>
        <v>67.2</v>
      </c>
      <c r="I171" s="3"/>
      <c r="J171" s="1">
        <v>9.9</v>
      </c>
    </row>
    <row r="172" customHeight="1" spans="1:11">
      <c r="A172" s="3">
        <v>221</v>
      </c>
      <c r="B172" s="3" t="s">
        <v>70</v>
      </c>
      <c r="C172" s="1" t="s">
        <v>21</v>
      </c>
      <c r="D172" s="3"/>
      <c r="E172" s="3" t="s">
        <v>22</v>
      </c>
      <c r="F172" s="3">
        <v>0.11</v>
      </c>
      <c r="G172" s="3">
        <v>480</v>
      </c>
      <c r="H172" s="3">
        <f t="shared" si="3"/>
        <v>52.8</v>
      </c>
      <c r="I172" s="3"/>
      <c r="J172" s="1">
        <v>9.9</v>
      </c>
      <c r="K172" s="1" t="s">
        <v>25</v>
      </c>
    </row>
    <row r="173" customHeight="1" spans="1:11">
      <c r="A173" s="3">
        <v>222</v>
      </c>
      <c r="B173" s="3" t="s">
        <v>96</v>
      </c>
      <c r="C173" s="1" t="s">
        <v>21</v>
      </c>
      <c r="D173" s="3"/>
      <c r="E173" s="3" t="s">
        <v>22</v>
      </c>
      <c r="F173" s="3">
        <v>0.43</v>
      </c>
      <c r="G173" s="3">
        <v>480</v>
      </c>
      <c r="H173" s="3">
        <f t="shared" si="3"/>
        <v>206.4</v>
      </c>
      <c r="I173" s="3"/>
      <c r="J173" s="1">
        <v>9.9</v>
      </c>
    </row>
    <row r="174" customHeight="1" spans="1:11">
      <c r="A174" s="3">
        <v>223</v>
      </c>
      <c r="B174" s="3" t="s">
        <v>69</v>
      </c>
      <c r="C174" s="1" t="s">
        <v>21</v>
      </c>
      <c r="D174" s="3"/>
      <c r="E174" s="3" t="s">
        <v>22</v>
      </c>
      <c r="F174" s="3">
        <v>0.36</v>
      </c>
      <c r="G174" s="3">
        <v>480</v>
      </c>
      <c r="H174" s="3">
        <f t="shared" si="3"/>
        <v>172.8</v>
      </c>
      <c r="I174" s="3"/>
      <c r="J174" s="1">
        <v>9.9</v>
      </c>
    </row>
    <row r="175" customHeight="1" spans="1:11">
      <c r="A175" s="3">
        <v>224</v>
      </c>
      <c r="B175" s="3" t="s">
        <v>90</v>
      </c>
      <c r="C175" s="1" t="s">
        <v>21</v>
      </c>
      <c r="D175" s="3"/>
      <c r="E175" s="3" t="s">
        <v>22</v>
      </c>
      <c r="F175" s="3">
        <v>0.28</v>
      </c>
      <c r="G175" s="3">
        <v>480</v>
      </c>
      <c r="H175" s="3">
        <f t="shared" si="3"/>
        <v>134.4</v>
      </c>
      <c r="I175" s="3"/>
      <c r="J175" s="1">
        <v>9.9</v>
      </c>
    </row>
    <row r="176" customHeight="1" spans="1:11">
      <c r="A176" s="3">
        <v>225</v>
      </c>
      <c r="B176" s="3" t="s">
        <v>93</v>
      </c>
      <c r="C176" s="1" t="s">
        <v>21</v>
      </c>
      <c r="D176" s="3"/>
      <c r="E176" s="3" t="s">
        <v>22</v>
      </c>
      <c r="F176" s="3">
        <v>0.74</v>
      </c>
      <c r="G176" s="3">
        <v>480</v>
      </c>
      <c r="H176" s="3">
        <f t="shared" si="3"/>
        <v>355.2</v>
      </c>
      <c r="I176" s="3"/>
      <c r="J176" s="1">
        <v>9.9</v>
      </c>
    </row>
    <row r="177" customHeight="1" spans="1:11">
      <c r="A177" s="3">
        <v>226</v>
      </c>
      <c r="B177" s="3" t="s">
        <v>90</v>
      </c>
      <c r="C177" s="1" t="s">
        <v>21</v>
      </c>
      <c r="D177" s="3"/>
      <c r="E177" s="3" t="s">
        <v>22</v>
      </c>
      <c r="F177" s="3">
        <v>0.28</v>
      </c>
      <c r="G177" s="3">
        <v>480</v>
      </c>
      <c r="H177" s="3">
        <f t="shared" si="3"/>
        <v>134.4</v>
      </c>
      <c r="I177" s="3"/>
      <c r="J177" s="1">
        <v>9.9</v>
      </c>
    </row>
    <row r="178" customHeight="1" spans="1:11">
      <c r="A178" s="3">
        <v>227</v>
      </c>
      <c r="B178" s="3" t="s">
        <v>96</v>
      </c>
      <c r="C178" s="1" t="s">
        <v>21</v>
      </c>
      <c r="D178" s="3"/>
      <c r="E178" s="3" t="s">
        <v>22</v>
      </c>
      <c r="F178" s="3">
        <v>1.37</v>
      </c>
      <c r="G178" s="3">
        <v>480</v>
      </c>
      <c r="H178" s="3">
        <f t="shared" si="3"/>
        <v>657.6</v>
      </c>
      <c r="I178" s="3"/>
      <c r="J178" s="1">
        <v>9.9</v>
      </c>
    </row>
    <row r="179" customHeight="1" spans="1:11">
      <c r="A179" s="3">
        <v>228</v>
      </c>
      <c r="B179" s="3" t="s">
        <v>90</v>
      </c>
      <c r="C179" s="1" t="s">
        <v>21</v>
      </c>
      <c r="D179" s="3"/>
      <c r="E179" s="3" t="s">
        <v>22</v>
      </c>
      <c r="F179" s="3">
        <v>0.4</v>
      </c>
      <c r="G179" s="3">
        <v>480</v>
      </c>
      <c r="H179" s="3">
        <f t="shared" si="3"/>
        <v>192</v>
      </c>
      <c r="I179" s="3"/>
      <c r="J179" s="1">
        <v>9.9</v>
      </c>
    </row>
    <row r="180" customHeight="1" spans="1:11">
      <c r="A180" s="3">
        <v>229</v>
      </c>
      <c r="B180" s="3" t="s">
        <v>76</v>
      </c>
      <c r="C180" s="1" t="s">
        <v>21</v>
      </c>
      <c r="D180" s="3"/>
      <c r="E180" s="3" t="s">
        <v>22</v>
      </c>
      <c r="F180" s="3">
        <v>0.12</v>
      </c>
      <c r="G180" s="3">
        <v>480</v>
      </c>
      <c r="H180" s="3">
        <f t="shared" si="3"/>
        <v>57.6</v>
      </c>
      <c r="I180" s="3"/>
      <c r="J180" s="1">
        <v>9.9</v>
      </c>
    </row>
    <row r="181" customHeight="1" spans="1:11">
      <c r="A181" s="3">
        <v>230</v>
      </c>
      <c r="B181" s="3" t="s">
        <v>98</v>
      </c>
      <c r="C181" s="1" t="s">
        <v>21</v>
      </c>
      <c r="D181" s="3"/>
      <c r="E181" s="3" t="s">
        <v>22</v>
      </c>
      <c r="F181" s="3">
        <v>0.24</v>
      </c>
      <c r="G181" s="3">
        <v>480</v>
      </c>
      <c r="H181" s="3">
        <f t="shared" si="3"/>
        <v>115.2</v>
      </c>
      <c r="I181" s="3"/>
      <c r="J181" s="1">
        <v>9.9</v>
      </c>
    </row>
    <row r="182" customHeight="1" spans="1:11">
      <c r="A182" s="3">
        <v>231</v>
      </c>
      <c r="B182" s="3" t="s">
        <v>91</v>
      </c>
      <c r="C182" s="1" t="s">
        <v>21</v>
      </c>
      <c r="D182" s="3"/>
      <c r="E182" s="3" t="s">
        <v>22</v>
      </c>
      <c r="F182" s="3">
        <v>0.3</v>
      </c>
      <c r="G182" s="3">
        <v>480</v>
      </c>
      <c r="H182" s="3">
        <f t="shared" si="3"/>
        <v>144</v>
      </c>
      <c r="I182" s="3"/>
      <c r="J182" s="1">
        <v>9.9</v>
      </c>
    </row>
    <row r="183" customHeight="1" spans="1:11">
      <c r="A183" s="3">
        <v>232</v>
      </c>
      <c r="B183" s="3" t="s">
        <v>71</v>
      </c>
      <c r="C183" s="1" t="s">
        <v>21</v>
      </c>
      <c r="D183" s="3"/>
      <c r="E183" s="3" t="s">
        <v>22</v>
      </c>
      <c r="F183" s="3">
        <v>0.33</v>
      </c>
      <c r="G183" s="3">
        <v>480</v>
      </c>
      <c r="H183" s="3">
        <f t="shared" si="3"/>
        <v>158.4</v>
      </c>
      <c r="I183" s="3"/>
      <c r="J183" s="1">
        <v>9.9</v>
      </c>
    </row>
    <row r="184" customHeight="1" spans="1:11">
      <c r="A184" s="3">
        <v>233</v>
      </c>
      <c r="B184" s="3" t="s">
        <v>93</v>
      </c>
      <c r="C184" s="1" t="s">
        <v>21</v>
      </c>
      <c r="D184" s="3"/>
      <c r="E184" s="3" t="s">
        <v>22</v>
      </c>
      <c r="F184" s="3">
        <v>0.52</v>
      </c>
      <c r="G184" s="3">
        <v>480</v>
      </c>
      <c r="H184" s="3">
        <f t="shared" si="3"/>
        <v>249.6</v>
      </c>
      <c r="I184" s="3"/>
      <c r="J184" s="1">
        <v>9.9</v>
      </c>
    </row>
    <row r="185" customHeight="1" spans="1:11">
      <c r="A185" s="3">
        <v>234</v>
      </c>
      <c r="B185" s="3" t="s">
        <v>75</v>
      </c>
      <c r="C185" s="1" t="s">
        <v>21</v>
      </c>
      <c r="D185" s="3"/>
      <c r="E185" s="3" t="s">
        <v>22</v>
      </c>
      <c r="F185" s="3">
        <v>0.24</v>
      </c>
      <c r="G185" s="3">
        <v>480</v>
      </c>
      <c r="H185" s="3">
        <f t="shared" si="3"/>
        <v>115.2</v>
      </c>
      <c r="I185" s="3"/>
      <c r="J185" s="1">
        <v>9.9</v>
      </c>
    </row>
    <row r="186" customHeight="1" spans="1:11">
      <c r="A186" s="3">
        <v>235</v>
      </c>
      <c r="B186" s="3" t="s">
        <v>98</v>
      </c>
      <c r="C186" s="1" t="s">
        <v>21</v>
      </c>
      <c r="D186" s="3"/>
      <c r="E186" s="3" t="s">
        <v>22</v>
      </c>
      <c r="F186" s="3">
        <v>0.4</v>
      </c>
      <c r="G186" s="3">
        <v>480</v>
      </c>
      <c r="H186" s="3">
        <f t="shared" si="3"/>
        <v>192</v>
      </c>
      <c r="I186" s="3"/>
      <c r="J186" s="1">
        <v>9.9</v>
      </c>
    </row>
    <row r="187" customHeight="1" spans="1:11">
      <c r="A187" s="3">
        <v>236</v>
      </c>
      <c r="B187" s="3" t="s">
        <v>96</v>
      </c>
      <c r="C187" s="1" t="s">
        <v>21</v>
      </c>
      <c r="D187" s="3"/>
      <c r="E187" s="3" t="s">
        <v>22</v>
      </c>
      <c r="F187" s="3">
        <v>0.5</v>
      </c>
      <c r="G187" s="3">
        <v>480</v>
      </c>
      <c r="H187" s="3">
        <f t="shared" si="3"/>
        <v>240</v>
      </c>
      <c r="I187" s="3"/>
      <c r="J187" s="1">
        <v>9.9</v>
      </c>
    </row>
    <row r="188" customHeight="1" spans="1:11">
      <c r="A188" s="3">
        <v>237</v>
      </c>
      <c r="B188" s="3" t="s">
        <v>93</v>
      </c>
      <c r="C188" s="1" t="s">
        <v>21</v>
      </c>
      <c r="D188" s="3"/>
      <c r="E188" s="3" t="s">
        <v>22</v>
      </c>
      <c r="F188" s="3">
        <v>0.34</v>
      </c>
      <c r="G188" s="3">
        <v>480</v>
      </c>
      <c r="H188" s="3">
        <f t="shared" si="3"/>
        <v>163.2</v>
      </c>
      <c r="I188" s="3"/>
      <c r="J188" s="1">
        <v>9.9</v>
      </c>
    </row>
    <row r="189" customHeight="1" spans="1:11">
      <c r="A189" s="3">
        <v>238</v>
      </c>
      <c r="B189" s="3" t="s">
        <v>74</v>
      </c>
      <c r="C189" s="1" t="s">
        <v>21</v>
      </c>
      <c r="D189" s="3"/>
      <c r="E189" s="3" t="s">
        <v>22</v>
      </c>
      <c r="F189" s="3">
        <v>0.14</v>
      </c>
      <c r="G189" s="3">
        <v>480</v>
      </c>
      <c r="H189" s="3">
        <f t="shared" si="3"/>
        <v>67.2</v>
      </c>
      <c r="I189" s="3"/>
      <c r="J189" s="1">
        <v>9.9</v>
      </c>
    </row>
    <row r="190" customHeight="1" spans="1:11">
      <c r="A190" s="3">
        <v>239</v>
      </c>
      <c r="B190" s="3" t="s">
        <v>67</v>
      </c>
      <c r="C190" s="1" t="s">
        <v>21</v>
      </c>
      <c r="D190" s="3"/>
      <c r="E190" s="3" t="s">
        <v>22</v>
      </c>
      <c r="F190" s="3">
        <v>0.4</v>
      </c>
      <c r="G190" s="3">
        <v>480</v>
      </c>
      <c r="H190" s="3">
        <f t="shared" si="3"/>
        <v>192</v>
      </c>
      <c r="I190" s="3"/>
      <c r="J190" s="1">
        <v>9.9</v>
      </c>
      <c r="K190" s="1" t="s">
        <v>25</v>
      </c>
    </row>
    <row r="191" customHeight="1" spans="1:11">
      <c r="A191" s="3">
        <v>240</v>
      </c>
      <c r="B191" s="3" t="s">
        <v>94</v>
      </c>
      <c r="C191" s="1" t="s">
        <v>21</v>
      </c>
      <c r="D191" s="3"/>
      <c r="E191" s="3" t="s">
        <v>22</v>
      </c>
      <c r="F191" s="3">
        <v>0.4</v>
      </c>
      <c r="G191" s="3">
        <v>480</v>
      </c>
      <c r="H191" s="3">
        <f t="shared" si="3"/>
        <v>192</v>
      </c>
      <c r="I191" s="3"/>
      <c r="J191" s="1">
        <v>9.9</v>
      </c>
      <c r="K191" s="1" t="s">
        <v>25</v>
      </c>
    </row>
    <row r="192" customHeight="1" spans="1:11">
      <c r="A192" s="3">
        <v>241</v>
      </c>
      <c r="B192" s="3" t="s">
        <v>70</v>
      </c>
      <c r="C192" s="1" t="s">
        <v>21</v>
      </c>
      <c r="D192" s="3"/>
      <c r="E192" s="3" t="s">
        <v>22</v>
      </c>
      <c r="F192" s="3">
        <v>0.2</v>
      </c>
      <c r="G192" s="3">
        <v>480</v>
      </c>
      <c r="H192" s="3">
        <f t="shared" si="3"/>
        <v>96</v>
      </c>
      <c r="I192" s="3"/>
      <c r="J192" s="1">
        <v>9.9</v>
      </c>
      <c r="K192" s="1" t="s">
        <v>25</v>
      </c>
    </row>
    <row r="193" customHeight="1" spans="1:11">
      <c r="A193" s="3">
        <v>242</v>
      </c>
      <c r="B193" s="3" t="s">
        <v>99</v>
      </c>
      <c r="C193" s="1" t="s">
        <v>21</v>
      </c>
      <c r="D193" s="3"/>
      <c r="E193" s="3" t="s">
        <v>22</v>
      </c>
      <c r="F193" s="3">
        <v>0.67</v>
      </c>
      <c r="G193" s="3">
        <v>480</v>
      </c>
      <c r="H193" s="3">
        <f t="shared" si="3"/>
        <v>321.6</v>
      </c>
      <c r="I193" s="3"/>
      <c r="J193" s="1">
        <v>9.9</v>
      </c>
    </row>
    <row r="194" customHeight="1" spans="1:11">
      <c r="A194" s="3">
        <v>243</v>
      </c>
      <c r="B194" s="3" t="s">
        <v>99</v>
      </c>
      <c r="C194" s="1" t="s">
        <v>21</v>
      </c>
      <c r="D194" s="3"/>
      <c r="E194" s="3" t="s">
        <v>22</v>
      </c>
      <c r="F194" s="3">
        <v>0.41</v>
      </c>
      <c r="G194" s="3">
        <v>480</v>
      </c>
      <c r="H194" s="3">
        <f t="shared" si="3"/>
        <v>196.8</v>
      </c>
      <c r="I194" s="3"/>
      <c r="J194" s="1">
        <v>9.9</v>
      </c>
    </row>
    <row r="195" customHeight="1" spans="1:11">
      <c r="A195" s="3">
        <v>244</v>
      </c>
      <c r="B195" s="3" t="s">
        <v>100</v>
      </c>
      <c r="C195" s="1" t="s">
        <v>21</v>
      </c>
      <c r="D195" s="3"/>
      <c r="E195" s="3" t="s">
        <v>22</v>
      </c>
      <c r="F195" s="3">
        <v>1.02</v>
      </c>
      <c r="G195" s="3">
        <v>480</v>
      </c>
      <c r="H195" s="3">
        <f t="shared" si="3"/>
        <v>489.6</v>
      </c>
      <c r="I195" s="3"/>
      <c r="J195" s="1">
        <v>9.9</v>
      </c>
    </row>
    <row r="196" customHeight="1" spans="1:11">
      <c r="A196" s="3">
        <v>245</v>
      </c>
      <c r="B196" s="3" t="s">
        <v>84</v>
      </c>
      <c r="C196" s="1" t="s">
        <v>21</v>
      </c>
      <c r="D196" s="3"/>
      <c r="E196" s="3" t="s">
        <v>22</v>
      </c>
      <c r="F196" s="3">
        <v>0.18</v>
      </c>
      <c r="G196" s="3">
        <v>480</v>
      </c>
      <c r="H196" s="3">
        <f t="shared" si="3"/>
        <v>86.4</v>
      </c>
      <c r="I196" s="3"/>
      <c r="J196" s="1">
        <v>9.9</v>
      </c>
    </row>
    <row r="197" customHeight="1" spans="1:11">
      <c r="A197" s="3"/>
      <c r="B197" s="3" t="s">
        <v>74</v>
      </c>
      <c r="C197" s="1" t="s">
        <v>21</v>
      </c>
      <c r="D197" s="3" t="s">
        <v>101</v>
      </c>
      <c r="E197" s="3" t="s">
        <v>22</v>
      </c>
      <c r="F197" s="3">
        <v>0.15</v>
      </c>
      <c r="G197" s="3">
        <v>480</v>
      </c>
      <c r="H197" s="3">
        <f t="shared" ref="H197:H260" si="4">G197*F197</f>
        <v>72</v>
      </c>
      <c r="I197" s="3"/>
      <c r="J197" s="1" t="s">
        <v>102</v>
      </c>
    </row>
    <row r="198" customHeight="1" spans="1:11">
      <c r="A198" s="3">
        <v>246</v>
      </c>
      <c r="B198" s="3" t="s">
        <v>74</v>
      </c>
      <c r="C198" s="1" t="s">
        <v>21</v>
      </c>
      <c r="D198" s="3"/>
      <c r="E198" s="3" t="s">
        <v>22</v>
      </c>
      <c r="F198" s="3">
        <v>0.1</v>
      </c>
      <c r="G198" s="3">
        <v>480</v>
      </c>
      <c r="H198" s="3">
        <f t="shared" si="4"/>
        <v>48</v>
      </c>
      <c r="I198" s="3"/>
      <c r="J198" s="1">
        <v>9.9</v>
      </c>
    </row>
    <row r="199" customHeight="1" spans="1:11">
      <c r="A199" s="3">
        <v>247</v>
      </c>
      <c r="B199" s="3" t="s">
        <v>75</v>
      </c>
      <c r="C199" s="1" t="s">
        <v>21</v>
      </c>
      <c r="D199" s="3"/>
      <c r="E199" s="3" t="s">
        <v>22</v>
      </c>
      <c r="F199" s="3">
        <v>0.32</v>
      </c>
      <c r="G199" s="3">
        <v>480</v>
      </c>
      <c r="H199" s="3">
        <f t="shared" si="4"/>
        <v>153.6</v>
      </c>
      <c r="I199" s="3"/>
      <c r="J199" s="1">
        <v>9.9</v>
      </c>
    </row>
    <row r="200" customHeight="1" spans="1:11">
      <c r="A200" s="3">
        <v>248</v>
      </c>
      <c r="B200" s="3" t="s">
        <v>103</v>
      </c>
      <c r="C200" s="1" t="s">
        <v>21</v>
      </c>
      <c r="D200" s="3"/>
      <c r="E200" s="3" t="s">
        <v>22</v>
      </c>
      <c r="F200" s="3">
        <v>0.3</v>
      </c>
      <c r="G200" s="3">
        <v>480</v>
      </c>
      <c r="H200" s="3">
        <f t="shared" si="4"/>
        <v>144</v>
      </c>
      <c r="I200" s="3"/>
      <c r="J200" s="1">
        <v>9.9</v>
      </c>
    </row>
    <row r="201" customHeight="1" spans="1:11">
      <c r="A201" s="3">
        <v>249</v>
      </c>
      <c r="B201" s="3" t="s">
        <v>99</v>
      </c>
      <c r="C201" s="1" t="s">
        <v>21</v>
      </c>
      <c r="D201" s="3"/>
      <c r="E201" s="3" t="s">
        <v>22</v>
      </c>
      <c r="F201" s="3">
        <v>0.1</v>
      </c>
      <c r="G201" s="3">
        <v>480</v>
      </c>
      <c r="H201" s="3">
        <f t="shared" si="4"/>
        <v>48</v>
      </c>
      <c r="I201" s="3"/>
      <c r="J201" s="1">
        <v>9.9</v>
      </c>
    </row>
    <row r="202" customHeight="1" spans="1:11">
      <c r="A202" s="3">
        <v>250</v>
      </c>
      <c r="B202" s="3" t="s">
        <v>76</v>
      </c>
      <c r="C202" s="1" t="s">
        <v>21</v>
      </c>
      <c r="D202" s="3"/>
      <c r="E202" s="3" t="s">
        <v>22</v>
      </c>
      <c r="F202" s="3">
        <v>0.1</v>
      </c>
      <c r="G202" s="3">
        <v>480</v>
      </c>
      <c r="H202" s="3">
        <f t="shared" si="4"/>
        <v>48</v>
      </c>
      <c r="I202" s="3"/>
      <c r="J202" s="1">
        <v>9.9</v>
      </c>
    </row>
    <row r="203" customHeight="1" spans="1:11">
      <c r="A203" s="3">
        <v>251</v>
      </c>
      <c r="B203" s="3" t="s">
        <v>70</v>
      </c>
      <c r="C203" s="1" t="s">
        <v>21</v>
      </c>
      <c r="D203" s="3"/>
      <c r="E203" s="3" t="s">
        <v>22</v>
      </c>
      <c r="F203" s="3">
        <v>0.29</v>
      </c>
      <c r="G203" s="3">
        <v>480</v>
      </c>
      <c r="H203" s="3">
        <f t="shared" si="4"/>
        <v>139.2</v>
      </c>
      <c r="I203" s="3"/>
      <c r="J203" s="1">
        <v>9.9</v>
      </c>
      <c r="K203" s="1" t="s">
        <v>25</v>
      </c>
    </row>
    <row r="204" customHeight="1" spans="1:11">
      <c r="A204" s="3">
        <v>252</v>
      </c>
      <c r="B204" s="3" t="s">
        <v>74</v>
      </c>
      <c r="C204" s="1" t="s">
        <v>21</v>
      </c>
      <c r="D204" s="3"/>
      <c r="E204" s="3" t="s">
        <v>22</v>
      </c>
      <c r="F204" s="3">
        <v>0.07</v>
      </c>
      <c r="G204" s="3">
        <v>480</v>
      </c>
      <c r="H204" s="3">
        <f t="shared" si="4"/>
        <v>33.6</v>
      </c>
      <c r="I204" s="3"/>
      <c r="J204" s="1">
        <v>9.9</v>
      </c>
    </row>
    <row r="205" customHeight="1" spans="1:11">
      <c r="A205" s="3">
        <v>253</v>
      </c>
      <c r="B205" s="3" t="s">
        <v>75</v>
      </c>
      <c r="C205" s="1" t="s">
        <v>21</v>
      </c>
      <c r="D205" s="3"/>
      <c r="E205" s="3" t="s">
        <v>22</v>
      </c>
      <c r="F205" s="3">
        <v>0.16</v>
      </c>
      <c r="G205" s="3">
        <v>480</v>
      </c>
      <c r="H205" s="3">
        <f t="shared" si="4"/>
        <v>76.8</v>
      </c>
      <c r="I205" s="3"/>
      <c r="J205" s="1">
        <v>9.9</v>
      </c>
    </row>
    <row r="206" customHeight="1" spans="1:11">
      <c r="A206" s="3">
        <v>254</v>
      </c>
      <c r="B206" s="3" t="s">
        <v>71</v>
      </c>
      <c r="C206" s="1" t="s">
        <v>21</v>
      </c>
      <c r="D206" s="3"/>
      <c r="E206" s="3" t="s">
        <v>22</v>
      </c>
      <c r="F206" s="3">
        <v>0.15</v>
      </c>
      <c r="G206" s="3">
        <v>480</v>
      </c>
      <c r="H206" s="3">
        <f t="shared" si="4"/>
        <v>72</v>
      </c>
      <c r="I206" s="3"/>
      <c r="J206" s="1">
        <v>9.9</v>
      </c>
    </row>
    <row r="207" customHeight="1" spans="1:11">
      <c r="A207" s="3">
        <v>255</v>
      </c>
      <c r="B207" s="3" t="s">
        <v>83</v>
      </c>
      <c r="C207" s="1" t="s">
        <v>21</v>
      </c>
      <c r="D207" s="3"/>
      <c r="E207" s="3" t="s">
        <v>22</v>
      </c>
      <c r="F207" s="3">
        <v>1.3</v>
      </c>
      <c r="G207" s="3">
        <v>480</v>
      </c>
      <c r="H207" s="3">
        <f t="shared" si="4"/>
        <v>624</v>
      </c>
      <c r="I207" s="3"/>
      <c r="J207" s="1">
        <v>9.9</v>
      </c>
    </row>
    <row r="208" customHeight="1" spans="1:11">
      <c r="A208" s="3">
        <v>256</v>
      </c>
      <c r="B208" s="3" t="s">
        <v>91</v>
      </c>
      <c r="C208" s="1" t="s">
        <v>21</v>
      </c>
      <c r="D208" s="3"/>
      <c r="E208" s="3" t="s">
        <v>22</v>
      </c>
      <c r="F208" s="3">
        <v>0.92</v>
      </c>
      <c r="G208" s="3">
        <v>480</v>
      </c>
      <c r="H208" s="3">
        <f t="shared" si="4"/>
        <v>441.6</v>
      </c>
      <c r="I208" s="3"/>
      <c r="J208" s="1">
        <v>9.9</v>
      </c>
    </row>
    <row r="209" customHeight="1" spans="1:10">
      <c r="A209" s="3">
        <v>257</v>
      </c>
      <c r="B209" s="3" t="s">
        <v>80</v>
      </c>
      <c r="C209" s="1" t="s">
        <v>21</v>
      </c>
      <c r="D209" s="3"/>
      <c r="E209" s="3" t="s">
        <v>22</v>
      </c>
      <c r="F209" s="3">
        <v>0.28</v>
      </c>
      <c r="G209" s="3">
        <v>480</v>
      </c>
      <c r="H209" s="3">
        <f t="shared" si="4"/>
        <v>134.4</v>
      </c>
      <c r="I209" s="3"/>
      <c r="J209" s="1">
        <v>9.9</v>
      </c>
    </row>
    <row r="210" customHeight="1" spans="1:10">
      <c r="A210" s="3">
        <v>258</v>
      </c>
      <c r="B210" s="3" t="s">
        <v>82</v>
      </c>
      <c r="C210" s="1" t="s">
        <v>21</v>
      </c>
      <c r="D210" s="3"/>
      <c r="E210" s="3" t="s">
        <v>22</v>
      </c>
      <c r="F210" s="3">
        <v>0.62</v>
      </c>
      <c r="G210" s="3">
        <v>480</v>
      </c>
      <c r="H210" s="3">
        <f t="shared" si="4"/>
        <v>297.6</v>
      </c>
      <c r="I210" s="3"/>
      <c r="J210" s="1">
        <v>9.9</v>
      </c>
    </row>
    <row r="211" customHeight="1" spans="1:10">
      <c r="A211" s="3">
        <v>259</v>
      </c>
      <c r="B211" s="3" t="s">
        <v>93</v>
      </c>
      <c r="C211" s="1" t="s">
        <v>21</v>
      </c>
      <c r="D211" s="3"/>
      <c r="E211" s="3" t="s">
        <v>22</v>
      </c>
      <c r="F211" s="3">
        <v>0.2</v>
      </c>
      <c r="G211" s="3">
        <v>480</v>
      </c>
      <c r="H211" s="3">
        <f t="shared" si="4"/>
        <v>96</v>
      </c>
      <c r="I211" s="3"/>
      <c r="J211" s="1">
        <v>9.9</v>
      </c>
    </row>
    <row r="212" customHeight="1" spans="1:10">
      <c r="A212" s="3">
        <v>260</v>
      </c>
      <c r="B212" s="1" t="s">
        <v>104</v>
      </c>
      <c r="C212" s="1" t="s">
        <v>21</v>
      </c>
      <c r="D212" s="3"/>
      <c r="E212" s="3" t="s">
        <v>22</v>
      </c>
      <c r="F212" s="1">
        <v>0.34</v>
      </c>
      <c r="G212" s="3">
        <v>480</v>
      </c>
      <c r="H212" s="3">
        <f t="shared" si="4"/>
        <v>163.2</v>
      </c>
      <c r="I212" s="3"/>
      <c r="J212" s="24" t="s">
        <v>105</v>
      </c>
    </row>
    <row r="213" customHeight="1" spans="1:10">
      <c r="A213" s="3">
        <v>261</v>
      </c>
      <c r="B213" s="1" t="s">
        <v>106</v>
      </c>
      <c r="C213" s="1" t="s">
        <v>21</v>
      </c>
      <c r="D213" s="3"/>
      <c r="E213" s="3" t="s">
        <v>22</v>
      </c>
      <c r="F213" s="1">
        <v>0.51</v>
      </c>
      <c r="G213" s="3">
        <v>480</v>
      </c>
      <c r="H213" s="3">
        <f t="shared" si="4"/>
        <v>244.8</v>
      </c>
      <c r="I213" s="3"/>
      <c r="J213" s="24" t="s">
        <v>105</v>
      </c>
    </row>
    <row r="214" customHeight="1" spans="1:10">
      <c r="A214" s="3">
        <v>262</v>
      </c>
      <c r="B214" s="1" t="s">
        <v>107</v>
      </c>
      <c r="C214" s="1" t="s">
        <v>21</v>
      </c>
      <c r="D214" s="3"/>
      <c r="E214" s="3" t="s">
        <v>22</v>
      </c>
      <c r="F214" s="1">
        <v>1.96</v>
      </c>
      <c r="G214" s="3">
        <v>480</v>
      </c>
      <c r="H214" s="3">
        <f t="shared" si="4"/>
        <v>940.8</v>
      </c>
      <c r="I214" s="3"/>
      <c r="J214" s="24" t="s">
        <v>105</v>
      </c>
    </row>
    <row r="215" customHeight="1" spans="1:10">
      <c r="A215" s="3">
        <v>263</v>
      </c>
      <c r="B215" s="1" t="s">
        <v>108</v>
      </c>
      <c r="C215" s="1" t="s">
        <v>21</v>
      </c>
      <c r="D215" s="3"/>
      <c r="E215" s="3" t="s">
        <v>22</v>
      </c>
      <c r="F215" s="1">
        <v>1.54</v>
      </c>
      <c r="G215" s="3">
        <v>480</v>
      </c>
      <c r="H215" s="3">
        <f t="shared" si="4"/>
        <v>739.2</v>
      </c>
      <c r="I215" s="3"/>
      <c r="J215" s="24" t="s">
        <v>105</v>
      </c>
    </row>
    <row r="216" customHeight="1" spans="1:10">
      <c r="A216" s="3">
        <v>264</v>
      </c>
      <c r="B216" s="1" t="s">
        <v>106</v>
      </c>
      <c r="C216" s="1" t="s">
        <v>21</v>
      </c>
      <c r="D216" s="3"/>
      <c r="E216" s="3" t="s">
        <v>22</v>
      </c>
      <c r="F216" s="1">
        <v>1.83</v>
      </c>
      <c r="G216" s="3">
        <v>480</v>
      </c>
      <c r="H216" s="3">
        <f t="shared" si="4"/>
        <v>878.4</v>
      </c>
      <c r="I216" s="3"/>
      <c r="J216" s="24" t="s">
        <v>105</v>
      </c>
    </row>
    <row r="217" customHeight="1" spans="1:10">
      <c r="A217" s="3">
        <v>265</v>
      </c>
      <c r="B217" s="1" t="s">
        <v>109</v>
      </c>
      <c r="C217" s="1" t="s">
        <v>21</v>
      </c>
      <c r="D217" s="3"/>
      <c r="E217" s="3" t="s">
        <v>22</v>
      </c>
      <c r="F217" s="1">
        <v>0.77</v>
      </c>
      <c r="G217" s="3">
        <v>480</v>
      </c>
      <c r="H217" s="3">
        <f t="shared" si="4"/>
        <v>369.6</v>
      </c>
      <c r="I217" s="3"/>
      <c r="J217" s="24" t="s">
        <v>105</v>
      </c>
    </row>
    <row r="218" customHeight="1" spans="1:10">
      <c r="A218" s="3">
        <v>266</v>
      </c>
      <c r="B218" s="1" t="s">
        <v>110</v>
      </c>
      <c r="C218" s="1" t="s">
        <v>21</v>
      </c>
      <c r="D218" s="3"/>
      <c r="E218" s="3" t="s">
        <v>22</v>
      </c>
      <c r="F218" s="1">
        <v>2.18</v>
      </c>
      <c r="G218" s="3">
        <v>480</v>
      </c>
      <c r="H218" s="3">
        <f t="shared" si="4"/>
        <v>1046.4</v>
      </c>
      <c r="I218" s="3"/>
      <c r="J218" s="24" t="s">
        <v>105</v>
      </c>
    </row>
    <row r="219" customHeight="1" spans="1:10">
      <c r="A219" s="3">
        <v>267</v>
      </c>
      <c r="B219" s="1" t="s">
        <v>111</v>
      </c>
      <c r="C219" s="1" t="s">
        <v>21</v>
      </c>
      <c r="D219" s="3"/>
      <c r="E219" s="3" t="s">
        <v>22</v>
      </c>
      <c r="F219" s="1">
        <v>2.39</v>
      </c>
      <c r="G219" s="3">
        <v>480</v>
      </c>
      <c r="H219" s="3">
        <f t="shared" si="4"/>
        <v>1147.2</v>
      </c>
      <c r="I219" s="3"/>
      <c r="J219" s="24" t="s">
        <v>105</v>
      </c>
    </row>
    <row r="220" customHeight="1" spans="1:10">
      <c r="A220" s="3">
        <v>268</v>
      </c>
      <c r="B220" s="1" t="s">
        <v>112</v>
      </c>
      <c r="C220" s="1" t="s">
        <v>21</v>
      </c>
      <c r="D220" s="3"/>
      <c r="E220" s="3" t="s">
        <v>22</v>
      </c>
      <c r="F220" s="1">
        <v>1.52</v>
      </c>
      <c r="G220" s="3">
        <v>480</v>
      </c>
      <c r="H220" s="3">
        <f t="shared" si="4"/>
        <v>729.6</v>
      </c>
      <c r="I220" s="3"/>
      <c r="J220" s="24" t="s">
        <v>105</v>
      </c>
    </row>
    <row r="221" customHeight="1" spans="1:10">
      <c r="A221" s="3">
        <v>269</v>
      </c>
      <c r="B221" s="1" t="s">
        <v>113</v>
      </c>
      <c r="C221" s="1" t="s">
        <v>21</v>
      </c>
      <c r="D221" s="3"/>
      <c r="E221" s="3" t="s">
        <v>22</v>
      </c>
      <c r="F221" s="1">
        <v>1.79</v>
      </c>
      <c r="G221" s="3">
        <v>480</v>
      </c>
      <c r="H221" s="3">
        <f t="shared" si="4"/>
        <v>859.2</v>
      </c>
      <c r="I221" s="3"/>
      <c r="J221" s="24" t="s">
        <v>105</v>
      </c>
    </row>
    <row r="222" customHeight="1" spans="1:10">
      <c r="A222" s="3">
        <v>270</v>
      </c>
      <c r="B222" s="1" t="s">
        <v>114</v>
      </c>
      <c r="C222" s="1" t="s">
        <v>21</v>
      </c>
      <c r="D222" s="3"/>
      <c r="E222" s="3" t="s">
        <v>22</v>
      </c>
      <c r="F222" s="1">
        <v>0.52</v>
      </c>
      <c r="G222" s="3">
        <v>480</v>
      </c>
      <c r="H222" s="3">
        <f t="shared" si="4"/>
        <v>249.6</v>
      </c>
      <c r="I222" s="3"/>
      <c r="J222" s="24" t="s">
        <v>105</v>
      </c>
    </row>
    <row r="223" customHeight="1" spans="1:10">
      <c r="A223" s="3">
        <v>271</v>
      </c>
      <c r="B223" s="1" t="s">
        <v>115</v>
      </c>
      <c r="C223" s="1" t="s">
        <v>21</v>
      </c>
      <c r="D223" s="3"/>
      <c r="E223" s="3" t="s">
        <v>22</v>
      </c>
      <c r="F223" s="1">
        <v>0.42</v>
      </c>
      <c r="G223" s="3">
        <v>480</v>
      </c>
      <c r="H223" s="3">
        <f t="shared" si="4"/>
        <v>201.6</v>
      </c>
      <c r="I223" s="3"/>
      <c r="J223" s="24" t="s">
        <v>105</v>
      </c>
    </row>
    <row r="224" customHeight="1" spans="1:10">
      <c r="A224" s="3">
        <v>272</v>
      </c>
      <c r="B224" s="1" t="s">
        <v>116</v>
      </c>
      <c r="C224" s="1" t="s">
        <v>21</v>
      </c>
      <c r="D224" s="3"/>
      <c r="E224" s="3" t="s">
        <v>22</v>
      </c>
      <c r="F224" s="1">
        <v>1.07</v>
      </c>
      <c r="G224" s="3">
        <v>480</v>
      </c>
      <c r="H224" s="3">
        <f t="shared" si="4"/>
        <v>513.6</v>
      </c>
      <c r="I224" s="3"/>
      <c r="J224" s="24" t="s">
        <v>105</v>
      </c>
    </row>
    <row r="225" customHeight="1" spans="1:11">
      <c r="A225" s="3">
        <v>273</v>
      </c>
      <c r="B225" s="1" t="s">
        <v>117</v>
      </c>
      <c r="C225" s="1" t="s">
        <v>21</v>
      </c>
      <c r="D225" s="3"/>
      <c r="E225" s="3" t="s">
        <v>22</v>
      </c>
      <c r="F225" s="1">
        <v>1.56</v>
      </c>
      <c r="G225" s="3">
        <v>480</v>
      </c>
      <c r="H225" s="3">
        <f t="shared" si="4"/>
        <v>748.8</v>
      </c>
      <c r="I225" s="3"/>
      <c r="J225" s="24" t="s">
        <v>105</v>
      </c>
    </row>
    <row r="226" customHeight="1" spans="1:11">
      <c r="A226" s="3">
        <v>274</v>
      </c>
      <c r="B226" s="1" t="s">
        <v>118</v>
      </c>
      <c r="C226" s="1" t="s">
        <v>21</v>
      </c>
      <c r="D226" s="3"/>
      <c r="E226" s="3" t="s">
        <v>22</v>
      </c>
      <c r="F226" s="1">
        <v>1.52</v>
      </c>
      <c r="G226" s="3">
        <v>480</v>
      </c>
      <c r="H226" s="3">
        <f t="shared" si="4"/>
        <v>729.6</v>
      </c>
      <c r="I226" s="3"/>
      <c r="J226" s="24" t="s">
        <v>105</v>
      </c>
    </row>
    <row r="227" customHeight="1" spans="1:11">
      <c r="A227" s="3">
        <v>275</v>
      </c>
      <c r="B227" s="1" t="s">
        <v>119</v>
      </c>
      <c r="C227" s="1" t="s">
        <v>21</v>
      </c>
      <c r="D227" s="3"/>
      <c r="E227" s="3" t="s">
        <v>22</v>
      </c>
      <c r="F227" s="1">
        <v>0.15</v>
      </c>
      <c r="G227" s="3">
        <v>480</v>
      </c>
      <c r="H227" s="3">
        <f t="shared" si="4"/>
        <v>72</v>
      </c>
      <c r="I227" s="3"/>
      <c r="J227" s="24" t="s">
        <v>105</v>
      </c>
    </row>
    <row r="228" customHeight="1" spans="1:11">
      <c r="A228" s="3">
        <v>276</v>
      </c>
      <c r="B228" s="1" t="s">
        <v>120</v>
      </c>
      <c r="C228" s="1" t="s">
        <v>21</v>
      </c>
      <c r="D228" s="3"/>
      <c r="E228" s="3" t="s">
        <v>22</v>
      </c>
      <c r="F228" s="1">
        <v>0.47</v>
      </c>
      <c r="G228" s="3">
        <v>480</v>
      </c>
      <c r="H228" s="3">
        <f t="shared" si="4"/>
        <v>225.6</v>
      </c>
      <c r="I228" s="3"/>
      <c r="J228" s="24" t="s">
        <v>105</v>
      </c>
    </row>
    <row r="229" customHeight="1" spans="1:11">
      <c r="A229" s="3">
        <v>277</v>
      </c>
      <c r="B229" s="1" t="s">
        <v>121</v>
      </c>
      <c r="C229" s="1" t="s">
        <v>21</v>
      </c>
      <c r="D229" s="3"/>
      <c r="E229" s="3" t="s">
        <v>22</v>
      </c>
      <c r="F229" s="1">
        <v>1.7</v>
      </c>
      <c r="G229" s="3">
        <v>480</v>
      </c>
      <c r="H229" s="3">
        <f t="shared" si="4"/>
        <v>816</v>
      </c>
      <c r="I229" s="3"/>
      <c r="J229" s="24" t="s">
        <v>105</v>
      </c>
    </row>
    <row r="230" customHeight="1" spans="1:11">
      <c r="A230" s="3">
        <v>278</v>
      </c>
      <c r="B230" s="1" t="s">
        <v>122</v>
      </c>
      <c r="C230" s="1" t="s">
        <v>21</v>
      </c>
      <c r="D230" s="3"/>
      <c r="E230" s="3" t="s">
        <v>22</v>
      </c>
      <c r="F230" s="1">
        <v>1.15</v>
      </c>
      <c r="G230" s="3">
        <v>480</v>
      </c>
      <c r="H230" s="3">
        <f t="shared" si="4"/>
        <v>552</v>
      </c>
      <c r="I230" s="3"/>
      <c r="J230" s="24" t="s">
        <v>105</v>
      </c>
    </row>
    <row r="231" customHeight="1" spans="1:11">
      <c r="A231" s="3">
        <v>279</v>
      </c>
      <c r="B231" s="1" t="s">
        <v>123</v>
      </c>
      <c r="C231" s="1" t="s">
        <v>21</v>
      </c>
      <c r="D231" s="3"/>
      <c r="E231" s="3" t="s">
        <v>22</v>
      </c>
      <c r="F231" s="1">
        <v>1.29</v>
      </c>
      <c r="G231" s="3">
        <v>480</v>
      </c>
      <c r="H231" s="3">
        <f t="shared" si="4"/>
        <v>619.2</v>
      </c>
      <c r="I231" s="3"/>
      <c r="J231" s="24" t="s">
        <v>105</v>
      </c>
    </row>
    <row r="232" customHeight="1" spans="1:11">
      <c r="A232" s="3">
        <v>280</v>
      </c>
      <c r="B232" s="1" t="s">
        <v>124</v>
      </c>
      <c r="C232" s="1" t="s">
        <v>21</v>
      </c>
      <c r="D232" s="3"/>
      <c r="E232" s="3" t="s">
        <v>22</v>
      </c>
      <c r="F232" s="1">
        <v>0.58</v>
      </c>
      <c r="G232" s="3">
        <v>480</v>
      </c>
      <c r="H232" s="3">
        <f t="shared" si="4"/>
        <v>278.4</v>
      </c>
      <c r="I232" s="3"/>
      <c r="J232" s="24" t="s">
        <v>105</v>
      </c>
    </row>
    <row r="233" customHeight="1" spans="1:11">
      <c r="A233" s="3">
        <v>281</v>
      </c>
      <c r="B233" s="1" t="s">
        <v>125</v>
      </c>
      <c r="C233" s="1" t="s">
        <v>21</v>
      </c>
      <c r="D233" s="3"/>
      <c r="E233" s="3" t="s">
        <v>22</v>
      </c>
      <c r="F233" s="1">
        <v>0.6</v>
      </c>
      <c r="G233" s="3">
        <v>480</v>
      </c>
      <c r="H233" s="3">
        <f t="shared" si="4"/>
        <v>288</v>
      </c>
      <c r="I233" s="3"/>
      <c r="J233" s="24" t="s">
        <v>105</v>
      </c>
    </row>
    <row r="234" customHeight="1" spans="1:11">
      <c r="A234" s="3">
        <v>282</v>
      </c>
      <c r="B234" s="1" t="s">
        <v>126</v>
      </c>
      <c r="C234" s="1" t="s">
        <v>21</v>
      </c>
      <c r="D234" s="3"/>
      <c r="E234" s="3" t="s">
        <v>22</v>
      </c>
      <c r="F234" s="1">
        <v>0.49</v>
      </c>
      <c r="G234" s="3">
        <v>480</v>
      </c>
      <c r="H234" s="3">
        <f t="shared" si="4"/>
        <v>235.2</v>
      </c>
      <c r="I234" s="3"/>
      <c r="J234" s="24" t="s">
        <v>105</v>
      </c>
    </row>
    <row r="235" customHeight="1" spans="1:11">
      <c r="A235" s="3">
        <v>283</v>
      </c>
      <c r="B235" s="1" t="s">
        <v>127</v>
      </c>
      <c r="C235" s="1" t="s">
        <v>21</v>
      </c>
      <c r="D235" s="3"/>
      <c r="E235" s="3" t="s">
        <v>22</v>
      </c>
      <c r="F235" s="1">
        <v>1.99</v>
      </c>
      <c r="G235" s="3">
        <v>480</v>
      </c>
      <c r="H235" s="3">
        <f t="shared" si="4"/>
        <v>955.2</v>
      </c>
      <c r="I235" s="3"/>
      <c r="J235" s="24" t="s">
        <v>105</v>
      </c>
    </row>
    <row r="236" customHeight="1" spans="1:11">
      <c r="A236" s="3">
        <v>284</v>
      </c>
      <c r="B236" s="1" t="s">
        <v>128</v>
      </c>
      <c r="C236" s="1" t="s">
        <v>21</v>
      </c>
      <c r="D236" s="3"/>
      <c r="E236" s="3" t="s">
        <v>22</v>
      </c>
      <c r="F236" s="1">
        <v>1.63</v>
      </c>
      <c r="G236" s="3">
        <v>480</v>
      </c>
      <c r="H236" s="3">
        <f t="shared" si="4"/>
        <v>782.4</v>
      </c>
      <c r="I236" s="3"/>
      <c r="J236" s="24" t="s">
        <v>105</v>
      </c>
    </row>
    <row r="237" customHeight="1" spans="1:11">
      <c r="A237" s="3">
        <v>285</v>
      </c>
      <c r="B237" s="1" t="s">
        <v>129</v>
      </c>
      <c r="C237" s="1" t="s">
        <v>21</v>
      </c>
      <c r="D237" s="3"/>
      <c r="E237" s="3" t="s">
        <v>22</v>
      </c>
      <c r="F237" s="1">
        <v>0.18</v>
      </c>
      <c r="G237" s="3">
        <v>480</v>
      </c>
      <c r="H237" s="3">
        <f t="shared" si="4"/>
        <v>86.4</v>
      </c>
      <c r="I237" s="3"/>
      <c r="J237" s="24" t="s">
        <v>105</v>
      </c>
    </row>
    <row r="238" customHeight="1" spans="1:11">
      <c r="A238" s="3">
        <v>286</v>
      </c>
      <c r="B238" s="1" t="s">
        <v>130</v>
      </c>
      <c r="C238" s="1" t="s">
        <v>21</v>
      </c>
      <c r="D238" s="3"/>
      <c r="E238" s="3" t="s">
        <v>22</v>
      </c>
      <c r="F238" s="1">
        <v>0.1</v>
      </c>
      <c r="G238" s="3">
        <v>480</v>
      </c>
      <c r="H238" s="3">
        <f t="shared" si="4"/>
        <v>48</v>
      </c>
      <c r="I238" s="3"/>
      <c r="J238" s="24" t="s">
        <v>105</v>
      </c>
      <c r="K238" s="1" t="s">
        <v>25</v>
      </c>
    </row>
    <row r="239" customHeight="1" spans="1:11">
      <c r="A239" s="3">
        <v>287</v>
      </c>
      <c r="B239" s="1" t="s">
        <v>129</v>
      </c>
      <c r="C239" s="1" t="s">
        <v>21</v>
      </c>
      <c r="D239" s="3"/>
      <c r="E239" s="3" t="s">
        <v>22</v>
      </c>
      <c r="F239" s="1">
        <v>1</v>
      </c>
      <c r="G239" s="3">
        <v>480</v>
      </c>
      <c r="H239" s="3">
        <f t="shared" si="4"/>
        <v>480</v>
      </c>
      <c r="I239" s="3"/>
      <c r="J239" s="24" t="s">
        <v>105</v>
      </c>
    </row>
    <row r="240" customHeight="1" spans="1:11">
      <c r="A240" s="3">
        <v>288</v>
      </c>
      <c r="B240" s="1" t="s">
        <v>114</v>
      </c>
      <c r="C240" s="1" t="s">
        <v>21</v>
      </c>
      <c r="D240" s="3"/>
      <c r="E240" s="3" t="s">
        <v>22</v>
      </c>
      <c r="F240" s="1">
        <v>1.36</v>
      </c>
      <c r="G240" s="3">
        <v>480</v>
      </c>
      <c r="H240" s="3">
        <f t="shared" si="4"/>
        <v>652.8</v>
      </c>
      <c r="I240" s="3"/>
      <c r="J240" s="24" t="s">
        <v>105</v>
      </c>
    </row>
    <row r="241" customHeight="1" spans="1:11">
      <c r="A241" s="3">
        <v>289</v>
      </c>
      <c r="B241" s="1" t="s">
        <v>106</v>
      </c>
      <c r="C241" s="1" t="s">
        <v>21</v>
      </c>
      <c r="D241" s="3"/>
      <c r="E241" s="3" t="s">
        <v>22</v>
      </c>
      <c r="F241" s="1">
        <v>1.46</v>
      </c>
      <c r="G241" s="3">
        <v>480</v>
      </c>
      <c r="H241" s="3">
        <f t="shared" si="4"/>
        <v>700.8</v>
      </c>
      <c r="I241" s="3"/>
      <c r="J241" s="24" t="s">
        <v>105</v>
      </c>
    </row>
    <row r="242" customHeight="1" spans="1:11">
      <c r="A242" s="3">
        <v>290</v>
      </c>
      <c r="B242" s="1" t="s">
        <v>120</v>
      </c>
      <c r="C242" s="1" t="s">
        <v>21</v>
      </c>
      <c r="D242" s="3"/>
      <c r="E242" s="3" t="s">
        <v>22</v>
      </c>
      <c r="F242" s="1">
        <v>0.48</v>
      </c>
      <c r="G242" s="3">
        <v>480</v>
      </c>
      <c r="H242" s="3">
        <f t="shared" si="4"/>
        <v>230.4</v>
      </c>
      <c r="I242" s="3"/>
      <c r="J242" s="24" t="s">
        <v>105</v>
      </c>
    </row>
    <row r="243" customHeight="1" spans="1:11">
      <c r="A243" s="3">
        <v>291</v>
      </c>
      <c r="B243" s="1" t="s">
        <v>110</v>
      </c>
      <c r="C243" s="1" t="s">
        <v>21</v>
      </c>
      <c r="D243" s="3"/>
      <c r="E243" s="3" t="s">
        <v>22</v>
      </c>
      <c r="F243" s="1">
        <v>0.1</v>
      </c>
      <c r="G243" s="3">
        <v>480</v>
      </c>
      <c r="H243" s="3">
        <f t="shared" si="4"/>
        <v>48</v>
      </c>
      <c r="I243" s="3"/>
      <c r="J243" s="24" t="s">
        <v>105</v>
      </c>
    </row>
    <row r="244" customHeight="1" spans="1:11">
      <c r="A244" s="3">
        <v>292</v>
      </c>
      <c r="B244" s="1" t="s">
        <v>122</v>
      </c>
      <c r="C244" s="1" t="s">
        <v>21</v>
      </c>
      <c r="D244" s="3"/>
      <c r="E244" s="3" t="s">
        <v>22</v>
      </c>
      <c r="F244" s="1">
        <v>0.4</v>
      </c>
      <c r="G244" s="3">
        <v>480</v>
      </c>
      <c r="H244" s="3">
        <f t="shared" si="4"/>
        <v>192</v>
      </c>
      <c r="I244" s="3"/>
      <c r="J244" s="24" t="s">
        <v>105</v>
      </c>
    </row>
    <row r="245" customHeight="1" spans="1:11">
      <c r="A245" s="3">
        <v>293</v>
      </c>
      <c r="B245" s="1" t="s">
        <v>131</v>
      </c>
      <c r="C245" s="1" t="s">
        <v>21</v>
      </c>
      <c r="D245" s="3"/>
      <c r="E245" s="3" t="s">
        <v>22</v>
      </c>
      <c r="F245" s="1">
        <v>0.84</v>
      </c>
      <c r="G245" s="3">
        <v>480</v>
      </c>
      <c r="H245" s="3">
        <f t="shared" si="4"/>
        <v>403.2</v>
      </c>
      <c r="I245" s="3"/>
      <c r="J245" s="24" t="s">
        <v>105</v>
      </c>
    </row>
    <row r="246" customHeight="1" spans="1:11">
      <c r="A246" s="3">
        <v>294</v>
      </c>
      <c r="B246" s="1" t="s">
        <v>132</v>
      </c>
      <c r="C246" s="1" t="s">
        <v>21</v>
      </c>
      <c r="D246" s="3"/>
      <c r="E246" s="3" t="s">
        <v>22</v>
      </c>
      <c r="F246" s="1">
        <v>0.54</v>
      </c>
      <c r="G246" s="3">
        <v>480</v>
      </c>
      <c r="H246" s="3">
        <f t="shared" si="4"/>
        <v>259.2</v>
      </c>
      <c r="I246" s="3"/>
      <c r="J246" s="24" t="s">
        <v>105</v>
      </c>
    </row>
    <row r="247" customHeight="1" spans="1:11">
      <c r="A247" s="3">
        <v>295</v>
      </c>
      <c r="B247" s="1" t="s">
        <v>109</v>
      </c>
      <c r="C247" s="1" t="s">
        <v>21</v>
      </c>
      <c r="D247" s="3"/>
      <c r="E247" s="3" t="s">
        <v>22</v>
      </c>
      <c r="F247" s="1">
        <v>0.48</v>
      </c>
      <c r="G247" s="3">
        <v>480</v>
      </c>
      <c r="H247" s="3">
        <f t="shared" si="4"/>
        <v>230.4</v>
      </c>
      <c r="I247" s="3"/>
      <c r="J247" s="24" t="s">
        <v>105</v>
      </c>
    </row>
    <row r="248" customHeight="1" spans="1:11">
      <c r="A248" s="3">
        <v>296</v>
      </c>
      <c r="B248" s="1" t="s">
        <v>107</v>
      </c>
      <c r="C248" s="1" t="s">
        <v>21</v>
      </c>
      <c r="D248" s="3"/>
      <c r="E248" s="3" t="s">
        <v>22</v>
      </c>
      <c r="F248" s="1">
        <v>0.48</v>
      </c>
      <c r="G248" s="3">
        <v>480</v>
      </c>
      <c r="H248" s="3">
        <f t="shared" si="4"/>
        <v>230.4</v>
      </c>
      <c r="I248" s="3"/>
      <c r="J248" s="24" t="s">
        <v>105</v>
      </c>
    </row>
    <row r="249" customHeight="1" spans="1:11">
      <c r="A249" s="3">
        <v>297</v>
      </c>
      <c r="B249" s="1" t="s">
        <v>133</v>
      </c>
      <c r="C249" s="1" t="s">
        <v>21</v>
      </c>
      <c r="D249" s="3"/>
      <c r="E249" s="3" t="s">
        <v>22</v>
      </c>
      <c r="F249" s="1">
        <v>0.48</v>
      </c>
      <c r="G249" s="3">
        <v>480</v>
      </c>
      <c r="H249" s="3">
        <f t="shared" si="4"/>
        <v>230.4</v>
      </c>
      <c r="I249" s="3"/>
      <c r="J249" s="24" t="s">
        <v>105</v>
      </c>
    </row>
    <row r="250" customHeight="1" spans="1:11">
      <c r="A250" s="3">
        <v>299</v>
      </c>
      <c r="B250" s="1" t="s">
        <v>134</v>
      </c>
      <c r="C250" s="1" t="s">
        <v>21</v>
      </c>
      <c r="D250" s="3"/>
      <c r="E250" s="3" t="s">
        <v>22</v>
      </c>
      <c r="F250" s="1">
        <v>0.065</v>
      </c>
      <c r="G250" s="3">
        <v>480</v>
      </c>
      <c r="H250" s="3">
        <f t="shared" si="4"/>
        <v>31.2</v>
      </c>
      <c r="I250" s="3"/>
      <c r="J250" s="24" t="s">
        <v>105</v>
      </c>
      <c r="K250" s="1" t="s">
        <v>25</v>
      </c>
    </row>
    <row r="251" customHeight="1" spans="1:11">
      <c r="A251" s="3">
        <v>300</v>
      </c>
      <c r="B251" s="1" t="s">
        <v>34</v>
      </c>
      <c r="C251" s="1" t="s">
        <v>21</v>
      </c>
      <c r="D251" s="3"/>
      <c r="E251" s="3" t="s">
        <v>22</v>
      </c>
      <c r="F251" s="1">
        <v>0.1</v>
      </c>
      <c r="G251" s="3">
        <v>480</v>
      </c>
      <c r="H251" s="3">
        <f t="shared" si="4"/>
        <v>48</v>
      </c>
      <c r="I251" s="3"/>
      <c r="J251" s="24" t="s">
        <v>105</v>
      </c>
      <c r="K251" s="1" t="s">
        <v>25</v>
      </c>
    </row>
    <row r="252" customHeight="1" spans="1:11">
      <c r="A252" s="3">
        <v>301</v>
      </c>
      <c r="B252" s="1" t="s">
        <v>135</v>
      </c>
      <c r="C252" s="1" t="s">
        <v>21</v>
      </c>
      <c r="D252" s="3"/>
      <c r="E252" s="3" t="s">
        <v>22</v>
      </c>
      <c r="F252" s="1">
        <v>0.31</v>
      </c>
      <c r="G252" s="3">
        <v>480</v>
      </c>
      <c r="H252" s="3">
        <f t="shared" si="4"/>
        <v>148.8</v>
      </c>
      <c r="I252" s="3"/>
      <c r="J252" s="24" t="s">
        <v>105</v>
      </c>
      <c r="K252" s="1" t="s">
        <v>25</v>
      </c>
    </row>
    <row r="253" customHeight="1" spans="1:11">
      <c r="A253" s="3">
        <v>302</v>
      </c>
      <c r="B253" s="1" t="s">
        <v>136</v>
      </c>
      <c r="C253" s="1" t="s">
        <v>21</v>
      </c>
      <c r="D253" s="3"/>
      <c r="E253" s="3" t="s">
        <v>22</v>
      </c>
      <c r="F253" s="1">
        <v>0.34</v>
      </c>
      <c r="G253" s="3">
        <v>480</v>
      </c>
      <c r="H253" s="3">
        <f t="shared" si="4"/>
        <v>163.2</v>
      </c>
      <c r="I253" s="3"/>
      <c r="J253" s="24" t="s">
        <v>105</v>
      </c>
    </row>
    <row r="254" customHeight="1" spans="1:11">
      <c r="A254" s="3">
        <v>303</v>
      </c>
      <c r="B254" s="1" t="s">
        <v>137</v>
      </c>
      <c r="C254" s="1" t="s">
        <v>21</v>
      </c>
      <c r="D254" s="3"/>
      <c r="E254" s="3" t="s">
        <v>22</v>
      </c>
      <c r="F254" s="1">
        <v>0.34</v>
      </c>
      <c r="G254" s="3">
        <v>480</v>
      </c>
      <c r="H254" s="3">
        <f t="shared" si="4"/>
        <v>163.2</v>
      </c>
      <c r="I254" s="3"/>
      <c r="J254" s="24" t="s">
        <v>105</v>
      </c>
    </row>
    <row r="255" customHeight="1" spans="1:11">
      <c r="A255" s="3">
        <v>304</v>
      </c>
      <c r="B255" s="1" t="s">
        <v>130</v>
      </c>
      <c r="C255" s="1" t="s">
        <v>21</v>
      </c>
      <c r="D255" s="3"/>
      <c r="E255" s="3" t="s">
        <v>22</v>
      </c>
      <c r="F255" s="1">
        <v>0.27</v>
      </c>
      <c r="G255" s="3">
        <v>480</v>
      </c>
      <c r="H255" s="3">
        <f t="shared" si="4"/>
        <v>129.6</v>
      </c>
      <c r="I255" s="3"/>
      <c r="J255" s="24" t="s">
        <v>105</v>
      </c>
      <c r="K255" s="1" t="s">
        <v>25</v>
      </c>
    </row>
    <row r="256" customHeight="1" spans="1:11">
      <c r="A256" s="3">
        <v>305</v>
      </c>
      <c r="B256" s="1" t="s">
        <v>39</v>
      </c>
      <c r="C256" s="1" t="s">
        <v>21</v>
      </c>
      <c r="D256" s="3"/>
      <c r="E256" s="3" t="s">
        <v>22</v>
      </c>
      <c r="F256" s="1">
        <v>0.16</v>
      </c>
      <c r="G256" s="3">
        <v>480</v>
      </c>
      <c r="H256" s="3">
        <f t="shared" si="4"/>
        <v>76.8</v>
      </c>
      <c r="I256" s="3"/>
      <c r="J256" s="24" t="s">
        <v>138</v>
      </c>
      <c r="K256" s="1" t="s">
        <v>25</v>
      </c>
    </row>
    <row r="257" customHeight="1" spans="1:11">
      <c r="A257" s="3">
        <v>306</v>
      </c>
      <c r="B257" s="1" t="s">
        <v>38</v>
      </c>
      <c r="C257" s="1" t="s">
        <v>21</v>
      </c>
      <c r="D257" s="3"/>
      <c r="E257" s="3" t="s">
        <v>22</v>
      </c>
      <c r="F257" s="1">
        <v>0.05</v>
      </c>
      <c r="G257" s="3">
        <v>480</v>
      </c>
      <c r="H257" s="3">
        <f t="shared" si="4"/>
        <v>24</v>
      </c>
      <c r="I257" s="3"/>
      <c r="J257" s="24" t="s">
        <v>105</v>
      </c>
      <c r="K257" s="1" t="s">
        <v>25</v>
      </c>
    </row>
    <row r="258" customHeight="1" spans="1:11">
      <c r="A258" s="3">
        <v>307</v>
      </c>
      <c r="B258" s="3" t="s">
        <v>139</v>
      </c>
      <c r="C258" s="3" t="s">
        <v>21</v>
      </c>
      <c r="D258" s="3" t="s">
        <v>140</v>
      </c>
      <c r="E258" s="3" t="s">
        <v>13</v>
      </c>
      <c r="F258" s="3">
        <v>0.35</v>
      </c>
      <c r="G258" s="3">
        <v>380</v>
      </c>
      <c r="H258" s="3">
        <f t="shared" si="4"/>
        <v>133</v>
      </c>
      <c r="I258" s="3"/>
      <c r="J258" s="3"/>
    </row>
    <row r="259" customHeight="1" spans="1:11">
      <c r="A259" s="3">
        <v>308</v>
      </c>
      <c r="B259" s="3" t="s">
        <v>111</v>
      </c>
      <c r="C259" s="3" t="s">
        <v>21</v>
      </c>
      <c r="D259" s="3" t="s">
        <v>140</v>
      </c>
      <c r="E259" s="3" t="s">
        <v>13</v>
      </c>
      <c r="F259" s="3">
        <v>0.13</v>
      </c>
      <c r="G259" s="3">
        <v>380</v>
      </c>
      <c r="H259" s="3">
        <f t="shared" si="4"/>
        <v>49.4</v>
      </c>
      <c r="I259" s="3"/>
      <c r="J259" s="3"/>
    </row>
    <row r="260" customHeight="1" spans="1:11">
      <c r="A260" s="3">
        <v>309</v>
      </c>
      <c r="B260" s="3" t="s">
        <v>106</v>
      </c>
      <c r="C260" s="3" t="s">
        <v>21</v>
      </c>
      <c r="D260" s="3" t="s">
        <v>140</v>
      </c>
      <c r="E260" s="3" t="s">
        <v>13</v>
      </c>
      <c r="F260" s="3">
        <v>0.16</v>
      </c>
      <c r="G260" s="3">
        <v>380</v>
      </c>
      <c r="H260" s="3">
        <f t="shared" si="4"/>
        <v>60.8</v>
      </c>
      <c r="I260" s="3"/>
      <c r="J260" s="3"/>
    </row>
    <row r="261" customHeight="1" spans="1:11">
      <c r="A261" s="3">
        <v>310</v>
      </c>
      <c r="B261" s="3" t="s">
        <v>129</v>
      </c>
      <c r="C261" s="3" t="s">
        <v>21</v>
      </c>
      <c r="D261" s="3" t="s">
        <v>140</v>
      </c>
      <c r="E261" s="3" t="s">
        <v>13</v>
      </c>
      <c r="F261" s="3">
        <v>1.01</v>
      </c>
      <c r="G261" s="3">
        <v>380</v>
      </c>
      <c r="H261" s="3">
        <f t="shared" ref="H261:H324" si="5">G261*F261</f>
        <v>383.8</v>
      </c>
      <c r="I261" s="3"/>
      <c r="J261" s="3"/>
    </row>
    <row r="262" customHeight="1" spans="1:11">
      <c r="A262" s="3">
        <v>311</v>
      </c>
      <c r="B262" s="3" t="s">
        <v>119</v>
      </c>
      <c r="C262" s="3" t="s">
        <v>21</v>
      </c>
      <c r="D262" s="3" t="s">
        <v>140</v>
      </c>
      <c r="E262" s="3" t="s">
        <v>13</v>
      </c>
      <c r="F262" s="3">
        <v>0.16</v>
      </c>
      <c r="G262" s="3">
        <v>380</v>
      </c>
      <c r="H262" s="3">
        <f t="shared" si="5"/>
        <v>60.8</v>
      </c>
      <c r="I262" s="3"/>
      <c r="J262" s="3"/>
    </row>
    <row r="263" customHeight="1" spans="1:11">
      <c r="A263" s="3">
        <v>312</v>
      </c>
      <c r="B263" s="3" t="s">
        <v>125</v>
      </c>
      <c r="C263" s="3" t="s">
        <v>21</v>
      </c>
      <c r="D263" s="3" t="s">
        <v>140</v>
      </c>
      <c r="E263" s="3" t="s">
        <v>13</v>
      </c>
      <c r="F263" s="3">
        <v>0.27</v>
      </c>
      <c r="G263" s="3">
        <v>380</v>
      </c>
      <c r="H263" s="3">
        <f t="shared" si="5"/>
        <v>102.6</v>
      </c>
      <c r="I263" s="3"/>
      <c r="J263" s="3"/>
    </row>
    <row r="264" customHeight="1" spans="1:11">
      <c r="A264" s="3">
        <v>313</v>
      </c>
      <c r="B264" s="3" t="s">
        <v>125</v>
      </c>
      <c r="C264" s="3" t="s">
        <v>21</v>
      </c>
      <c r="D264" s="3" t="s">
        <v>140</v>
      </c>
      <c r="E264" s="3" t="s">
        <v>13</v>
      </c>
      <c r="F264" s="3">
        <v>0.64</v>
      </c>
      <c r="G264" s="3">
        <v>380</v>
      </c>
      <c r="H264" s="3">
        <f t="shared" si="5"/>
        <v>243.2</v>
      </c>
      <c r="I264" s="3" t="s">
        <v>141</v>
      </c>
      <c r="J264" s="3"/>
    </row>
    <row r="265" customHeight="1" spans="1:11">
      <c r="A265" s="3">
        <v>314</v>
      </c>
      <c r="B265" s="3" t="s">
        <v>121</v>
      </c>
      <c r="C265" s="3" t="s">
        <v>21</v>
      </c>
      <c r="D265" s="3" t="s">
        <v>140</v>
      </c>
      <c r="E265" s="3" t="s">
        <v>13</v>
      </c>
      <c r="F265" s="3">
        <v>0.4</v>
      </c>
      <c r="G265" s="3">
        <v>380</v>
      </c>
      <c r="H265" s="3">
        <f t="shared" si="5"/>
        <v>152</v>
      </c>
      <c r="I265" s="3"/>
      <c r="J265" s="3"/>
    </row>
    <row r="266" customHeight="1" spans="1:11">
      <c r="A266" s="3">
        <v>315</v>
      </c>
      <c r="B266" s="3" t="s">
        <v>111</v>
      </c>
      <c r="C266" s="3" t="s">
        <v>21</v>
      </c>
      <c r="D266" s="3" t="s">
        <v>142</v>
      </c>
      <c r="E266" s="3" t="s">
        <v>13</v>
      </c>
      <c r="F266" s="3">
        <v>0.36</v>
      </c>
      <c r="G266" s="3">
        <v>380</v>
      </c>
      <c r="H266" s="3">
        <f t="shared" si="5"/>
        <v>136.8</v>
      </c>
      <c r="I266" s="3"/>
      <c r="J266" s="3"/>
    </row>
    <row r="267" customHeight="1" spans="1:11">
      <c r="A267" s="3">
        <v>316</v>
      </c>
      <c r="B267" s="3" t="s">
        <v>143</v>
      </c>
      <c r="C267" s="3" t="s">
        <v>21</v>
      </c>
      <c r="D267" s="3" t="s">
        <v>142</v>
      </c>
      <c r="E267" s="3" t="s">
        <v>13</v>
      </c>
      <c r="F267" s="3">
        <v>0.38</v>
      </c>
      <c r="G267" s="3">
        <v>380</v>
      </c>
      <c r="H267" s="3">
        <f t="shared" si="5"/>
        <v>144.4</v>
      </c>
      <c r="I267" s="3"/>
      <c r="J267" s="3"/>
    </row>
    <row r="268" customHeight="1" spans="1:11">
      <c r="A268" s="3">
        <v>317</v>
      </c>
      <c r="B268" s="3" t="s">
        <v>117</v>
      </c>
      <c r="C268" s="3" t="s">
        <v>21</v>
      </c>
      <c r="D268" s="3" t="s">
        <v>142</v>
      </c>
      <c r="E268" s="3" t="s">
        <v>13</v>
      </c>
      <c r="F268" s="3">
        <v>0.42</v>
      </c>
      <c r="G268" s="3">
        <v>380</v>
      </c>
      <c r="H268" s="3">
        <f t="shared" si="5"/>
        <v>159.6</v>
      </c>
      <c r="I268" s="3"/>
      <c r="J268" s="3"/>
    </row>
    <row r="269" customHeight="1" spans="1:11">
      <c r="A269" s="3">
        <v>318</v>
      </c>
      <c r="B269" s="3" t="s">
        <v>113</v>
      </c>
      <c r="C269" s="3" t="s">
        <v>21</v>
      </c>
      <c r="D269" s="3" t="s">
        <v>142</v>
      </c>
      <c r="E269" s="3" t="s">
        <v>13</v>
      </c>
      <c r="F269" s="3">
        <v>0.11</v>
      </c>
      <c r="G269" s="3">
        <v>380</v>
      </c>
      <c r="H269" s="3">
        <f t="shared" si="5"/>
        <v>41.8</v>
      </c>
      <c r="I269" s="3"/>
      <c r="J269" s="3"/>
    </row>
    <row r="270" customHeight="1" spans="1:11">
      <c r="A270" s="3">
        <v>319</v>
      </c>
      <c r="B270" s="3" t="s">
        <v>127</v>
      </c>
      <c r="C270" s="3" t="s">
        <v>21</v>
      </c>
      <c r="D270" s="3" t="s">
        <v>142</v>
      </c>
      <c r="E270" s="3" t="s">
        <v>13</v>
      </c>
      <c r="F270" s="3">
        <v>0.75</v>
      </c>
      <c r="G270" s="3">
        <v>380</v>
      </c>
      <c r="H270" s="3">
        <f t="shared" si="5"/>
        <v>285</v>
      </c>
      <c r="I270" s="3"/>
      <c r="J270" s="3"/>
    </row>
    <row r="271" customHeight="1" spans="1:11">
      <c r="A271" s="3">
        <v>320</v>
      </c>
      <c r="B271" s="3" t="s">
        <v>110</v>
      </c>
      <c r="C271" s="3" t="s">
        <v>21</v>
      </c>
      <c r="D271" s="3" t="s">
        <v>142</v>
      </c>
      <c r="E271" s="3" t="s">
        <v>13</v>
      </c>
      <c r="F271" s="3">
        <v>0.53</v>
      </c>
      <c r="G271" s="3">
        <v>380</v>
      </c>
      <c r="H271" s="3">
        <f t="shared" si="5"/>
        <v>201.4</v>
      </c>
      <c r="I271" s="3"/>
      <c r="J271" s="3"/>
    </row>
    <row r="272" customHeight="1" spans="1:11">
      <c r="A272" s="3">
        <v>321</v>
      </c>
      <c r="B272" s="3" t="s">
        <v>127</v>
      </c>
      <c r="C272" s="3" t="s">
        <v>21</v>
      </c>
      <c r="D272" s="3" t="s">
        <v>142</v>
      </c>
      <c r="E272" s="3" t="s">
        <v>13</v>
      </c>
      <c r="F272" s="3">
        <v>0.06</v>
      </c>
      <c r="G272" s="3">
        <v>380</v>
      </c>
      <c r="H272" s="3">
        <f t="shared" si="5"/>
        <v>22.8</v>
      </c>
      <c r="I272" s="3"/>
      <c r="J272" s="3"/>
    </row>
    <row r="273" customHeight="1" spans="1:11">
      <c r="A273" s="3">
        <v>322</v>
      </c>
      <c r="B273" s="3" t="s">
        <v>129</v>
      </c>
      <c r="C273" s="3" t="s">
        <v>21</v>
      </c>
      <c r="D273" s="3" t="s">
        <v>142</v>
      </c>
      <c r="E273" s="3" t="s">
        <v>13</v>
      </c>
      <c r="F273" s="3">
        <v>0.3</v>
      </c>
      <c r="G273" s="3">
        <v>380</v>
      </c>
      <c r="H273" s="3">
        <f t="shared" si="5"/>
        <v>114</v>
      </c>
      <c r="I273" s="3"/>
      <c r="J273" s="3"/>
    </row>
    <row r="274" customHeight="1" spans="1:11">
      <c r="A274" s="3">
        <v>323</v>
      </c>
      <c r="B274" s="3" t="s">
        <v>144</v>
      </c>
      <c r="C274" s="3" t="s">
        <v>21</v>
      </c>
      <c r="D274" s="3" t="s">
        <v>142</v>
      </c>
      <c r="E274" s="3" t="s">
        <v>13</v>
      </c>
      <c r="F274" s="3">
        <v>0.52</v>
      </c>
      <c r="G274" s="3">
        <v>380</v>
      </c>
      <c r="H274" s="3">
        <f t="shared" si="5"/>
        <v>197.6</v>
      </c>
      <c r="I274" s="3"/>
      <c r="J274" s="3"/>
    </row>
    <row r="275" customHeight="1" spans="1:11">
      <c r="A275" s="3">
        <v>324</v>
      </c>
      <c r="B275" s="3" t="s">
        <v>129</v>
      </c>
      <c r="C275" s="3" t="s">
        <v>21</v>
      </c>
      <c r="D275" s="3" t="s">
        <v>142</v>
      </c>
      <c r="E275" s="3" t="s">
        <v>13</v>
      </c>
      <c r="F275" s="3">
        <v>0.36</v>
      </c>
      <c r="G275" s="3">
        <v>380</v>
      </c>
      <c r="H275" s="3">
        <f t="shared" si="5"/>
        <v>136.8</v>
      </c>
      <c r="I275" s="3"/>
      <c r="J275" s="3"/>
    </row>
    <row r="276" customHeight="1" spans="1:11">
      <c r="A276" s="3">
        <v>325</v>
      </c>
      <c r="B276" s="3" t="s">
        <v>121</v>
      </c>
      <c r="C276" s="3" t="s">
        <v>21</v>
      </c>
      <c r="D276" s="3" t="s">
        <v>142</v>
      </c>
      <c r="E276" s="3" t="s">
        <v>13</v>
      </c>
      <c r="F276" s="3">
        <v>0.16</v>
      </c>
      <c r="G276" s="3">
        <v>380</v>
      </c>
      <c r="H276" s="3">
        <f t="shared" si="5"/>
        <v>60.8</v>
      </c>
      <c r="I276" s="3"/>
      <c r="J276" s="3"/>
    </row>
    <row r="277" customHeight="1" spans="1:11">
      <c r="A277" s="3">
        <v>326</v>
      </c>
      <c r="B277" s="3" t="s">
        <v>122</v>
      </c>
      <c r="C277" s="3" t="s">
        <v>21</v>
      </c>
      <c r="D277" s="3" t="s">
        <v>142</v>
      </c>
      <c r="E277" s="3" t="s">
        <v>13</v>
      </c>
      <c r="F277" s="3">
        <v>0.42</v>
      </c>
      <c r="G277" s="3">
        <v>380</v>
      </c>
      <c r="H277" s="3">
        <f t="shared" si="5"/>
        <v>159.6</v>
      </c>
      <c r="I277" s="3"/>
      <c r="J277" s="3"/>
    </row>
    <row r="278" customHeight="1" spans="1:11">
      <c r="A278" s="3">
        <v>327</v>
      </c>
      <c r="B278" s="3" t="s">
        <v>145</v>
      </c>
      <c r="C278" s="3" t="s">
        <v>21</v>
      </c>
      <c r="D278" s="3" t="s">
        <v>146</v>
      </c>
      <c r="E278" s="3" t="s">
        <v>13</v>
      </c>
      <c r="F278" s="3">
        <v>0.47</v>
      </c>
      <c r="G278" s="3">
        <v>380</v>
      </c>
      <c r="H278" s="3">
        <f t="shared" si="5"/>
        <v>178.6</v>
      </c>
      <c r="I278" s="3"/>
      <c r="J278" s="3"/>
      <c r="K278" s="1" t="s">
        <v>25</v>
      </c>
    </row>
    <row r="279" customHeight="1" spans="1:11">
      <c r="A279" s="3">
        <v>328</v>
      </c>
      <c r="B279" s="1" t="s">
        <v>33</v>
      </c>
      <c r="C279" s="3" t="s">
        <v>21</v>
      </c>
      <c r="D279" s="3" t="s">
        <v>146</v>
      </c>
      <c r="E279" s="3" t="s">
        <v>13</v>
      </c>
      <c r="F279" s="3">
        <v>0.11</v>
      </c>
      <c r="G279" s="3">
        <v>380</v>
      </c>
      <c r="H279" s="3">
        <f t="shared" si="5"/>
        <v>41.8</v>
      </c>
      <c r="I279" s="3"/>
      <c r="J279" s="3"/>
      <c r="K279" s="1" t="s">
        <v>25</v>
      </c>
    </row>
    <row r="280" customHeight="1" spans="1:11">
      <c r="A280" s="3">
        <v>329</v>
      </c>
      <c r="B280" s="3" t="s">
        <v>26</v>
      </c>
      <c r="C280" s="3" t="s">
        <v>21</v>
      </c>
      <c r="D280" s="3" t="s">
        <v>146</v>
      </c>
      <c r="E280" s="3" t="s">
        <v>13</v>
      </c>
      <c r="F280" s="3">
        <v>0.26</v>
      </c>
      <c r="G280" s="3">
        <v>380</v>
      </c>
      <c r="H280" s="3">
        <f t="shared" si="5"/>
        <v>98.8</v>
      </c>
      <c r="I280" s="3"/>
      <c r="J280" s="3"/>
    </row>
    <row r="281" customHeight="1" spans="1:11">
      <c r="A281" s="3">
        <v>330</v>
      </c>
      <c r="B281" s="3" t="s">
        <v>39</v>
      </c>
      <c r="C281" s="3" t="s">
        <v>21</v>
      </c>
      <c r="D281" s="3" t="s">
        <v>147</v>
      </c>
      <c r="E281" s="3" t="s">
        <v>13</v>
      </c>
      <c r="F281" s="3">
        <v>0.48</v>
      </c>
      <c r="G281" s="3">
        <v>380</v>
      </c>
      <c r="H281" s="3">
        <f t="shared" si="5"/>
        <v>182.4</v>
      </c>
      <c r="I281" s="3"/>
      <c r="J281" s="3" t="s">
        <v>148</v>
      </c>
      <c r="K281" s="1" t="s">
        <v>25</v>
      </c>
    </row>
    <row r="282" customHeight="1" spans="1:11">
      <c r="A282" s="3">
        <v>331</v>
      </c>
      <c r="B282" s="3" t="s">
        <v>149</v>
      </c>
      <c r="C282" s="3" t="s">
        <v>21</v>
      </c>
      <c r="D282" s="3" t="s">
        <v>150</v>
      </c>
      <c r="E282" s="3" t="s">
        <v>13</v>
      </c>
      <c r="F282" s="3">
        <v>1.34</v>
      </c>
      <c r="G282" s="3">
        <v>380</v>
      </c>
      <c r="H282" s="3">
        <f t="shared" si="5"/>
        <v>509.2</v>
      </c>
      <c r="I282" s="3"/>
      <c r="J282" s="3"/>
    </row>
    <row r="283" customHeight="1" spans="1:11">
      <c r="A283" s="3">
        <v>332</v>
      </c>
      <c r="B283" s="3" t="s">
        <v>145</v>
      </c>
      <c r="C283" s="3" t="s">
        <v>21</v>
      </c>
      <c r="D283" s="3" t="s">
        <v>150</v>
      </c>
      <c r="E283" s="3" t="s">
        <v>13</v>
      </c>
      <c r="F283" s="3">
        <v>0.59</v>
      </c>
      <c r="G283" s="3">
        <v>380</v>
      </c>
      <c r="H283" s="3">
        <f t="shared" si="5"/>
        <v>224.2</v>
      </c>
      <c r="I283" s="3"/>
      <c r="J283" s="3"/>
      <c r="K283" s="1" t="s">
        <v>25</v>
      </c>
    </row>
    <row r="284" customHeight="1" spans="1:11">
      <c r="A284" s="3">
        <v>333</v>
      </c>
      <c r="B284" s="3" t="s">
        <v>151</v>
      </c>
      <c r="C284" s="3" t="s">
        <v>21</v>
      </c>
      <c r="D284" s="3" t="s">
        <v>150</v>
      </c>
      <c r="E284" s="3" t="s">
        <v>13</v>
      </c>
      <c r="F284" s="3">
        <v>1.2</v>
      </c>
      <c r="G284" s="3">
        <v>380</v>
      </c>
      <c r="H284" s="3">
        <f t="shared" si="5"/>
        <v>456</v>
      </c>
      <c r="I284" s="3"/>
      <c r="J284" s="3" t="s">
        <v>152</v>
      </c>
    </row>
    <row r="285" customHeight="1" spans="1:11">
      <c r="A285" s="3">
        <v>334</v>
      </c>
      <c r="B285" s="3" t="s">
        <v>153</v>
      </c>
      <c r="C285" s="3" t="s">
        <v>21</v>
      </c>
      <c r="D285" s="3" t="s">
        <v>154</v>
      </c>
      <c r="E285" s="3" t="s">
        <v>13</v>
      </c>
      <c r="F285" s="3">
        <v>0.73</v>
      </c>
      <c r="G285" s="3">
        <v>380</v>
      </c>
      <c r="H285" s="3">
        <f t="shared" si="5"/>
        <v>277.4</v>
      </c>
      <c r="I285" s="3"/>
      <c r="J285" s="3"/>
    </row>
    <row r="286" customHeight="1" spans="1:11">
      <c r="A286" s="3">
        <v>335</v>
      </c>
      <c r="B286" s="3" t="s">
        <v>32</v>
      </c>
      <c r="C286" s="3" t="s">
        <v>21</v>
      </c>
      <c r="D286" s="3" t="s">
        <v>146</v>
      </c>
      <c r="E286" s="3" t="s">
        <v>13</v>
      </c>
      <c r="F286" s="3">
        <v>0.51</v>
      </c>
      <c r="G286" s="3">
        <v>380</v>
      </c>
      <c r="H286" s="3">
        <f t="shared" si="5"/>
        <v>193.8</v>
      </c>
      <c r="I286" s="3"/>
      <c r="J286" s="3"/>
      <c r="K286" s="1" t="s">
        <v>25</v>
      </c>
    </row>
    <row r="287" customHeight="1" spans="1:11">
      <c r="A287" s="3">
        <v>336</v>
      </c>
      <c r="B287" s="3" t="s">
        <v>151</v>
      </c>
      <c r="C287" s="3" t="s">
        <v>21</v>
      </c>
      <c r="D287" s="3" t="s">
        <v>150</v>
      </c>
      <c r="E287" s="3" t="s">
        <v>13</v>
      </c>
      <c r="F287" s="3">
        <v>0.23</v>
      </c>
      <c r="G287" s="3">
        <v>380</v>
      </c>
      <c r="H287" s="3">
        <f t="shared" si="5"/>
        <v>87.4</v>
      </c>
      <c r="I287" s="3"/>
      <c r="J287" s="3"/>
    </row>
    <row r="288" customHeight="1" spans="1:11">
      <c r="A288" s="3">
        <v>337</v>
      </c>
      <c r="B288" s="3" t="s">
        <v>34</v>
      </c>
      <c r="C288" s="3" t="s">
        <v>21</v>
      </c>
      <c r="D288" s="3" t="s">
        <v>154</v>
      </c>
      <c r="E288" s="3" t="s">
        <v>13</v>
      </c>
      <c r="F288" s="3">
        <v>0.22</v>
      </c>
      <c r="G288" s="3">
        <v>380</v>
      </c>
      <c r="H288" s="3">
        <f t="shared" si="5"/>
        <v>83.6</v>
      </c>
      <c r="I288" s="3"/>
      <c r="J288" s="3"/>
      <c r="K288" s="1" t="s">
        <v>25</v>
      </c>
    </row>
    <row r="289" customHeight="1" spans="1:11">
      <c r="A289" s="3">
        <v>338</v>
      </c>
      <c r="B289" s="3" t="s">
        <v>24</v>
      </c>
      <c r="C289" s="3" t="s">
        <v>21</v>
      </c>
      <c r="D289" s="3" t="s">
        <v>154</v>
      </c>
      <c r="E289" s="3" t="s">
        <v>13</v>
      </c>
      <c r="F289" s="3">
        <v>0.44</v>
      </c>
      <c r="G289" s="3">
        <v>380</v>
      </c>
      <c r="H289" s="3">
        <f t="shared" si="5"/>
        <v>167.2</v>
      </c>
      <c r="I289" s="3"/>
      <c r="J289" s="3"/>
      <c r="K289" s="1" t="s">
        <v>25</v>
      </c>
    </row>
    <row r="290" customHeight="1" spans="1:11">
      <c r="A290" s="3">
        <v>339</v>
      </c>
      <c r="B290" s="3" t="s">
        <v>155</v>
      </c>
      <c r="C290" s="3" t="s">
        <v>21</v>
      </c>
      <c r="D290" s="3" t="s">
        <v>154</v>
      </c>
      <c r="E290" s="3" t="s">
        <v>13</v>
      </c>
      <c r="F290" s="3">
        <v>1.15</v>
      </c>
      <c r="G290" s="3">
        <v>380</v>
      </c>
      <c r="H290" s="3">
        <f t="shared" si="5"/>
        <v>437</v>
      </c>
      <c r="I290" s="3"/>
      <c r="J290" s="3"/>
      <c r="K290" s="1" t="s">
        <v>25</v>
      </c>
    </row>
    <row r="291" customHeight="1" spans="1:11">
      <c r="A291" s="3">
        <v>340</v>
      </c>
      <c r="B291" s="3" t="s">
        <v>26</v>
      </c>
      <c r="C291" s="3" t="s">
        <v>21</v>
      </c>
      <c r="D291" s="3" t="s">
        <v>146</v>
      </c>
      <c r="E291" s="3" t="s">
        <v>13</v>
      </c>
      <c r="F291" s="3">
        <v>1.04</v>
      </c>
      <c r="G291" s="3">
        <v>380</v>
      </c>
      <c r="H291" s="3">
        <f t="shared" si="5"/>
        <v>395.2</v>
      </c>
      <c r="I291" s="3"/>
      <c r="J291" s="3"/>
    </row>
    <row r="292" customHeight="1" spans="1:11">
      <c r="A292" s="3">
        <v>341</v>
      </c>
      <c r="B292" s="3" t="s">
        <v>156</v>
      </c>
      <c r="C292" s="3" t="s">
        <v>21</v>
      </c>
      <c r="D292" s="3" t="s">
        <v>154</v>
      </c>
      <c r="E292" s="3" t="s">
        <v>13</v>
      </c>
      <c r="F292" s="3">
        <v>0.49</v>
      </c>
      <c r="G292" s="3">
        <v>380</v>
      </c>
      <c r="H292" s="3">
        <f t="shared" si="5"/>
        <v>186.2</v>
      </c>
      <c r="I292" s="3"/>
      <c r="J292" s="3"/>
    </row>
    <row r="293" customHeight="1" spans="1:11">
      <c r="A293" s="3">
        <v>342</v>
      </c>
      <c r="B293" s="3" t="s">
        <v>130</v>
      </c>
      <c r="C293" s="3" t="s">
        <v>21</v>
      </c>
      <c r="D293" s="3" t="s">
        <v>146</v>
      </c>
      <c r="E293" s="3" t="s">
        <v>13</v>
      </c>
      <c r="F293" s="3">
        <v>0.2</v>
      </c>
      <c r="G293" s="3">
        <v>380</v>
      </c>
      <c r="H293" s="3">
        <f t="shared" si="5"/>
        <v>76</v>
      </c>
      <c r="I293" s="3"/>
      <c r="J293" s="3"/>
      <c r="K293" s="1" t="s">
        <v>25</v>
      </c>
    </row>
    <row r="294" customHeight="1" spans="1:11">
      <c r="A294" s="3">
        <v>343</v>
      </c>
      <c r="B294" s="3" t="s">
        <v>155</v>
      </c>
      <c r="C294" s="3" t="s">
        <v>21</v>
      </c>
      <c r="D294" s="3" t="s">
        <v>146</v>
      </c>
      <c r="E294" s="3" t="s">
        <v>13</v>
      </c>
      <c r="F294" s="3">
        <v>0.97</v>
      </c>
      <c r="G294" s="3">
        <v>380</v>
      </c>
      <c r="H294" s="3">
        <f t="shared" si="5"/>
        <v>368.6</v>
      </c>
      <c r="I294" s="3"/>
      <c r="J294" s="3"/>
      <c r="K294" s="1" t="s">
        <v>25</v>
      </c>
    </row>
    <row r="295" customHeight="1" spans="1:11">
      <c r="A295" s="3">
        <v>344</v>
      </c>
      <c r="B295" s="3" t="s">
        <v>34</v>
      </c>
      <c r="C295" s="3" t="s">
        <v>21</v>
      </c>
      <c r="D295" s="3" t="s">
        <v>157</v>
      </c>
      <c r="E295" s="3" t="s">
        <v>13</v>
      </c>
      <c r="F295" s="3">
        <v>0.55</v>
      </c>
      <c r="G295" s="3">
        <v>380</v>
      </c>
      <c r="H295" s="3">
        <f t="shared" si="5"/>
        <v>209</v>
      </c>
      <c r="I295" s="3"/>
      <c r="J295" s="3"/>
      <c r="K295" s="1" t="s">
        <v>25</v>
      </c>
    </row>
    <row r="296" customHeight="1" spans="1:11">
      <c r="A296" s="3">
        <v>345</v>
      </c>
      <c r="B296" s="3" t="s">
        <v>34</v>
      </c>
      <c r="C296" s="3" t="s">
        <v>21</v>
      </c>
      <c r="D296" s="3" t="s">
        <v>158</v>
      </c>
      <c r="E296" s="3" t="s">
        <v>13</v>
      </c>
      <c r="F296" s="3">
        <v>0.61</v>
      </c>
      <c r="G296" s="3">
        <v>380</v>
      </c>
      <c r="H296" s="3">
        <f t="shared" si="5"/>
        <v>231.8</v>
      </c>
      <c r="I296" s="3"/>
      <c r="J296" s="3"/>
      <c r="K296" s="1" t="s">
        <v>25</v>
      </c>
    </row>
    <row r="297" customHeight="1" spans="1:11">
      <c r="A297" s="3">
        <v>346</v>
      </c>
      <c r="B297" s="3" t="s">
        <v>149</v>
      </c>
      <c r="C297" s="3" t="s">
        <v>21</v>
      </c>
      <c r="D297" s="3" t="s">
        <v>158</v>
      </c>
      <c r="E297" s="3" t="s">
        <v>13</v>
      </c>
      <c r="F297" s="3">
        <v>0.81</v>
      </c>
      <c r="G297" s="3">
        <v>380</v>
      </c>
      <c r="H297" s="3">
        <f t="shared" si="5"/>
        <v>307.8</v>
      </c>
      <c r="I297" s="3"/>
      <c r="J297" s="3"/>
    </row>
    <row r="298" customHeight="1" spans="1:11">
      <c r="A298" s="3">
        <v>347</v>
      </c>
      <c r="B298" s="3" t="s">
        <v>137</v>
      </c>
      <c r="C298" s="3" t="s">
        <v>21</v>
      </c>
      <c r="D298" s="3" t="s">
        <v>158</v>
      </c>
      <c r="E298" s="3" t="s">
        <v>13</v>
      </c>
      <c r="F298" s="3">
        <v>0.23</v>
      </c>
      <c r="G298" s="3">
        <v>380</v>
      </c>
      <c r="H298" s="3">
        <f t="shared" si="5"/>
        <v>87.4</v>
      </c>
      <c r="I298" s="3"/>
      <c r="J298" s="3"/>
    </row>
    <row r="299" customHeight="1" spans="1:11">
      <c r="A299" s="3">
        <v>348</v>
      </c>
      <c r="B299" s="3" t="s">
        <v>34</v>
      </c>
      <c r="C299" s="3" t="s">
        <v>21</v>
      </c>
      <c r="D299" s="3" t="s">
        <v>159</v>
      </c>
      <c r="E299" s="3" t="s">
        <v>13</v>
      </c>
      <c r="F299" s="3">
        <v>0.52</v>
      </c>
      <c r="G299" s="3">
        <v>380</v>
      </c>
      <c r="H299" s="3">
        <f t="shared" si="5"/>
        <v>197.6</v>
      </c>
      <c r="I299" s="3"/>
      <c r="J299" s="3"/>
      <c r="K299" s="1" t="s">
        <v>25</v>
      </c>
    </row>
    <row r="300" customHeight="1" spans="1:11">
      <c r="A300" s="3">
        <v>349</v>
      </c>
      <c r="B300" s="3" t="s">
        <v>137</v>
      </c>
      <c r="C300" s="3" t="s">
        <v>21</v>
      </c>
      <c r="D300" s="3" t="s">
        <v>159</v>
      </c>
      <c r="E300" s="3" t="s">
        <v>13</v>
      </c>
      <c r="F300" s="3">
        <v>0.18</v>
      </c>
      <c r="G300" s="3">
        <v>380</v>
      </c>
      <c r="H300" s="3">
        <f t="shared" si="5"/>
        <v>68.4</v>
      </c>
      <c r="I300" s="3"/>
      <c r="J300" s="3"/>
    </row>
    <row r="301" customHeight="1" spans="1:11">
      <c r="A301" s="3">
        <v>350</v>
      </c>
      <c r="B301" s="3" t="s">
        <v>36</v>
      </c>
      <c r="C301" s="3" t="s">
        <v>21</v>
      </c>
      <c r="D301" s="3" t="s">
        <v>159</v>
      </c>
      <c r="E301" s="3" t="s">
        <v>13</v>
      </c>
      <c r="F301" s="3">
        <v>0.35</v>
      </c>
      <c r="G301" s="3">
        <v>380</v>
      </c>
      <c r="H301" s="3">
        <f t="shared" si="5"/>
        <v>133</v>
      </c>
      <c r="I301" s="3"/>
      <c r="J301" s="3"/>
    </row>
    <row r="302" customHeight="1" spans="1:11">
      <c r="A302" s="3">
        <v>351</v>
      </c>
      <c r="B302" s="1" t="s">
        <v>33</v>
      </c>
      <c r="C302" s="3" t="s">
        <v>21</v>
      </c>
      <c r="D302" s="3" t="s">
        <v>160</v>
      </c>
      <c r="E302" s="3" t="s">
        <v>13</v>
      </c>
      <c r="F302" s="3">
        <v>0.2</v>
      </c>
      <c r="G302" s="3">
        <v>380</v>
      </c>
      <c r="H302" s="3">
        <f t="shared" si="5"/>
        <v>76</v>
      </c>
      <c r="I302" s="3"/>
      <c r="J302" s="3"/>
      <c r="K302" s="1" t="s">
        <v>25</v>
      </c>
    </row>
    <row r="303" customHeight="1" spans="1:11">
      <c r="A303" s="3">
        <v>352</v>
      </c>
      <c r="B303" s="3" t="s">
        <v>137</v>
      </c>
      <c r="C303" s="3" t="s">
        <v>21</v>
      </c>
      <c r="D303" s="3" t="s">
        <v>160</v>
      </c>
      <c r="E303" s="3" t="s">
        <v>13</v>
      </c>
      <c r="F303" s="3">
        <v>0.2</v>
      </c>
      <c r="G303" s="3">
        <v>380</v>
      </c>
      <c r="H303" s="3">
        <f t="shared" si="5"/>
        <v>76</v>
      </c>
      <c r="I303" s="3"/>
      <c r="J303" s="3"/>
    </row>
    <row r="304" customHeight="1" spans="1:11">
      <c r="A304" s="3">
        <v>353</v>
      </c>
      <c r="B304" s="3" t="s">
        <v>32</v>
      </c>
      <c r="C304" s="3" t="s">
        <v>21</v>
      </c>
      <c r="D304" s="3" t="s">
        <v>160</v>
      </c>
      <c r="E304" s="3" t="s">
        <v>13</v>
      </c>
      <c r="F304" s="3">
        <v>0.35</v>
      </c>
      <c r="G304" s="3">
        <v>380</v>
      </c>
      <c r="H304" s="3">
        <f t="shared" si="5"/>
        <v>133</v>
      </c>
      <c r="I304" s="3"/>
      <c r="J304" s="3"/>
      <c r="K304" s="1" t="s">
        <v>25</v>
      </c>
    </row>
    <row r="305" customHeight="1" spans="1:11">
      <c r="A305" s="3">
        <v>354</v>
      </c>
      <c r="B305" s="1" t="s">
        <v>33</v>
      </c>
      <c r="C305" s="3" t="s">
        <v>21</v>
      </c>
      <c r="D305" s="3" t="s">
        <v>161</v>
      </c>
      <c r="E305" s="3" t="s">
        <v>13</v>
      </c>
      <c r="F305" s="3">
        <v>0.1</v>
      </c>
      <c r="G305" s="3">
        <v>380</v>
      </c>
      <c r="H305" s="3">
        <f t="shared" si="5"/>
        <v>38</v>
      </c>
      <c r="I305" s="3"/>
      <c r="J305" s="3"/>
      <c r="K305" s="1" t="s">
        <v>25</v>
      </c>
    </row>
    <row r="306" customHeight="1" spans="1:11">
      <c r="A306" s="3">
        <v>355</v>
      </c>
      <c r="B306" s="3" t="s">
        <v>34</v>
      </c>
      <c r="C306" s="3" t="s">
        <v>21</v>
      </c>
      <c r="D306" s="3" t="s">
        <v>161</v>
      </c>
      <c r="E306" s="3" t="s">
        <v>13</v>
      </c>
      <c r="F306" s="3">
        <v>0.38</v>
      </c>
      <c r="G306" s="3">
        <v>380</v>
      </c>
      <c r="H306" s="3">
        <f t="shared" si="5"/>
        <v>144.4</v>
      </c>
      <c r="I306" s="3"/>
      <c r="J306" s="3"/>
      <c r="K306" s="1" t="s">
        <v>25</v>
      </c>
    </row>
    <row r="307" customHeight="1" spans="1:11">
      <c r="A307" s="3">
        <v>356</v>
      </c>
      <c r="B307" s="3" t="s">
        <v>36</v>
      </c>
      <c r="C307" s="3" t="s">
        <v>21</v>
      </c>
      <c r="D307" s="3" t="s">
        <v>161</v>
      </c>
      <c r="E307" s="3" t="s">
        <v>13</v>
      </c>
      <c r="F307" s="3">
        <v>0.59</v>
      </c>
      <c r="G307" s="3">
        <v>380</v>
      </c>
      <c r="H307" s="3">
        <f t="shared" si="5"/>
        <v>224.2</v>
      </c>
      <c r="I307" s="3"/>
      <c r="J307" s="3"/>
    </row>
    <row r="308" customHeight="1" spans="1:11">
      <c r="A308" s="3">
        <v>357</v>
      </c>
      <c r="B308" s="1" t="s">
        <v>33</v>
      </c>
      <c r="C308" s="3" t="s">
        <v>21</v>
      </c>
      <c r="D308" s="3" t="s">
        <v>162</v>
      </c>
      <c r="E308" s="3"/>
      <c r="F308" s="3">
        <v>0.13</v>
      </c>
      <c r="G308" s="3">
        <v>220</v>
      </c>
      <c r="H308" s="3">
        <f t="shared" si="5"/>
        <v>28.6</v>
      </c>
      <c r="I308" s="3"/>
      <c r="J308" s="3"/>
      <c r="K308" s="1" t="s">
        <v>25</v>
      </c>
    </row>
    <row r="309" customHeight="1" spans="1:11">
      <c r="A309" s="3">
        <v>358</v>
      </c>
      <c r="B309" s="3" t="s">
        <v>151</v>
      </c>
      <c r="C309" s="3" t="s">
        <v>21</v>
      </c>
      <c r="D309" s="3" t="s">
        <v>150</v>
      </c>
      <c r="E309" s="3" t="s">
        <v>13</v>
      </c>
      <c r="F309" s="3">
        <v>0.57</v>
      </c>
      <c r="G309" s="3">
        <v>380</v>
      </c>
      <c r="H309" s="3">
        <f t="shared" si="5"/>
        <v>216.6</v>
      </c>
      <c r="I309" s="3"/>
      <c r="J309" s="3"/>
    </row>
    <row r="310" customHeight="1" spans="1:11">
      <c r="A310" s="3">
        <v>359</v>
      </c>
      <c r="B310" s="3" t="s">
        <v>151</v>
      </c>
      <c r="C310" s="3" t="s">
        <v>21</v>
      </c>
      <c r="D310" s="3" t="s">
        <v>150</v>
      </c>
      <c r="E310" s="3" t="s">
        <v>13</v>
      </c>
      <c r="F310" s="3">
        <v>0.18</v>
      </c>
      <c r="G310" s="3">
        <v>380</v>
      </c>
      <c r="H310" s="3">
        <f t="shared" si="5"/>
        <v>68.4</v>
      </c>
      <c r="I310" s="3"/>
      <c r="J310" s="3"/>
    </row>
    <row r="311" customHeight="1" spans="1:11">
      <c r="A311" s="3">
        <v>360</v>
      </c>
      <c r="B311" s="3" t="s">
        <v>24</v>
      </c>
      <c r="C311" s="3" t="s">
        <v>21</v>
      </c>
      <c r="D311" s="3" t="s">
        <v>163</v>
      </c>
      <c r="E311" s="3" t="s">
        <v>13</v>
      </c>
      <c r="F311" s="3">
        <v>0.79</v>
      </c>
      <c r="G311" s="3">
        <v>380</v>
      </c>
      <c r="H311" s="3">
        <f t="shared" si="5"/>
        <v>300.2</v>
      </c>
      <c r="I311" s="3"/>
      <c r="J311" s="3"/>
      <c r="K311" s="1" t="s">
        <v>25</v>
      </c>
    </row>
    <row r="312" customHeight="1" spans="1:11">
      <c r="A312" s="3">
        <v>361</v>
      </c>
      <c r="B312" s="3" t="s">
        <v>135</v>
      </c>
      <c r="C312" s="3" t="s">
        <v>21</v>
      </c>
      <c r="D312" s="3" t="s">
        <v>163</v>
      </c>
      <c r="E312" s="3" t="s">
        <v>13</v>
      </c>
      <c r="F312" s="3">
        <v>1.62</v>
      </c>
      <c r="G312" s="3">
        <v>380</v>
      </c>
      <c r="H312" s="3">
        <f t="shared" si="5"/>
        <v>615.6</v>
      </c>
      <c r="I312" s="3"/>
      <c r="J312" s="3"/>
      <c r="K312" s="1" t="s">
        <v>25</v>
      </c>
    </row>
    <row r="313" customHeight="1" spans="1:11">
      <c r="A313" s="3">
        <v>362</v>
      </c>
      <c r="B313" s="3" t="s">
        <v>137</v>
      </c>
      <c r="C313" s="3" t="s">
        <v>21</v>
      </c>
      <c r="D313" s="3" t="s">
        <v>163</v>
      </c>
      <c r="E313" s="3" t="s">
        <v>13</v>
      </c>
      <c r="F313" s="3">
        <v>1.31</v>
      </c>
      <c r="G313" s="3">
        <v>380</v>
      </c>
      <c r="H313" s="3">
        <f t="shared" si="5"/>
        <v>497.8</v>
      </c>
      <c r="I313" s="3"/>
      <c r="J313" s="3"/>
    </row>
    <row r="314" customHeight="1" spans="1:11">
      <c r="A314" s="3">
        <v>363</v>
      </c>
      <c r="B314" s="3" t="s">
        <v>134</v>
      </c>
      <c r="C314" s="3" t="s">
        <v>21</v>
      </c>
      <c r="D314" s="3" t="s">
        <v>163</v>
      </c>
      <c r="E314" s="3" t="s">
        <v>13</v>
      </c>
      <c r="F314" s="3">
        <v>1.99</v>
      </c>
      <c r="G314" s="3">
        <v>380</v>
      </c>
      <c r="H314" s="3">
        <f t="shared" si="5"/>
        <v>756.2</v>
      </c>
      <c r="I314" s="3"/>
      <c r="J314" s="3"/>
      <c r="K314" s="1" t="s">
        <v>25</v>
      </c>
    </row>
    <row r="315" customHeight="1" spans="1:11">
      <c r="A315" s="3">
        <v>364</v>
      </c>
      <c r="B315" s="3" t="s">
        <v>164</v>
      </c>
      <c r="C315" s="3" t="s">
        <v>21</v>
      </c>
      <c r="D315" s="3" t="s">
        <v>163</v>
      </c>
      <c r="E315" s="3" t="s">
        <v>13</v>
      </c>
      <c r="F315" s="3">
        <v>1.71</v>
      </c>
      <c r="G315" s="3">
        <v>380</v>
      </c>
      <c r="H315" s="3">
        <f t="shared" si="5"/>
        <v>649.8</v>
      </c>
      <c r="I315" s="3"/>
      <c r="J315" s="3"/>
    </row>
    <row r="316" customHeight="1" spans="1:11">
      <c r="A316" s="3">
        <v>365</v>
      </c>
      <c r="B316" s="3" t="s">
        <v>165</v>
      </c>
      <c r="C316" s="3" t="s">
        <v>21</v>
      </c>
      <c r="D316" s="3" t="s">
        <v>163</v>
      </c>
      <c r="E316" s="3" t="s">
        <v>13</v>
      </c>
      <c r="F316" s="3">
        <v>0.86</v>
      </c>
      <c r="G316" s="3">
        <v>380</v>
      </c>
      <c r="H316" s="3">
        <f t="shared" si="5"/>
        <v>326.8</v>
      </c>
      <c r="I316" s="3"/>
      <c r="J316" s="3"/>
    </row>
    <row r="317" customHeight="1" spans="1:11">
      <c r="A317" s="3">
        <v>366</v>
      </c>
      <c r="B317" s="3" t="s">
        <v>145</v>
      </c>
      <c r="C317" s="3" t="s">
        <v>21</v>
      </c>
      <c r="D317" s="3" t="s">
        <v>163</v>
      </c>
      <c r="E317" s="3" t="s">
        <v>13</v>
      </c>
      <c r="F317" s="3">
        <v>0.87</v>
      </c>
      <c r="G317" s="3">
        <v>380</v>
      </c>
      <c r="H317" s="3">
        <f t="shared" si="5"/>
        <v>330.6</v>
      </c>
      <c r="I317" s="3"/>
      <c r="J317" s="3"/>
      <c r="K317" s="1" t="s">
        <v>25</v>
      </c>
    </row>
    <row r="318" customHeight="1" spans="1:11">
      <c r="A318" s="3">
        <v>367</v>
      </c>
      <c r="B318" s="3" t="s">
        <v>136</v>
      </c>
      <c r="C318" s="3" t="s">
        <v>21</v>
      </c>
      <c r="D318" s="3" t="s">
        <v>163</v>
      </c>
      <c r="E318" s="3" t="s">
        <v>13</v>
      </c>
      <c r="F318" s="3">
        <v>1.91</v>
      </c>
      <c r="G318" s="3">
        <v>380</v>
      </c>
      <c r="H318" s="3">
        <f t="shared" si="5"/>
        <v>725.8</v>
      </c>
      <c r="I318" s="3"/>
      <c r="J318" s="3"/>
    </row>
    <row r="319" customHeight="1" spans="1:11">
      <c r="A319" s="3">
        <v>368</v>
      </c>
      <c r="B319" s="3" t="s">
        <v>166</v>
      </c>
      <c r="C319" s="3" t="s">
        <v>21</v>
      </c>
      <c r="D319" s="3" t="s">
        <v>163</v>
      </c>
      <c r="E319" s="3" t="s">
        <v>13</v>
      </c>
      <c r="F319" s="3">
        <v>0.58</v>
      </c>
      <c r="G319" s="3">
        <v>380</v>
      </c>
      <c r="H319" s="3">
        <f t="shared" si="5"/>
        <v>220.4</v>
      </c>
      <c r="I319" s="3"/>
      <c r="J319" s="3"/>
      <c r="K319" s="1" t="s">
        <v>25</v>
      </c>
    </row>
    <row r="320" customHeight="1" spans="1:11">
      <c r="A320" s="3">
        <v>369</v>
      </c>
      <c r="B320" s="3" t="s">
        <v>167</v>
      </c>
      <c r="C320" s="3" t="s">
        <v>21</v>
      </c>
      <c r="D320" s="3" t="s">
        <v>163</v>
      </c>
      <c r="E320" s="3" t="s">
        <v>13</v>
      </c>
      <c r="F320" s="3">
        <v>1.01</v>
      </c>
      <c r="G320" s="3">
        <v>380</v>
      </c>
      <c r="H320" s="3">
        <f t="shared" si="5"/>
        <v>383.8</v>
      </c>
      <c r="I320" s="3"/>
      <c r="J320" s="3"/>
    </row>
    <row r="321" customHeight="1" spans="1:11">
      <c r="A321" s="3">
        <v>370</v>
      </c>
      <c r="B321" s="3" t="s">
        <v>168</v>
      </c>
      <c r="C321" s="3" t="s">
        <v>21</v>
      </c>
      <c r="D321" s="3" t="s">
        <v>163</v>
      </c>
      <c r="E321" s="3" t="s">
        <v>13</v>
      </c>
      <c r="F321" s="3">
        <v>2.21</v>
      </c>
      <c r="G321" s="3">
        <v>380</v>
      </c>
      <c r="H321" s="3">
        <f t="shared" si="5"/>
        <v>839.8</v>
      </c>
      <c r="I321" s="3"/>
      <c r="J321" s="3"/>
    </row>
    <row r="322" customHeight="1" spans="1:11">
      <c r="A322" s="3">
        <v>371</v>
      </c>
      <c r="B322" s="3" t="s">
        <v>34</v>
      </c>
      <c r="C322" s="3" t="s">
        <v>21</v>
      </c>
      <c r="D322" s="3" t="s">
        <v>163</v>
      </c>
      <c r="E322" s="3" t="s">
        <v>13</v>
      </c>
      <c r="F322" s="3">
        <v>1.66</v>
      </c>
      <c r="G322" s="3">
        <v>380</v>
      </c>
      <c r="H322" s="3">
        <f t="shared" si="5"/>
        <v>630.8</v>
      </c>
      <c r="I322" s="3"/>
      <c r="J322" s="3"/>
      <c r="K322" s="1" t="s">
        <v>25</v>
      </c>
    </row>
    <row r="323" customHeight="1" spans="1:11">
      <c r="A323" s="3">
        <v>372</v>
      </c>
      <c r="B323" s="3" t="s">
        <v>169</v>
      </c>
      <c r="C323" s="3" t="s">
        <v>21</v>
      </c>
      <c r="D323" s="3" t="s">
        <v>163</v>
      </c>
      <c r="E323" s="3" t="s">
        <v>13</v>
      </c>
      <c r="F323" s="3">
        <v>0.76</v>
      </c>
      <c r="G323" s="3">
        <v>380</v>
      </c>
      <c r="H323" s="3">
        <f t="shared" si="5"/>
        <v>288.8</v>
      </c>
      <c r="I323" s="3"/>
      <c r="J323" s="3"/>
    </row>
    <row r="324" customHeight="1" spans="1:11">
      <c r="A324" s="3">
        <v>373</v>
      </c>
      <c r="B324" s="3" t="s">
        <v>36</v>
      </c>
      <c r="C324" s="3" t="s">
        <v>21</v>
      </c>
      <c r="D324" s="3" t="s">
        <v>163</v>
      </c>
      <c r="E324" s="3" t="s">
        <v>13</v>
      </c>
      <c r="F324" s="3">
        <v>0.31</v>
      </c>
      <c r="G324" s="3">
        <v>380</v>
      </c>
      <c r="H324" s="3">
        <f t="shared" si="5"/>
        <v>117.8</v>
      </c>
      <c r="I324" s="3"/>
      <c r="J324" s="3"/>
    </row>
    <row r="325" customHeight="1" spans="1:11">
      <c r="A325" s="3">
        <v>374</v>
      </c>
      <c r="B325" s="3" t="s">
        <v>170</v>
      </c>
      <c r="C325" s="3" t="s">
        <v>21</v>
      </c>
      <c r="D325" s="3" t="s">
        <v>163</v>
      </c>
      <c r="E325" s="3" t="s">
        <v>13</v>
      </c>
      <c r="F325" s="3">
        <v>1.32</v>
      </c>
      <c r="G325" s="3">
        <v>380</v>
      </c>
      <c r="H325" s="3">
        <f t="shared" ref="H325:H333" si="6">G325*F325</f>
        <v>501.6</v>
      </c>
      <c r="I325" s="3"/>
      <c r="J325" s="3"/>
    </row>
    <row r="326" customHeight="1" spans="1:11">
      <c r="A326" s="3">
        <v>375</v>
      </c>
      <c r="B326" s="3" t="s">
        <v>38</v>
      </c>
      <c r="C326" s="3" t="s">
        <v>21</v>
      </c>
      <c r="D326" s="3" t="s">
        <v>163</v>
      </c>
      <c r="E326" s="3" t="s">
        <v>13</v>
      </c>
      <c r="F326" s="3">
        <v>0.66</v>
      </c>
      <c r="G326" s="3">
        <v>380</v>
      </c>
      <c r="H326" s="3">
        <f t="shared" si="6"/>
        <v>250.8</v>
      </c>
      <c r="I326" s="3"/>
      <c r="J326" s="3"/>
    </row>
    <row r="327" customHeight="1" spans="1:11">
      <c r="A327" s="3">
        <v>376</v>
      </c>
      <c r="B327" s="3" t="s">
        <v>171</v>
      </c>
      <c r="C327" s="3" t="s">
        <v>21</v>
      </c>
      <c r="D327" s="3" t="s">
        <v>163</v>
      </c>
      <c r="E327" s="3" t="s">
        <v>13</v>
      </c>
      <c r="F327" s="3">
        <v>2.03</v>
      </c>
      <c r="G327" s="3">
        <v>380</v>
      </c>
      <c r="H327" s="3">
        <f t="shared" si="6"/>
        <v>771.4</v>
      </c>
      <c r="I327" s="3"/>
      <c r="J327" s="3"/>
      <c r="K327" s="1" t="s">
        <v>25</v>
      </c>
    </row>
    <row r="328" customHeight="1" spans="1:11">
      <c r="A328" s="3">
        <v>377</v>
      </c>
      <c r="B328" s="3" t="s">
        <v>172</v>
      </c>
      <c r="C328" s="3" t="s">
        <v>21</v>
      </c>
      <c r="D328" s="3" t="s">
        <v>163</v>
      </c>
      <c r="E328" s="3" t="s">
        <v>13</v>
      </c>
      <c r="F328" s="3">
        <v>1.83</v>
      </c>
      <c r="G328" s="3">
        <v>380</v>
      </c>
      <c r="H328" s="3">
        <f t="shared" si="6"/>
        <v>695.4</v>
      </c>
      <c r="I328" s="3"/>
      <c r="J328" s="3"/>
    </row>
    <row r="329" customHeight="1" spans="1:11">
      <c r="A329" s="3">
        <v>378</v>
      </c>
      <c r="B329" s="3" t="s">
        <v>173</v>
      </c>
      <c r="C329" s="3" t="s">
        <v>21</v>
      </c>
      <c r="D329" s="3" t="s">
        <v>163</v>
      </c>
      <c r="E329" s="3" t="s">
        <v>13</v>
      </c>
      <c r="F329" s="3">
        <v>2.19</v>
      </c>
      <c r="G329" s="3">
        <v>380</v>
      </c>
      <c r="H329" s="3">
        <f t="shared" si="6"/>
        <v>832.2</v>
      </c>
      <c r="I329" s="3"/>
      <c r="J329" s="3"/>
    </row>
    <row r="330" customHeight="1" spans="1:11">
      <c r="A330" s="3">
        <v>379</v>
      </c>
      <c r="B330" s="3" t="s">
        <v>151</v>
      </c>
      <c r="C330" s="3" t="s">
        <v>21</v>
      </c>
      <c r="D330" s="3" t="s">
        <v>163</v>
      </c>
      <c r="E330" s="3" t="s">
        <v>13</v>
      </c>
      <c r="F330" s="3">
        <v>0.64</v>
      </c>
      <c r="G330" s="3">
        <v>380</v>
      </c>
      <c r="H330" s="3">
        <f t="shared" si="6"/>
        <v>243.2</v>
      </c>
      <c r="I330" s="3"/>
      <c r="J330" s="3"/>
    </row>
    <row r="331" customHeight="1" spans="1:11">
      <c r="A331" s="3">
        <v>380</v>
      </c>
      <c r="B331" s="3" t="s">
        <v>174</v>
      </c>
      <c r="C331" s="3" t="s">
        <v>21</v>
      </c>
      <c r="D331" s="3" t="s">
        <v>163</v>
      </c>
      <c r="E331" s="3" t="s">
        <v>13</v>
      </c>
      <c r="F331" s="3">
        <v>0.6</v>
      </c>
      <c r="G331" s="3">
        <v>380</v>
      </c>
      <c r="H331" s="3">
        <f t="shared" si="6"/>
        <v>228</v>
      </c>
      <c r="I331" s="3"/>
      <c r="J331" s="3"/>
    </row>
    <row r="332" customHeight="1" spans="1:11">
      <c r="A332" s="3">
        <v>381</v>
      </c>
      <c r="B332" s="3" t="s">
        <v>155</v>
      </c>
      <c r="C332" s="3" t="s">
        <v>21</v>
      </c>
      <c r="D332" s="3" t="s">
        <v>163</v>
      </c>
      <c r="E332" s="3" t="s">
        <v>13</v>
      </c>
      <c r="F332" s="3">
        <v>0.64</v>
      </c>
      <c r="G332" s="3">
        <v>380</v>
      </c>
      <c r="H332" s="3">
        <f t="shared" si="6"/>
        <v>243.2</v>
      </c>
      <c r="I332" s="3"/>
      <c r="J332" s="3"/>
      <c r="K332" s="1" t="s">
        <v>25</v>
      </c>
    </row>
    <row r="333" customHeight="1" spans="1:11">
      <c r="A333" s="3">
        <v>382</v>
      </c>
      <c r="B333" s="3" t="s">
        <v>149</v>
      </c>
      <c r="C333" s="3" t="s">
        <v>21</v>
      </c>
      <c r="D333" s="3" t="s">
        <v>163</v>
      </c>
      <c r="E333" s="3" t="s">
        <v>13</v>
      </c>
      <c r="F333" s="3">
        <v>0.2</v>
      </c>
      <c r="G333" s="3">
        <v>380</v>
      </c>
      <c r="H333" s="3">
        <f t="shared" si="6"/>
        <v>76</v>
      </c>
      <c r="I333" s="3"/>
      <c r="J333" s="3"/>
    </row>
    <row r="334" customHeight="1" spans="1:11">
      <c r="A334" s="3"/>
      <c r="B334" s="3" t="s">
        <v>30</v>
      </c>
      <c r="C334" s="3" t="s">
        <v>21</v>
      </c>
      <c r="D334" s="3"/>
      <c r="E334" s="3" t="s">
        <v>13</v>
      </c>
      <c r="F334" s="3">
        <v>0.08</v>
      </c>
      <c r="G334" s="3">
        <v>380</v>
      </c>
      <c r="H334" s="3"/>
      <c r="I334" s="3"/>
      <c r="J334" s="3" t="s">
        <v>175</v>
      </c>
      <c r="K334" s="1" t="s">
        <v>25</v>
      </c>
    </row>
    <row r="335" customHeight="1" spans="1:11">
      <c r="A335" s="3"/>
      <c r="B335" s="3" t="s">
        <v>52</v>
      </c>
      <c r="C335" s="3" t="s">
        <v>21</v>
      </c>
      <c r="D335" s="3"/>
      <c r="E335" s="3" t="s">
        <v>13</v>
      </c>
      <c r="F335" s="3">
        <v>0.18</v>
      </c>
      <c r="G335" s="3">
        <v>380</v>
      </c>
      <c r="H335" s="3"/>
      <c r="I335" s="3"/>
      <c r="J335" s="3" t="s">
        <v>175</v>
      </c>
      <c r="K335" s="1" t="s">
        <v>25</v>
      </c>
    </row>
    <row r="336" customHeight="1" spans="1:11">
      <c r="A336" s="3"/>
      <c r="B336" s="3" t="s">
        <v>96</v>
      </c>
      <c r="C336" s="3" t="s">
        <v>21</v>
      </c>
      <c r="D336" s="3"/>
      <c r="E336" s="3" t="s">
        <v>13</v>
      </c>
      <c r="F336" s="3">
        <v>0.03</v>
      </c>
      <c r="G336" s="3">
        <v>380</v>
      </c>
      <c r="H336" s="3"/>
      <c r="I336" s="3"/>
      <c r="J336" s="3" t="s">
        <v>175</v>
      </c>
    </row>
    <row r="337" customHeight="1" spans="1:11">
      <c r="A337" s="3"/>
      <c r="B337" s="3" t="s">
        <v>50</v>
      </c>
      <c r="C337" s="3" t="s">
        <v>21</v>
      </c>
      <c r="D337" s="3"/>
      <c r="E337" s="3" t="s">
        <v>13</v>
      </c>
      <c r="F337" s="3">
        <v>0.06</v>
      </c>
      <c r="G337" s="3">
        <v>380</v>
      </c>
      <c r="H337" s="3"/>
      <c r="I337" s="3"/>
      <c r="J337" s="3" t="s">
        <v>175</v>
      </c>
      <c r="K337" s="1" t="s">
        <v>25</v>
      </c>
    </row>
    <row r="338" customHeight="1" spans="1:11">
      <c r="A338" s="3"/>
      <c r="B338" s="3" t="s">
        <v>99</v>
      </c>
      <c r="C338" s="3" t="s">
        <v>21</v>
      </c>
      <c r="D338" s="3"/>
      <c r="E338" s="3" t="s">
        <v>13</v>
      </c>
      <c r="F338" s="3">
        <v>0.011</v>
      </c>
      <c r="G338" s="3">
        <v>380</v>
      </c>
      <c r="H338" s="3"/>
      <c r="I338" s="3"/>
      <c r="J338" s="3" t="s">
        <v>175</v>
      </c>
    </row>
    <row r="339" customHeight="1" spans="1:11">
      <c r="A339" s="3">
        <v>383</v>
      </c>
      <c r="B339" s="1" t="s">
        <v>176</v>
      </c>
      <c r="C339" s="1" t="s">
        <v>177</v>
      </c>
      <c r="D339" s="3" t="s">
        <v>178</v>
      </c>
      <c r="E339" s="3" t="s">
        <v>22</v>
      </c>
      <c r="F339" s="1">
        <v>0.05</v>
      </c>
      <c r="G339" s="3">
        <v>480</v>
      </c>
      <c r="H339" s="3">
        <f t="shared" ref="H339:H395" si="7">G339*F339</f>
        <v>24</v>
      </c>
      <c r="I339" s="3"/>
      <c r="J339" s="3">
        <v>9.17</v>
      </c>
    </row>
    <row r="340" customHeight="1" spans="1:11">
      <c r="A340" s="3">
        <v>384</v>
      </c>
      <c r="B340" s="1" t="s">
        <v>179</v>
      </c>
      <c r="C340" s="1" t="s">
        <v>177</v>
      </c>
      <c r="D340" s="3" t="s">
        <v>178</v>
      </c>
      <c r="E340" s="3" t="s">
        <v>22</v>
      </c>
      <c r="F340" s="1">
        <v>0.42</v>
      </c>
      <c r="G340" s="3">
        <v>480</v>
      </c>
      <c r="H340" s="3">
        <f t="shared" si="7"/>
        <v>201.6</v>
      </c>
      <c r="I340" s="3"/>
      <c r="J340" s="3">
        <v>9.17</v>
      </c>
    </row>
    <row r="341" customHeight="1" spans="1:11">
      <c r="A341" s="3">
        <v>385</v>
      </c>
      <c r="B341" s="1" t="s">
        <v>180</v>
      </c>
      <c r="C341" s="1" t="s">
        <v>177</v>
      </c>
      <c r="D341" s="3" t="s">
        <v>178</v>
      </c>
      <c r="E341" s="3" t="s">
        <v>22</v>
      </c>
      <c r="F341" s="1">
        <v>0.25</v>
      </c>
      <c r="G341" s="3">
        <v>480</v>
      </c>
      <c r="H341" s="3">
        <f t="shared" si="7"/>
        <v>120</v>
      </c>
      <c r="I341" s="3"/>
      <c r="J341" s="3">
        <v>9.17</v>
      </c>
    </row>
    <row r="342" customHeight="1" spans="1:11">
      <c r="A342" s="3">
        <v>386</v>
      </c>
      <c r="B342" s="1" t="s">
        <v>181</v>
      </c>
      <c r="C342" s="1" t="s">
        <v>177</v>
      </c>
      <c r="D342" s="3" t="s">
        <v>178</v>
      </c>
      <c r="E342" s="3" t="s">
        <v>22</v>
      </c>
      <c r="F342" s="1">
        <v>0.06</v>
      </c>
      <c r="G342" s="3">
        <v>480</v>
      </c>
      <c r="H342" s="3">
        <f t="shared" si="7"/>
        <v>28.8</v>
      </c>
      <c r="I342" s="3"/>
      <c r="J342" s="3">
        <v>9.17</v>
      </c>
    </row>
    <row r="343" customHeight="1" spans="1:11">
      <c r="A343" s="3">
        <v>387</v>
      </c>
      <c r="B343" s="1" t="s">
        <v>182</v>
      </c>
      <c r="C343" s="1" t="s">
        <v>177</v>
      </c>
      <c r="D343" s="3" t="s">
        <v>178</v>
      </c>
      <c r="E343" s="3" t="s">
        <v>22</v>
      </c>
      <c r="F343" s="1">
        <v>0.1</v>
      </c>
      <c r="G343" s="3">
        <v>480</v>
      </c>
      <c r="H343" s="3">
        <f t="shared" si="7"/>
        <v>48</v>
      </c>
      <c r="I343" s="3"/>
      <c r="J343" s="3">
        <v>9.17</v>
      </c>
    </row>
    <row r="344" customHeight="1" spans="1:11">
      <c r="A344" s="3">
        <v>388</v>
      </c>
      <c r="B344" s="1" t="s">
        <v>179</v>
      </c>
      <c r="C344" s="1" t="s">
        <v>177</v>
      </c>
      <c r="D344" s="3" t="s">
        <v>178</v>
      </c>
      <c r="E344" s="3" t="s">
        <v>22</v>
      </c>
      <c r="F344" s="1">
        <v>0.05</v>
      </c>
      <c r="G344" s="3">
        <v>480</v>
      </c>
      <c r="H344" s="3">
        <f t="shared" si="7"/>
        <v>24</v>
      </c>
      <c r="I344" s="3"/>
      <c r="J344" s="3">
        <v>9.17</v>
      </c>
    </row>
    <row r="345" customHeight="1" spans="1:11">
      <c r="A345" s="3">
        <v>389</v>
      </c>
      <c r="B345" s="1" t="s">
        <v>183</v>
      </c>
      <c r="C345" s="1" t="s">
        <v>177</v>
      </c>
      <c r="D345" s="3" t="s">
        <v>178</v>
      </c>
      <c r="E345" s="3" t="s">
        <v>22</v>
      </c>
      <c r="F345" s="1">
        <v>0.64</v>
      </c>
      <c r="G345" s="3">
        <v>480</v>
      </c>
      <c r="H345" s="3">
        <f t="shared" si="7"/>
        <v>307.2</v>
      </c>
      <c r="I345" s="3"/>
      <c r="J345" s="3">
        <v>9.17</v>
      </c>
    </row>
    <row r="346" customHeight="1" spans="1:11">
      <c r="A346" s="3">
        <v>390</v>
      </c>
      <c r="B346" s="1" t="s">
        <v>184</v>
      </c>
      <c r="C346" s="1" t="s">
        <v>177</v>
      </c>
      <c r="D346" s="3" t="s">
        <v>185</v>
      </c>
      <c r="E346" s="3" t="s">
        <v>22</v>
      </c>
      <c r="F346" s="1">
        <v>0.35</v>
      </c>
      <c r="G346" s="3">
        <v>480</v>
      </c>
      <c r="H346" s="3">
        <f t="shared" si="7"/>
        <v>168</v>
      </c>
      <c r="I346" s="3"/>
      <c r="J346" s="3">
        <v>9.17</v>
      </c>
    </row>
    <row r="347" customHeight="1" spans="1:11">
      <c r="A347" s="3">
        <v>391</v>
      </c>
      <c r="B347" s="1" t="s">
        <v>186</v>
      </c>
      <c r="C347" s="1" t="s">
        <v>177</v>
      </c>
      <c r="D347" s="3" t="s">
        <v>185</v>
      </c>
      <c r="E347" s="3" t="s">
        <v>22</v>
      </c>
      <c r="F347" s="1">
        <v>0.12</v>
      </c>
      <c r="G347" s="3">
        <v>480</v>
      </c>
      <c r="H347" s="3">
        <f t="shared" si="7"/>
        <v>57.6</v>
      </c>
      <c r="I347" s="3"/>
      <c r="J347" s="3">
        <v>9.17</v>
      </c>
    </row>
    <row r="348" customHeight="1" spans="1:11">
      <c r="A348" s="3">
        <v>392</v>
      </c>
      <c r="B348" s="1" t="s">
        <v>187</v>
      </c>
      <c r="C348" s="1" t="s">
        <v>177</v>
      </c>
      <c r="D348" s="3" t="s">
        <v>185</v>
      </c>
      <c r="E348" s="3" t="s">
        <v>22</v>
      </c>
      <c r="F348" s="1">
        <v>0.37</v>
      </c>
      <c r="G348" s="3">
        <v>480</v>
      </c>
      <c r="H348" s="3">
        <f t="shared" si="7"/>
        <v>177.6</v>
      </c>
      <c r="I348" s="3"/>
      <c r="J348" s="3">
        <v>9.17</v>
      </c>
    </row>
    <row r="349" customHeight="1" spans="1:11">
      <c r="A349" s="3">
        <v>393</v>
      </c>
      <c r="B349" s="1" t="s">
        <v>188</v>
      </c>
      <c r="C349" s="1" t="s">
        <v>177</v>
      </c>
      <c r="D349" s="3" t="s">
        <v>185</v>
      </c>
      <c r="E349" s="3" t="s">
        <v>22</v>
      </c>
      <c r="F349" s="1">
        <v>0.23</v>
      </c>
      <c r="G349" s="3">
        <v>480</v>
      </c>
      <c r="H349" s="3">
        <f t="shared" si="7"/>
        <v>110.4</v>
      </c>
      <c r="I349" s="3"/>
      <c r="J349" s="3">
        <v>9.17</v>
      </c>
    </row>
    <row r="350" customHeight="1" spans="1:11">
      <c r="A350" s="3">
        <v>394</v>
      </c>
      <c r="B350" s="1" t="s">
        <v>189</v>
      </c>
      <c r="C350" s="1" t="s">
        <v>177</v>
      </c>
      <c r="D350" s="3" t="s">
        <v>185</v>
      </c>
      <c r="E350" s="3" t="s">
        <v>22</v>
      </c>
      <c r="F350" s="1">
        <v>0.2</v>
      </c>
      <c r="G350" s="3">
        <v>480</v>
      </c>
      <c r="H350" s="3">
        <f t="shared" si="7"/>
        <v>96</v>
      </c>
      <c r="I350" s="3"/>
      <c r="J350" s="3">
        <v>9.17</v>
      </c>
    </row>
    <row r="351" customHeight="1" spans="1:11">
      <c r="A351" s="3">
        <v>395</v>
      </c>
      <c r="B351" s="1" t="s">
        <v>190</v>
      </c>
      <c r="C351" s="1" t="s">
        <v>177</v>
      </c>
      <c r="D351" s="3" t="s">
        <v>185</v>
      </c>
      <c r="E351" s="3" t="s">
        <v>22</v>
      </c>
      <c r="F351" s="1">
        <v>0.2</v>
      </c>
      <c r="G351" s="3">
        <v>480</v>
      </c>
      <c r="H351" s="3">
        <f t="shared" si="7"/>
        <v>96</v>
      </c>
      <c r="I351" s="3"/>
      <c r="J351" s="3">
        <v>9.17</v>
      </c>
    </row>
    <row r="352" customHeight="1" spans="1:11">
      <c r="A352" s="3">
        <v>396</v>
      </c>
      <c r="B352" s="1" t="s">
        <v>191</v>
      </c>
      <c r="C352" s="1" t="s">
        <v>177</v>
      </c>
      <c r="D352" s="3" t="s">
        <v>185</v>
      </c>
      <c r="E352" s="3" t="s">
        <v>22</v>
      </c>
      <c r="F352" s="1">
        <v>0.32</v>
      </c>
      <c r="G352" s="3">
        <v>480</v>
      </c>
      <c r="H352" s="3">
        <f t="shared" si="7"/>
        <v>153.6</v>
      </c>
      <c r="I352" s="3"/>
      <c r="J352" s="3">
        <v>9.17</v>
      </c>
    </row>
    <row r="353" customHeight="1" spans="1:10">
      <c r="A353" s="3">
        <v>397</v>
      </c>
      <c r="B353" s="1" t="s">
        <v>192</v>
      </c>
      <c r="C353" s="1" t="s">
        <v>177</v>
      </c>
      <c r="D353" s="3" t="s">
        <v>185</v>
      </c>
      <c r="E353" s="3" t="s">
        <v>22</v>
      </c>
      <c r="F353" s="1">
        <v>0.36</v>
      </c>
      <c r="G353" s="3">
        <v>480</v>
      </c>
      <c r="H353" s="3">
        <f t="shared" si="7"/>
        <v>172.8</v>
      </c>
      <c r="I353" s="3"/>
      <c r="J353" s="3">
        <v>9.17</v>
      </c>
    </row>
    <row r="354" customHeight="1" spans="1:10">
      <c r="A354" s="3">
        <v>398</v>
      </c>
      <c r="B354" s="1" t="s">
        <v>188</v>
      </c>
      <c r="C354" s="1" t="s">
        <v>177</v>
      </c>
      <c r="D354" s="3" t="s">
        <v>193</v>
      </c>
      <c r="E354" s="3" t="s">
        <v>22</v>
      </c>
      <c r="F354" s="1">
        <v>0.27</v>
      </c>
      <c r="G354" s="3">
        <v>480</v>
      </c>
      <c r="H354" s="3">
        <f t="shared" si="7"/>
        <v>129.6</v>
      </c>
      <c r="I354" s="3"/>
      <c r="J354" s="3">
        <v>9.17</v>
      </c>
    </row>
    <row r="355" customHeight="1" spans="1:10">
      <c r="A355" s="3">
        <v>399</v>
      </c>
      <c r="B355" s="1" t="s">
        <v>184</v>
      </c>
      <c r="C355" s="1" t="s">
        <v>177</v>
      </c>
      <c r="D355" s="3" t="s">
        <v>193</v>
      </c>
      <c r="E355" s="3" t="s">
        <v>22</v>
      </c>
      <c r="F355" s="1">
        <v>0.2</v>
      </c>
      <c r="G355" s="3">
        <v>480</v>
      </c>
      <c r="H355" s="3">
        <f t="shared" si="7"/>
        <v>96</v>
      </c>
      <c r="I355" s="3"/>
      <c r="J355" s="3">
        <v>9.17</v>
      </c>
    </row>
    <row r="356" customHeight="1" spans="1:10">
      <c r="A356" s="3">
        <v>400</v>
      </c>
      <c r="B356" s="1" t="s">
        <v>183</v>
      </c>
      <c r="C356" s="1" t="s">
        <v>177</v>
      </c>
      <c r="D356" s="3" t="s">
        <v>194</v>
      </c>
      <c r="E356" s="3" t="s">
        <v>22</v>
      </c>
      <c r="F356" s="1">
        <v>0.77</v>
      </c>
      <c r="G356" s="3">
        <v>480</v>
      </c>
      <c r="H356" s="3">
        <f t="shared" si="7"/>
        <v>369.6</v>
      </c>
      <c r="I356" s="3"/>
      <c r="J356" s="3">
        <v>9.17</v>
      </c>
    </row>
    <row r="357" customHeight="1" spans="1:10">
      <c r="A357" s="3">
        <v>401</v>
      </c>
      <c r="B357" s="1" t="s">
        <v>195</v>
      </c>
      <c r="C357" s="1" t="s">
        <v>177</v>
      </c>
      <c r="D357" s="3" t="s">
        <v>194</v>
      </c>
      <c r="E357" s="3" t="s">
        <v>22</v>
      </c>
      <c r="F357" s="1">
        <v>0.96</v>
      </c>
      <c r="G357" s="3">
        <v>480</v>
      </c>
      <c r="H357" s="3">
        <f t="shared" si="7"/>
        <v>460.8</v>
      </c>
      <c r="I357" s="3"/>
      <c r="J357" s="3">
        <v>9.17</v>
      </c>
    </row>
    <row r="358" customHeight="1" spans="1:10">
      <c r="A358" s="3">
        <v>402</v>
      </c>
      <c r="B358" s="1" t="s">
        <v>187</v>
      </c>
      <c r="C358" s="1" t="s">
        <v>177</v>
      </c>
      <c r="D358" s="3" t="s">
        <v>196</v>
      </c>
      <c r="E358" s="3" t="s">
        <v>22</v>
      </c>
      <c r="F358" s="1">
        <v>0.47</v>
      </c>
      <c r="G358" s="3">
        <v>480</v>
      </c>
      <c r="H358" s="3">
        <f t="shared" si="7"/>
        <v>225.6</v>
      </c>
      <c r="I358" s="3"/>
      <c r="J358" s="3">
        <v>9.17</v>
      </c>
    </row>
    <row r="359" customHeight="1" spans="1:10">
      <c r="A359" s="3">
        <v>403</v>
      </c>
      <c r="B359" s="1" t="s">
        <v>197</v>
      </c>
      <c r="C359" s="1" t="s">
        <v>177</v>
      </c>
      <c r="D359" s="3" t="s">
        <v>196</v>
      </c>
      <c r="E359" s="3" t="s">
        <v>22</v>
      </c>
      <c r="F359" s="1">
        <v>0.14</v>
      </c>
      <c r="G359" s="3">
        <v>480</v>
      </c>
      <c r="H359" s="3">
        <f t="shared" si="7"/>
        <v>67.2</v>
      </c>
      <c r="I359" s="3"/>
      <c r="J359" s="3">
        <v>9.17</v>
      </c>
    </row>
    <row r="360" customHeight="1" spans="1:10">
      <c r="A360" s="3">
        <v>404</v>
      </c>
      <c r="B360" s="1" t="s">
        <v>198</v>
      </c>
      <c r="C360" s="1" t="s">
        <v>177</v>
      </c>
      <c r="D360" s="3" t="s">
        <v>196</v>
      </c>
      <c r="E360" s="3" t="s">
        <v>22</v>
      </c>
      <c r="F360" s="1">
        <v>0.23</v>
      </c>
      <c r="G360" s="3">
        <v>480</v>
      </c>
      <c r="H360" s="3">
        <f t="shared" si="7"/>
        <v>110.4</v>
      </c>
      <c r="I360" s="3"/>
      <c r="J360" s="3">
        <v>9.17</v>
      </c>
    </row>
    <row r="361" customHeight="1" spans="1:10">
      <c r="A361" s="3">
        <v>405</v>
      </c>
      <c r="B361" s="1" t="s">
        <v>199</v>
      </c>
      <c r="C361" s="1" t="s">
        <v>177</v>
      </c>
      <c r="D361" s="3" t="s">
        <v>196</v>
      </c>
      <c r="E361" s="3" t="s">
        <v>22</v>
      </c>
      <c r="F361" s="1">
        <v>0.16</v>
      </c>
      <c r="G361" s="3">
        <v>480</v>
      </c>
      <c r="H361" s="3">
        <f t="shared" si="7"/>
        <v>76.8</v>
      </c>
      <c r="I361" s="3"/>
      <c r="J361" s="3">
        <v>9.17</v>
      </c>
    </row>
    <row r="362" customHeight="1" spans="1:10">
      <c r="A362" s="3">
        <v>406</v>
      </c>
      <c r="B362" s="1" t="s">
        <v>189</v>
      </c>
      <c r="C362" s="1" t="s">
        <v>177</v>
      </c>
      <c r="D362" s="3" t="s">
        <v>196</v>
      </c>
      <c r="E362" s="3" t="s">
        <v>22</v>
      </c>
      <c r="F362" s="1">
        <v>0.38</v>
      </c>
      <c r="G362" s="3">
        <v>480</v>
      </c>
      <c r="H362" s="3">
        <f t="shared" si="7"/>
        <v>182.4</v>
      </c>
      <c r="I362" s="3"/>
      <c r="J362" s="3">
        <v>9.17</v>
      </c>
    </row>
    <row r="363" customHeight="1" spans="1:10">
      <c r="A363" s="3">
        <v>407</v>
      </c>
      <c r="B363" s="1" t="s">
        <v>200</v>
      </c>
      <c r="C363" s="1" t="s">
        <v>177</v>
      </c>
      <c r="D363" s="3" t="s">
        <v>196</v>
      </c>
      <c r="E363" s="3" t="s">
        <v>22</v>
      </c>
      <c r="F363" s="1">
        <v>0.77</v>
      </c>
      <c r="G363" s="3">
        <v>480</v>
      </c>
      <c r="H363" s="3">
        <f t="shared" si="7"/>
        <v>369.6</v>
      </c>
      <c r="I363" s="3"/>
      <c r="J363" s="3">
        <v>9.17</v>
      </c>
    </row>
    <row r="364" customHeight="1" spans="1:10">
      <c r="A364" s="3">
        <v>408</v>
      </c>
      <c r="B364" s="1" t="s">
        <v>180</v>
      </c>
      <c r="C364" s="1" t="s">
        <v>177</v>
      </c>
      <c r="D364" s="3" t="s">
        <v>196</v>
      </c>
      <c r="E364" s="3" t="s">
        <v>22</v>
      </c>
      <c r="F364" s="1">
        <v>1.14</v>
      </c>
      <c r="G364" s="3">
        <v>480</v>
      </c>
      <c r="H364" s="3">
        <f t="shared" si="7"/>
        <v>547.2</v>
      </c>
      <c r="I364" s="3"/>
      <c r="J364" s="3">
        <v>9.17</v>
      </c>
    </row>
    <row r="365" customHeight="1" spans="1:10">
      <c r="A365" s="3">
        <v>409</v>
      </c>
      <c r="B365" s="1" t="s">
        <v>201</v>
      </c>
      <c r="C365" s="1" t="s">
        <v>177</v>
      </c>
      <c r="D365" s="25" t="s">
        <v>196</v>
      </c>
      <c r="E365" s="3" t="s">
        <v>22</v>
      </c>
      <c r="F365" s="1">
        <v>0.45</v>
      </c>
      <c r="G365" s="3">
        <v>480</v>
      </c>
      <c r="H365" s="3">
        <f t="shared" si="7"/>
        <v>216</v>
      </c>
      <c r="I365" s="3"/>
      <c r="J365" s="3">
        <v>9.17</v>
      </c>
    </row>
    <row r="366" customHeight="1" spans="1:10">
      <c r="A366" s="3">
        <v>410</v>
      </c>
      <c r="B366" s="1" t="s">
        <v>202</v>
      </c>
      <c r="C366" s="1" t="s">
        <v>177</v>
      </c>
      <c r="D366" s="3" t="s">
        <v>196</v>
      </c>
      <c r="E366" s="3" t="s">
        <v>22</v>
      </c>
      <c r="F366" s="1">
        <v>0.44</v>
      </c>
      <c r="G366" s="3">
        <v>480</v>
      </c>
      <c r="H366" s="3">
        <f t="shared" si="7"/>
        <v>211.2</v>
      </c>
      <c r="I366" s="3"/>
      <c r="J366" s="3">
        <v>9.17</v>
      </c>
    </row>
    <row r="367" customHeight="1" spans="1:10">
      <c r="A367" s="3">
        <v>411</v>
      </c>
      <c r="B367" s="1" t="s">
        <v>195</v>
      </c>
      <c r="C367" s="1" t="s">
        <v>177</v>
      </c>
      <c r="D367" s="3" t="s">
        <v>196</v>
      </c>
      <c r="E367" s="3" t="s">
        <v>22</v>
      </c>
      <c r="F367" s="1">
        <v>0.3</v>
      </c>
      <c r="G367" s="3">
        <v>480</v>
      </c>
      <c r="H367" s="3">
        <f t="shared" si="7"/>
        <v>144</v>
      </c>
      <c r="I367" s="3"/>
      <c r="J367" s="3">
        <v>9.17</v>
      </c>
    </row>
    <row r="368" customHeight="1" spans="1:10">
      <c r="A368" s="3">
        <v>412</v>
      </c>
      <c r="B368" s="1" t="s">
        <v>180</v>
      </c>
      <c r="C368" s="1" t="s">
        <v>177</v>
      </c>
      <c r="D368" s="3" t="s">
        <v>196</v>
      </c>
      <c r="E368" s="3" t="s">
        <v>22</v>
      </c>
      <c r="F368" s="1">
        <v>0.22</v>
      </c>
      <c r="G368" s="3">
        <v>480</v>
      </c>
      <c r="H368" s="3">
        <f t="shared" si="7"/>
        <v>105.6</v>
      </c>
      <c r="I368" s="3"/>
      <c r="J368" s="3">
        <v>9.17</v>
      </c>
    </row>
    <row r="369" customHeight="1" spans="1:10">
      <c r="A369" s="3">
        <v>413</v>
      </c>
      <c r="B369" s="1" t="s">
        <v>176</v>
      </c>
      <c r="C369" s="1" t="s">
        <v>177</v>
      </c>
      <c r="D369" s="3" t="s">
        <v>203</v>
      </c>
      <c r="E369" s="3" t="s">
        <v>22</v>
      </c>
      <c r="F369" s="1">
        <v>0.04</v>
      </c>
      <c r="G369" s="3">
        <v>480</v>
      </c>
      <c r="H369" s="3">
        <f t="shared" si="7"/>
        <v>19.2</v>
      </c>
      <c r="I369" s="3"/>
      <c r="J369" s="3">
        <v>9.17</v>
      </c>
    </row>
    <row r="370" customHeight="1" spans="1:10">
      <c r="A370" s="3">
        <v>414</v>
      </c>
      <c r="B370" s="1" t="s">
        <v>195</v>
      </c>
      <c r="C370" s="1" t="s">
        <v>177</v>
      </c>
      <c r="D370" s="3" t="s">
        <v>203</v>
      </c>
      <c r="E370" s="3" t="s">
        <v>22</v>
      </c>
      <c r="F370" s="1">
        <v>0.5</v>
      </c>
      <c r="G370" s="3">
        <v>480</v>
      </c>
      <c r="H370" s="3">
        <f t="shared" si="7"/>
        <v>240</v>
      </c>
      <c r="I370" s="3"/>
      <c r="J370" s="3">
        <v>9.17</v>
      </c>
    </row>
    <row r="371" customHeight="1" spans="1:10">
      <c r="A371" s="3">
        <v>415</v>
      </c>
      <c r="B371" s="1" t="s">
        <v>182</v>
      </c>
      <c r="C371" s="1" t="s">
        <v>177</v>
      </c>
      <c r="D371" s="3" t="s">
        <v>203</v>
      </c>
      <c r="E371" s="3" t="s">
        <v>22</v>
      </c>
      <c r="F371" s="1">
        <v>0.4</v>
      </c>
      <c r="G371" s="3">
        <v>480</v>
      </c>
      <c r="H371" s="3">
        <f t="shared" si="7"/>
        <v>192</v>
      </c>
      <c r="I371" s="3"/>
      <c r="J371" s="3">
        <v>9.17</v>
      </c>
    </row>
    <row r="372" customHeight="1" spans="1:10">
      <c r="A372" s="3">
        <v>416</v>
      </c>
      <c r="B372" s="1" t="s">
        <v>176</v>
      </c>
      <c r="C372" s="1" t="s">
        <v>177</v>
      </c>
      <c r="D372" s="3" t="s">
        <v>203</v>
      </c>
      <c r="E372" s="3" t="s">
        <v>22</v>
      </c>
      <c r="F372" s="1">
        <v>0.34</v>
      </c>
      <c r="G372" s="3">
        <v>480</v>
      </c>
      <c r="H372" s="3">
        <f t="shared" si="7"/>
        <v>163.2</v>
      </c>
      <c r="I372" s="3"/>
      <c r="J372" s="3">
        <v>9.17</v>
      </c>
    </row>
    <row r="373" customHeight="1" spans="1:10">
      <c r="A373" s="3">
        <v>417</v>
      </c>
      <c r="B373" s="1" t="s">
        <v>176</v>
      </c>
      <c r="C373" s="1" t="s">
        <v>177</v>
      </c>
      <c r="D373" s="3" t="s">
        <v>204</v>
      </c>
      <c r="E373" s="3" t="s">
        <v>22</v>
      </c>
      <c r="F373" s="1">
        <v>0.1</v>
      </c>
      <c r="G373" s="3">
        <v>480</v>
      </c>
      <c r="H373" s="3">
        <f t="shared" si="7"/>
        <v>48</v>
      </c>
      <c r="I373" s="3"/>
      <c r="J373" s="3">
        <v>9.17</v>
      </c>
    </row>
    <row r="374" customHeight="1" spans="1:10">
      <c r="A374" s="3">
        <v>419</v>
      </c>
      <c r="B374" s="1" t="s">
        <v>192</v>
      </c>
      <c r="C374" s="1" t="s">
        <v>177</v>
      </c>
      <c r="D374" s="3" t="s">
        <v>204</v>
      </c>
      <c r="E374" s="3" t="s">
        <v>22</v>
      </c>
      <c r="F374" s="1">
        <v>0.33</v>
      </c>
      <c r="G374" s="3">
        <v>480</v>
      </c>
      <c r="H374" s="3">
        <f t="shared" si="7"/>
        <v>158.4</v>
      </c>
      <c r="I374" s="3"/>
      <c r="J374" s="3">
        <v>9.17</v>
      </c>
    </row>
    <row r="375" customHeight="1" spans="1:10">
      <c r="A375" s="3">
        <v>420</v>
      </c>
      <c r="B375" s="1" t="s">
        <v>205</v>
      </c>
      <c r="C375" s="1" t="s">
        <v>177</v>
      </c>
      <c r="D375" s="3" t="s">
        <v>204</v>
      </c>
      <c r="E375" s="3" t="s">
        <v>22</v>
      </c>
      <c r="F375" s="1">
        <v>0.33</v>
      </c>
      <c r="G375" s="3">
        <v>480</v>
      </c>
      <c r="H375" s="3">
        <f t="shared" si="7"/>
        <v>158.4</v>
      </c>
      <c r="I375" s="3"/>
      <c r="J375" s="3">
        <v>9.17</v>
      </c>
    </row>
    <row r="376" customHeight="1" spans="1:10">
      <c r="A376" s="3">
        <v>421</v>
      </c>
      <c r="B376" s="1" t="s">
        <v>206</v>
      </c>
      <c r="C376" s="1" t="s">
        <v>177</v>
      </c>
      <c r="D376" s="3" t="s">
        <v>207</v>
      </c>
      <c r="E376" s="3" t="s">
        <v>22</v>
      </c>
      <c r="F376" s="1">
        <v>0.15</v>
      </c>
      <c r="G376" s="3">
        <v>480</v>
      </c>
      <c r="H376" s="3">
        <f t="shared" si="7"/>
        <v>72</v>
      </c>
      <c r="I376" s="3"/>
      <c r="J376" s="3">
        <v>9.17</v>
      </c>
    </row>
    <row r="377" customHeight="1" spans="1:10">
      <c r="A377" s="3">
        <v>422</v>
      </c>
      <c r="B377" s="1" t="s">
        <v>200</v>
      </c>
      <c r="C377" s="1" t="s">
        <v>177</v>
      </c>
      <c r="D377" s="3" t="s">
        <v>207</v>
      </c>
      <c r="E377" s="3" t="s">
        <v>22</v>
      </c>
      <c r="F377" s="1">
        <v>0.22</v>
      </c>
      <c r="G377" s="3">
        <v>480</v>
      </c>
      <c r="H377" s="3">
        <f t="shared" si="7"/>
        <v>105.6</v>
      </c>
      <c r="I377" s="3"/>
      <c r="J377" s="3">
        <v>9.17</v>
      </c>
    </row>
    <row r="378" customHeight="1" spans="1:10">
      <c r="A378" s="3">
        <v>423</v>
      </c>
      <c r="B378" s="1" t="s">
        <v>197</v>
      </c>
      <c r="C378" s="1" t="s">
        <v>177</v>
      </c>
      <c r="D378" s="3" t="s">
        <v>207</v>
      </c>
      <c r="E378" s="3" t="s">
        <v>22</v>
      </c>
      <c r="F378" s="1">
        <v>0.2</v>
      </c>
      <c r="G378" s="3">
        <v>480</v>
      </c>
      <c r="H378" s="3">
        <f t="shared" si="7"/>
        <v>96</v>
      </c>
      <c r="I378" s="3"/>
      <c r="J378" s="3">
        <v>9.17</v>
      </c>
    </row>
    <row r="379" customHeight="1" spans="1:10">
      <c r="A379" s="3">
        <v>424</v>
      </c>
      <c r="B379" s="1" t="s">
        <v>189</v>
      </c>
      <c r="C379" s="1" t="s">
        <v>177</v>
      </c>
      <c r="D379" s="3" t="s">
        <v>207</v>
      </c>
      <c r="E379" s="3" t="s">
        <v>22</v>
      </c>
      <c r="F379" s="1">
        <v>0.41</v>
      </c>
      <c r="G379" s="3">
        <v>480</v>
      </c>
      <c r="H379" s="3">
        <f t="shared" si="7"/>
        <v>196.8</v>
      </c>
      <c r="I379" s="3"/>
      <c r="J379" s="3">
        <v>9.17</v>
      </c>
    </row>
    <row r="380" customHeight="1" spans="1:10">
      <c r="A380" s="3">
        <v>425</v>
      </c>
      <c r="B380" s="1" t="s">
        <v>179</v>
      </c>
      <c r="C380" s="1" t="s">
        <v>177</v>
      </c>
      <c r="D380" s="3" t="s">
        <v>207</v>
      </c>
      <c r="E380" s="3" t="s">
        <v>22</v>
      </c>
      <c r="F380" s="1">
        <v>0.81</v>
      </c>
      <c r="G380" s="3">
        <v>480</v>
      </c>
      <c r="H380" s="3">
        <f t="shared" si="7"/>
        <v>388.8</v>
      </c>
      <c r="I380" s="3"/>
      <c r="J380" s="3">
        <v>9.17</v>
      </c>
    </row>
    <row r="381" customHeight="1" spans="1:10">
      <c r="A381" s="3">
        <v>426</v>
      </c>
      <c r="B381" s="1" t="s">
        <v>208</v>
      </c>
      <c r="C381" s="1" t="s">
        <v>177</v>
      </c>
      <c r="D381" s="3" t="s">
        <v>207</v>
      </c>
      <c r="E381" s="3" t="s">
        <v>22</v>
      </c>
      <c r="F381" s="1">
        <v>0.66</v>
      </c>
      <c r="G381" s="3">
        <v>480</v>
      </c>
      <c r="H381" s="3">
        <f t="shared" si="7"/>
        <v>316.8</v>
      </c>
      <c r="I381" s="3"/>
      <c r="J381" s="3">
        <v>9.17</v>
      </c>
    </row>
    <row r="382" customHeight="1" spans="1:10">
      <c r="A382" s="3">
        <v>427</v>
      </c>
      <c r="B382" s="1" t="s">
        <v>209</v>
      </c>
      <c r="C382" s="1" t="s">
        <v>177</v>
      </c>
      <c r="D382" s="3" t="s">
        <v>207</v>
      </c>
      <c r="E382" s="3" t="s">
        <v>22</v>
      </c>
      <c r="F382" s="1">
        <v>0.1</v>
      </c>
      <c r="G382" s="3">
        <v>480</v>
      </c>
      <c r="H382" s="3">
        <f t="shared" si="7"/>
        <v>48</v>
      </c>
      <c r="I382" s="3"/>
      <c r="J382" s="3">
        <v>9.17</v>
      </c>
    </row>
    <row r="383" customHeight="1" spans="1:10">
      <c r="A383" s="3">
        <v>428</v>
      </c>
      <c r="B383" s="1" t="s">
        <v>210</v>
      </c>
      <c r="C383" s="1" t="s">
        <v>177</v>
      </c>
      <c r="D383" s="3" t="s">
        <v>207</v>
      </c>
      <c r="E383" s="3" t="s">
        <v>22</v>
      </c>
      <c r="F383" s="1">
        <v>0.33</v>
      </c>
      <c r="G383" s="3">
        <v>480</v>
      </c>
      <c r="H383" s="3">
        <f t="shared" si="7"/>
        <v>158.4</v>
      </c>
      <c r="I383" s="3"/>
      <c r="J383" s="3">
        <v>9.17</v>
      </c>
    </row>
    <row r="384" customHeight="1" spans="1:10">
      <c r="A384" s="3">
        <v>429</v>
      </c>
      <c r="B384" s="1" t="s">
        <v>192</v>
      </c>
      <c r="C384" s="1" t="s">
        <v>177</v>
      </c>
      <c r="D384" s="3" t="s">
        <v>207</v>
      </c>
      <c r="E384" s="3" t="s">
        <v>22</v>
      </c>
      <c r="F384" s="1">
        <v>0.17</v>
      </c>
      <c r="G384" s="3">
        <v>480</v>
      </c>
      <c r="H384" s="3">
        <f t="shared" si="7"/>
        <v>81.6</v>
      </c>
      <c r="I384" s="3"/>
      <c r="J384" s="3">
        <v>9.17</v>
      </c>
    </row>
    <row r="385" customHeight="1" spans="1:10">
      <c r="A385" s="3">
        <v>430</v>
      </c>
      <c r="B385" s="1" t="s">
        <v>205</v>
      </c>
      <c r="C385" s="1" t="s">
        <v>177</v>
      </c>
      <c r="D385" s="3" t="s">
        <v>207</v>
      </c>
      <c r="E385" s="3" t="s">
        <v>22</v>
      </c>
      <c r="F385" s="1">
        <v>0.17</v>
      </c>
      <c r="G385" s="3">
        <v>480</v>
      </c>
      <c r="H385" s="3">
        <f t="shared" si="7"/>
        <v>81.6</v>
      </c>
      <c r="I385" s="3"/>
      <c r="J385" s="3">
        <v>9.17</v>
      </c>
    </row>
    <row r="386" customHeight="1" spans="1:10">
      <c r="A386" s="3">
        <v>431</v>
      </c>
      <c r="B386" s="1" t="s">
        <v>176</v>
      </c>
      <c r="C386" s="1" t="s">
        <v>177</v>
      </c>
      <c r="D386" s="3" t="s">
        <v>207</v>
      </c>
      <c r="E386" s="3" t="s">
        <v>22</v>
      </c>
      <c r="F386" s="1">
        <v>0.29</v>
      </c>
      <c r="G386" s="3">
        <v>480</v>
      </c>
      <c r="H386" s="3">
        <f t="shared" si="7"/>
        <v>139.2</v>
      </c>
      <c r="I386" s="3"/>
      <c r="J386" s="3">
        <v>9.17</v>
      </c>
    </row>
    <row r="387" customHeight="1" spans="1:10">
      <c r="A387" s="3">
        <v>432</v>
      </c>
      <c r="B387" s="1" t="s">
        <v>201</v>
      </c>
      <c r="C387" s="1" t="s">
        <v>177</v>
      </c>
      <c r="D387" s="25" t="s">
        <v>207</v>
      </c>
      <c r="E387" s="3" t="s">
        <v>22</v>
      </c>
      <c r="F387" s="1">
        <v>0.49</v>
      </c>
      <c r="G387" s="3">
        <v>480</v>
      </c>
      <c r="H387" s="3">
        <f t="shared" si="7"/>
        <v>235.2</v>
      </c>
      <c r="I387" s="3"/>
      <c r="J387" s="3">
        <v>9.17</v>
      </c>
    </row>
    <row r="388" customHeight="1" spans="1:10">
      <c r="A388" s="3">
        <v>433</v>
      </c>
      <c r="B388" s="1" t="s">
        <v>211</v>
      </c>
      <c r="C388" s="1" t="s">
        <v>177</v>
      </c>
      <c r="D388" s="3" t="s">
        <v>207</v>
      </c>
      <c r="E388" s="3" t="s">
        <v>22</v>
      </c>
      <c r="F388" s="1">
        <v>0.5</v>
      </c>
      <c r="G388" s="3">
        <v>480</v>
      </c>
      <c r="H388" s="3">
        <f t="shared" si="7"/>
        <v>240</v>
      </c>
      <c r="I388" s="3"/>
      <c r="J388" s="3">
        <v>9.17</v>
      </c>
    </row>
    <row r="389" customHeight="1" spans="1:10">
      <c r="A389" s="3">
        <v>434</v>
      </c>
      <c r="B389" s="1" t="s">
        <v>188</v>
      </c>
      <c r="C389" s="1" t="s">
        <v>177</v>
      </c>
      <c r="D389" s="3" t="s">
        <v>207</v>
      </c>
      <c r="E389" s="3" t="s">
        <v>22</v>
      </c>
      <c r="F389" s="1">
        <v>0.46</v>
      </c>
      <c r="G389" s="3">
        <v>480</v>
      </c>
      <c r="H389" s="3">
        <f t="shared" si="7"/>
        <v>220.8</v>
      </c>
      <c r="I389" s="3"/>
      <c r="J389" s="3">
        <v>9.17</v>
      </c>
    </row>
    <row r="390" customHeight="1" spans="1:10">
      <c r="A390" s="3">
        <v>435</v>
      </c>
      <c r="B390" s="1" t="s">
        <v>212</v>
      </c>
      <c r="C390" s="1" t="s">
        <v>177</v>
      </c>
      <c r="D390" s="3" t="s">
        <v>178</v>
      </c>
      <c r="E390" s="3" t="s">
        <v>22</v>
      </c>
      <c r="F390" s="1">
        <v>0.3</v>
      </c>
      <c r="G390" s="3">
        <v>480</v>
      </c>
      <c r="H390" s="3">
        <f t="shared" si="7"/>
        <v>144</v>
      </c>
      <c r="I390" s="3"/>
      <c r="J390" s="3">
        <v>9.17</v>
      </c>
    </row>
    <row r="391" customHeight="1" spans="1:10">
      <c r="A391" s="3">
        <v>436</v>
      </c>
      <c r="B391" s="3" t="s">
        <v>209</v>
      </c>
      <c r="C391" s="1" t="s">
        <v>177</v>
      </c>
      <c r="D391" s="3" t="s">
        <v>213</v>
      </c>
      <c r="E391" s="3" t="s">
        <v>22</v>
      </c>
      <c r="F391" s="3">
        <v>0.43</v>
      </c>
      <c r="G391" s="3">
        <v>480</v>
      </c>
      <c r="H391" s="3">
        <f t="shared" si="7"/>
        <v>206.4</v>
      </c>
      <c r="I391" s="3"/>
      <c r="J391" s="3">
        <v>9.17</v>
      </c>
    </row>
    <row r="392" customHeight="1" spans="1:10">
      <c r="A392" s="3">
        <v>437</v>
      </c>
      <c r="B392" s="3" t="s">
        <v>214</v>
      </c>
      <c r="C392" s="1" t="s">
        <v>177</v>
      </c>
      <c r="D392" s="3" t="s">
        <v>213</v>
      </c>
      <c r="E392" s="3" t="s">
        <v>22</v>
      </c>
      <c r="F392" s="3">
        <v>0.25</v>
      </c>
      <c r="G392" s="3">
        <v>480</v>
      </c>
      <c r="H392" s="3">
        <f t="shared" si="7"/>
        <v>120</v>
      </c>
      <c r="I392" s="3"/>
      <c r="J392" s="3">
        <v>9.17</v>
      </c>
    </row>
    <row r="393" customHeight="1" spans="1:10">
      <c r="A393" s="3">
        <v>438</v>
      </c>
      <c r="B393" s="3" t="s">
        <v>190</v>
      </c>
      <c r="C393" s="1" t="s">
        <v>177</v>
      </c>
      <c r="D393" s="3" t="s">
        <v>215</v>
      </c>
      <c r="E393" s="3" t="s">
        <v>22</v>
      </c>
      <c r="F393" s="3">
        <v>0.05</v>
      </c>
      <c r="G393" s="3">
        <v>480</v>
      </c>
      <c r="H393" s="3">
        <f t="shared" si="7"/>
        <v>24</v>
      </c>
      <c r="I393" s="3"/>
      <c r="J393" s="3">
        <v>9.17</v>
      </c>
    </row>
    <row r="394" customHeight="1" spans="1:10">
      <c r="A394" s="3">
        <v>439</v>
      </c>
      <c r="B394" s="3" t="s">
        <v>205</v>
      </c>
      <c r="C394" s="1" t="s">
        <v>177</v>
      </c>
      <c r="D394" s="3" t="s">
        <v>215</v>
      </c>
      <c r="E394" s="3" t="s">
        <v>22</v>
      </c>
      <c r="F394" s="3">
        <v>0.23</v>
      </c>
      <c r="G394" s="3">
        <v>480</v>
      </c>
      <c r="H394" s="3">
        <f t="shared" si="7"/>
        <v>110.4</v>
      </c>
      <c r="I394" s="3"/>
      <c r="J394" s="3">
        <v>9.17</v>
      </c>
    </row>
    <row r="395" customHeight="1" spans="1:10">
      <c r="A395" s="3">
        <v>440</v>
      </c>
      <c r="B395" s="3" t="s">
        <v>189</v>
      </c>
      <c r="C395" s="1" t="s">
        <v>177</v>
      </c>
      <c r="D395" s="3" t="s">
        <v>216</v>
      </c>
      <c r="E395" s="3" t="s">
        <v>22</v>
      </c>
      <c r="F395" s="3">
        <v>0.24</v>
      </c>
      <c r="G395" s="3">
        <v>480</v>
      </c>
      <c r="H395" s="3">
        <f t="shared" si="7"/>
        <v>115.2</v>
      </c>
      <c r="I395" s="3"/>
      <c r="J395" s="3">
        <v>9.17</v>
      </c>
    </row>
    <row r="396" customHeight="1" spans="1:10">
      <c r="A396" s="3">
        <v>442</v>
      </c>
      <c r="B396" s="3" t="s">
        <v>212</v>
      </c>
      <c r="C396" s="1" t="s">
        <v>177</v>
      </c>
      <c r="D396" s="3" t="s">
        <v>217</v>
      </c>
      <c r="E396" s="3" t="s">
        <v>22</v>
      </c>
      <c r="F396" s="3">
        <v>0.74</v>
      </c>
      <c r="G396" s="3">
        <v>480</v>
      </c>
      <c r="H396" s="3">
        <f t="shared" ref="H396:H455" si="8">G396*F396</f>
        <v>355.2</v>
      </c>
      <c r="I396" s="3"/>
      <c r="J396" s="3">
        <v>9.17</v>
      </c>
    </row>
    <row r="397" customHeight="1" spans="1:10">
      <c r="A397" s="3">
        <v>443</v>
      </c>
      <c r="B397" s="3" t="s">
        <v>197</v>
      </c>
      <c r="C397" s="1" t="s">
        <v>177</v>
      </c>
      <c r="D397" s="3" t="s">
        <v>217</v>
      </c>
      <c r="E397" s="3" t="s">
        <v>22</v>
      </c>
      <c r="F397" s="3">
        <v>0.42</v>
      </c>
      <c r="G397" s="3">
        <v>480</v>
      </c>
      <c r="H397" s="3">
        <f t="shared" si="8"/>
        <v>201.6</v>
      </c>
      <c r="I397" s="3"/>
      <c r="J397" s="3">
        <v>9.17</v>
      </c>
    </row>
    <row r="398" customHeight="1" spans="1:10">
      <c r="A398" s="3">
        <v>444</v>
      </c>
      <c r="B398" s="3" t="s">
        <v>218</v>
      </c>
      <c r="C398" s="1" t="s">
        <v>177</v>
      </c>
      <c r="D398" s="3" t="s">
        <v>219</v>
      </c>
      <c r="E398" s="3" t="s">
        <v>22</v>
      </c>
      <c r="F398" s="3">
        <v>0.88</v>
      </c>
      <c r="G398" s="3">
        <v>480</v>
      </c>
      <c r="H398" s="3">
        <f t="shared" si="8"/>
        <v>422.4</v>
      </c>
      <c r="I398" s="3"/>
      <c r="J398" s="3">
        <v>9.17</v>
      </c>
    </row>
    <row r="399" customHeight="1" spans="1:10">
      <c r="A399" s="3">
        <v>445</v>
      </c>
      <c r="B399" s="3" t="s">
        <v>220</v>
      </c>
      <c r="C399" s="1" t="s">
        <v>177</v>
      </c>
      <c r="D399" s="3" t="s">
        <v>217</v>
      </c>
      <c r="E399" s="3" t="s">
        <v>22</v>
      </c>
      <c r="F399" s="3">
        <v>0.01</v>
      </c>
      <c r="G399" s="3">
        <v>480</v>
      </c>
      <c r="H399" s="3">
        <f t="shared" si="8"/>
        <v>4.8</v>
      </c>
      <c r="I399" s="3"/>
      <c r="J399" s="3">
        <v>9.17</v>
      </c>
    </row>
    <row r="400" customHeight="1" spans="1:10">
      <c r="A400" s="3">
        <v>446</v>
      </c>
      <c r="B400" s="3" t="s">
        <v>221</v>
      </c>
      <c r="C400" s="1" t="s">
        <v>177</v>
      </c>
      <c r="D400" s="3" t="s">
        <v>219</v>
      </c>
      <c r="E400" s="3" t="s">
        <v>22</v>
      </c>
      <c r="F400" s="3">
        <v>0.88</v>
      </c>
      <c r="G400" s="3">
        <v>480</v>
      </c>
      <c r="H400" s="3">
        <f t="shared" si="8"/>
        <v>422.4</v>
      </c>
      <c r="I400" s="3"/>
      <c r="J400" s="3">
        <v>9.17</v>
      </c>
    </row>
    <row r="401" customHeight="1" spans="1:10">
      <c r="A401" s="3">
        <v>447</v>
      </c>
      <c r="B401" s="3" t="s">
        <v>202</v>
      </c>
      <c r="C401" s="1" t="s">
        <v>177</v>
      </c>
      <c r="D401" s="3" t="s">
        <v>217</v>
      </c>
      <c r="E401" s="3" t="s">
        <v>22</v>
      </c>
      <c r="F401" s="3">
        <v>0.2</v>
      </c>
      <c r="G401" s="3">
        <v>480</v>
      </c>
      <c r="H401" s="3">
        <f t="shared" si="8"/>
        <v>96</v>
      </c>
      <c r="I401" s="3"/>
      <c r="J401" s="3">
        <v>9.17</v>
      </c>
    </row>
    <row r="402" customHeight="1" spans="1:10">
      <c r="A402" s="3">
        <v>448</v>
      </c>
      <c r="B402" s="3" t="s">
        <v>200</v>
      </c>
      <c r="C402" s="1" t="s">
        <v>177</v>
      </c>
      <c r="D402" s="3" t="s">
        <v>219</v>
      </c>
      <c r="E402" s="3" t="s">
        <v>22</v>
      </c>
      <c r="F402" s="3">
        <v>1.13</v>
      </c>
      <c r="G402" s="3">
        <v>480</v>
      </c>
      <c r="H402" s="3">
        <f t="shared" si="8"/>
        <v>542.4</v>
      </c>
      <c r="I402" s="3"/>
      <c r="J402" s="3">
        <v>9.17</v>
      </c>
    </row>
    <row r="403" customHeight="1" spans="1:10">
      <c r="A403" s="3">
        <v>449</v>
      </c>
      <c r="B403" s="3" t="s">
        <v>222</v>
      </c>
      <c r="C403" s="1" t="s">
        <v>177</v>
      </c>
      <c r="D403" s="3" t="s">
        <v>219</v>
      </c>
      <c r="E403" s="3" t="s">
        <v>22</v>
      </c>
      <c r="F403" s="3">
        <v>0.38</v>
      </c>
      <c r="G403" s="3">
        <v>480</v>
      </c>
      <c r="H403" s="3">
        <f t="shared" si="8"/>
        <v>182.4</v>
      </c>
      <c r="I403" s="3"/>
      <c r="J403" s="3">
        <v>9.17</v>
      </c>
    </row>
    <row r="404" customHeight="1" spans="1:10">
      <c r="A404" s="3">
        <v>450</v>
      </c>
      <c r="B404" s="3" t="s">
        <v>223</v>
      </c>
      <c r="C404" s="1" t="s">
        <v>177</v>
      </c>
      <c r="D404" s="3" t="s">
        <v>219</v>
      </c>
      <c r="E404" s="3" t="s">
        <v>22</v>
      </c>
      <c r="F404" s="3">
        <v>0.06</v>
      </c>
      <c r="G404" s="3">
        <v>480</v>
      </c>
      <c r="H404" s="3">
        <f t="shared" si="8"/>
        <v>28.8</v>
      </c>
      <c r="I404" s="3"/>
      <c r="J404" s="3">
        <v>9.17</v>
      </c>
    </row>
    <row r="405" customHeight="1" spans="1:10">
      <c r="A405" s="3">
        <v>451</v>
      </c>
      <c r="B405" s="3" t="s">
        <v>209</v>
      </c>
      <c r="C405" s="1" t="s">
        <v>177</v>
      </c>
      <c r="D405" s="3" t="s">
        <v>219</v>
      </c>
      <c r="E405" s="3" t="s">
        <v>22</v>
      </c>
      <c r="F405" s="3">
        <v>0.19</v>
      </c>
      <c r="G405" s="3">
        <v>480</v>
      </c>
      <c r="H405" s="3">
        <f t="shared" si="8"/>
        <v>91.2</v>
      </c>
      <c r="I405" s="3"/>
      <c r="J405" s="3">
        <v>9.17</v>
      </c>
    </row>
    <row r="406" customHeight="1" spans="1:10">
      <c r="A406" s="3">
        <v>452</v>
      </c>
      <c r="B406" s="3" t="s">
        <v>223</v>
      </c>
      <c r="C406" s="1" t="s">
        <v>177</v>
      </c>
      <c r="D406" s="3" t="s">
        <v>224</v>
      </c>
      <c r="E406" s="3" t="s">
        <v>22</v>
      </c>
      <c r="F406" s="3">
        <v>0.43</v>
      </c>
      <c r="G406" s="3">
        <v>480</v>
      </c>
      <c r="H406" s="3">
        <f t="shared" si="8"/>
        <v>206.4</v>
      </c>
      <c r="I406" s="3"/>
      <c r="J406" s="3">
        <v>9.17</v>
      </c>
    </row>
    <row r="407" customHeight="1" spans="1:10">
      <c r="A407" s="3">
        <v>453</v>
      </c>
      <c r="B407" s="3" t="s">
        <v>187</v>
      </c>
      <c r="C407" s="1" t="s">
        <v>177</v>
      </c>
      <c r="D407" s="3" t="s">
        <v>224</v>
      </c>
      <c r="E407" s="3" t="s">
        <v>22</v>
      </c>
      <c r="F407" s="3">
        <v>0.36</v>
      </c>
      <c r="G407" s="3">
        <v>480</v>
      </c>
      <c r="H407" s="3">
        <f t="shared" si="8"/>
        <v>172.8</v>
      </c>
      <c r="I407" s="3"/>
      <c r="J407" s="3">
        <v>9.17</v>
      </c>
    </row>
    <row r="408" customHeight="1" spans="1:10">
      <c r="A408" s="3">
        <v>454</v>
      </c>
      <c r="B408" s="3" t="s">
        <v>187</v>
      </c>
      <c r="C408" s="1" t="s">
        <v>177</v>
      </c>
      <c r="D408" s="3" t="s">
        <v>225</v>
      </c>
      <c r="E408" s="3" t="s">
        <v>22</v>
      </c>
      <c r="F408" s="3">
        <v>0.52</v>
      </c>
      <c r="G408" s="3">
        <v>480</v>
      </c>
      <c r="H408" s="3">
        <f t="shared" si="8"/>
        <v>249.6</v>
      </c>
      <c r="I408" s="3"/>
      <c r="J408" s="3">
        <v>9.17</v>
      </c>
    </row>
    <row r="409" customHeight="1" spans="1:10">
      <c r="A409" s="3">
        <v>455</v>
      </c>
      <c r="B409" s="3" t="s">
        <v>187</v>
      </c>
      <c r="C409" s="1" t="s">
        <v>177</v>
      </c>
      <c r="D409" s="3" t="s">
        <v>226</v>
      </c>
      <c r="E409" s="3" t="s">
        <v>22</v>
      </c>
      <c r="F409" s="3">
        <v>0.51</v>
      </c>
      <c r="G409" s="3">
        <v>480</v>
      </c>
      <c r="H409" s="3">
        <f t="shared" si="8"/>
        <v>244.8</v>
      </c>
      <c r="I409" s="3"/>
      <c r="J409" s="3">
        <v>9.17</v>
      </c>
    </row>
    <row r="410" customHeight="1" spans="1:10">
      <c r="A410" s="3">
        <v>456</v>
      </c>
      <c r="B410" s="3" t="s">
        <v>180</v>
      </c>
      <c r="C410" s="1" t="s">
        <v>177</v>
      </c>
      <c r="D410" s="3" t="s">
        <v>203</v>
      </c>
      <c r="E410" s="3" t="s">
        <v>22</v>
      </c>
      <c r="F410" s="3">
        <v>0.53</v>
      </c>
      <c r="G410" s="3">
        <v>480</v>
      </c>
      <c r="H410" s="3">
        <f t="shared" si="8"/>
        <v>254.4</v>
      </c>
      <c r="I410" s="3"/>
      <c r="J410" s="3">
        <v>9.17</v>
      </c>
    </row>
    <row r="411" customHeight="1" spans="1:10">
      <c r="A411" s="3">
        <v>457</v>
      </c>
      <c r="B411" s="3" t="s">
        <v>218</v>
      </c>
      <c r="C411" s="1" t="s">
        <v>177</v>
      </c>
      <c r="D411" s="3" t="s">
        <v>203</v>
      </c>
      <c r="E411" s="3" t="s">
        <v>22</v>
      </c>
      <c r="F411" s="3">
        <v>0.1</v>
      </c>
      <c r="G411" s="3">
        <v>480</v>
      </c>
      <c r="H411" s="3">
        <f t="shared" si="8"/>
        <v>48</v>
      </c>
      <c r="I411" s="3"/>
      <c r="J411" s="3">
        <v>9.17</v>
      </c>
    </row>
    <row r="412" customHeight="1" spans="1:10">
      <c r="A412" s="3">
        <v>458</v>
      </c>
      <c r="B412" s="3" t="s">
        <v>179</v>
      </c>
      <c r="C412" s="1" t="s">
        <v>177</v>
      </c>
      <c r="D412" s="3" t="s">
        <v>227</v>
      </c>
      <c r="E412" s="3" t="s">
        <v>22</v>
      </c>
      <c r="F412" s="3">
        <v>0.84</v>
      </c>
      <c r="G412" s="3">
        <v>480</v>
      </c>
      <c r="H412" s="3">
        <f t="shared" si="8"/>
        <v>403.2</v>
      </c>
      <c r="I412" s="3"/>
      <c r="J412" s="3">
        <v>9.17</v>
      </c>
    </row>
    <row r="413" customHeight="1" spans="1:10">
      <c r="A413" s="3">
        <v>459</v>
      </c>
      <c r="B413" s="3" t="s">
        <v>209</v>
      </c>
      <c r="C413" s="1" t="s">
        <v>177</v>
      </c>
      <c r="D413" s="3" t="s">
        <v>227</v>
      </c>
      <c r="E413" s="3" t="s">
        <v>22</v>
      </c>
      <c r="F413" s="3">
        <v>1.03</v>
      </c>
      <c r="G413" s="3">
        <v>480</v>
      </c>
      <c r="H413" s="3">
        <f t="shared" si="8"/>
        <v>494.4</v>
      </c>
      <c r="I413" s="3"/>
      <c r="J413" s="3">
        <v>9.17</v>
      </c>
    </row>
    <row r="414" customHeight="1" spans="1:10">
      <c r="A414" s="3">
        <v>460</v>
      </c>
      <c r="B414" s="3" t="s">
        <v>223</v>
      </c>
      <c r="C414" s="1" t="s">
        <v>177</v>
      </c>
      <c r="D414" s="3" t="s">
        <v>227</v>
      </c>
      <c r="E414" s="3" t="s">
        <v>22</v>
      </c>
      <c r="F414" s="3">
        <v>1.33</v>
      </c>
      <c r="G414" s="3">
        <v>480</v>
      </c>
      <c r="H414" s="3">
        <f t="shared" si="8"/>
        <v>638.4</v>
      </c>
      <c r="I414" s="3"/>
      <c r="J414" s="3">
        <v>9.17</v>
      </c>
    </row>
    <row r="415" customHeight="1" spans="1:10">
      <c r="A415" s="3">
        <v>461</v>
      </c>
      <c r="B415" s="3" t="s">
        <v>189</v>
      </c>
      <c r="C415" s="1" t="s">
        <v>177</v>
      </c>
      <c r="D415" s="3" t="s">
        <v>227</v>
      </c>
      <c r="E415" s="3" t="s">
        <v>22</v>
      </c>
      <c r="F415" s="3">
        <v>0.55</v>
      </c>
      <c r="G415" s="3">
        <v>480</v>
      </c>
      <c r="H415" s="3">
        <f t="shared" si="8"/>
        <v>264</v>
      </c>
      <c r="I415" s="3"/>
      <c r="J415" s="3">
        <v>9.17</v>
      </c>
    </row>
    <row r="416" customHeight="1" spans="1:10">
      <c r="A416" s="3">
        <v>462</v>
      </c>
      <c r="B416" s="3" t="s">
        <v>221</v>
      </c>
      <c r="C416" s="1" t="s">
        <v>177</v>
      </c>
      <c r="D416" s="3" t="s">
        <v>227</v>
      </c>
      <c r="E416" s="3" t="s">
        <v>22</v>
      </c>
      <c r="F416" s="3">
        <v>0.38</v>
      </c>
      <c r="G416" s="3">
        <v>480</v>
      </c>
      <c r="H416" s="3">
        <f t="shared" si="8"/>
        <v>182.4</v>
      </c>
      <c r="I416" s="3"/>
      <c r="J416" s="3">
        <v>9.17</v>
      </c>
    </row>
    <row r="417" customHeight="1" spans="1:10">
      <c r="A417" s="3">
        <v>463</v>
      </c>
      <c r="B417" s="3" t="s">
        <v>221</v>
      </c>
      <c r="C417" s="1" t="s">
        <v>177</v>
      </c>
      <c r="D417" s="3" t="s">
        <v>227</v>
      </c>
      <c r="E417" s="3" t="s">
        <v>22</v>
      </c>
      <c r="F417" s="3">
        <v>0.18</v>
      </c>
      <c r="G417" s="3">
        <v>480</v>
      </c>
      <c r="H417" s="3">
        <f t="shared" si="8"/>
        <v>86.4</v>
      </c>
      <c r="I417" s="3"/>
      <c r="J417" s="3">
        <v>9.17</v>
      </c>
    </row>
    <row r="418" customHeight="1" spans="1:10">
      <c r="A418" s="3">
        <v>464</v>
      </c>
      <c r="B418" s="3" t="s">
        <v>176</v>
      </c>
      <c r="C418" s="1" t="s">
        <v>177</v>
      </c>
      <c r="D418" s="3" t="s">
        <v>203</v>
      </c>
      <c r="E418" s="3" t="s">
        <v>22</v>
      </c>
      <c r="F418" s="3">
        <v>0.17</v>
      </c>
      <c r="G418" s="3">
        <v>480</v>
      </c>
      <c r="H418" s="3">
        <f t="shared" si="8"/>
        <v>81.6</v>
      </c>
      <c r="I418" s="3"/>
      <c r="J418" s="3">
        <v>9.17</v>
      </c>
    </row>
    <row r="419" customHeight="1" spans="1:10">
      <c r="A419" s="3">
        <v>465</v>
      </c>
      <c r="B419" s="3" t="s">
        <v>182</v>
      </c>
      <c r="C419" s="1" t="s">
        <v>177</v>
      </c>
      <c r="D419" s="3" t="s">
        <v>203</v>
      </c>
      <c r="E419" s="3" t="s">
        <v>22</v>
      </c>
      <c r="F419" s="3">
        <v>0.04</v>
      </c>
      <c r="G419" s="3">
        <v>480</v>
      </c>
      <c r="H419" s="3">
        <f t="shared" si="8"/>
        <v>19.2</v>
      </c>
      <c r="I419" s="3"/>
      <c r="J419" s="3">
        <v>9.17</v>
      </c>
    </row>
    <row r="420" customHeight="1" spans="1:10">
      <c r="A420" s="3">
        <v>466</v>
      </c>
      <c r="B420" s="3" t="s">
        <v>186</v>
      </c>
      <c r="C420" s="1" t="s">
        <v>177</v>
      </c>
      <c r="D420" s="3" t="s">
        <v>228</v>
      </c>
      <c r="E420" s="3" t="s">
        <v>22</v>
      </c>
      <c r="F420" s="3">
        <v>0.18</v>
      </c>
      <c r="G420" s="3">
        <v>480</v>
      </c>
      <c r="H420" s="3">
        <f t="shared" si="8"/>
        <v>86.4</v>
      </c>
      <c r="I420" s="3"/>
      <c r="J420" s="3">
        <v>9.17</v>
      </c>
    </row>
    <row r="421" customHeight="1" spans="1:10">
      <c r="A421" s="3">
        <v>467</v>
      </c>
      <c r="B421" s="3" t="s">
        <v>202</v>
      </c>
      <c r="C421" s="1" t="s">
        <v>177</v>
      </c>
      <c r="D421" s="3" t="s">
        <v>213</v>
      </c>
      <c r="E421" s="3" t="s">
        <v>22</v>
      </c>
      <c r="F421" s="3">
        <v>0.11</v>
      </c>
      <c r="G421" s="3">
        <v>480</v>
      </c>
      <c r="H421" s="3">
        <f t="shared" si="8"/>
        <v>52.8</v>
      </c>
      <c r="I421" s="3"/>
      <c r="J421" s="3">
        <v>9.17</v>
      </c>
    </row>
    <row r="422" customHeight="1" spans="1:10">
      <c r="A422" s="3">
        <v>468</v>
      </c>
      <c r="B422" s="3" t="s">
        <v>180</v>
      </c>
      <c r="C422" s="1" t="s">
        <v>177</v>
      </c>
      <c r="D422" s="3" t="s">
        <v>228</v>
      </c>
      <c r="E422" s="3" t="s">
        <v>22</v>
      </c>
      <c r="F422" s="3">
        <v>0.45</v>
      </c>
      <c r="G422" s="3">
        <v>480</v>
      </c>
      <c r="H422" s="3">
        <f t="shared" si="8"/>
        <v>216</v>
      </c>
      <c r="I422" s="3"/>
      <c r="J422" s="3">
        <v>9.17</v>
      </c>
    </row>
    <row r="423" customHeight="1" spans="1:10">
      <c r="A423" s="3">
        <v>469</v>
      </c>
      <c r="B423" s="3" t="s">
        <v>190</v>
      </c>
      <c r="C423" s="1" t="s">
        <v>177</v>
      </c>
      <c r="D423" s="3" t="s">
        <v>228</v>
      </c>
      <c r="E423" s="3" t="s">
        <v>22</v>
      </c>
      <c r="F423" s="3">
        <v>0.16</v>
      </c>
      <c r="G423" s="3">
        <v>480</v>
      </c>
      <c r="H423" s="3">
        <f t="shared" si="8"/>
        <v>76.8</v>
      </c>
      <c r="I423" s="3"/>
      <c r="J423" s="3">
        <v>9.17</v>
      </c>
    </row>
    <row r="424" customHeight="1" spans="1:10">
      <c r="A424" s="3">
        <v>470</v>
      </c>
      <c r="B424" s="3" t="s">
        <v>183</v>
      </c>
      <c r="C424" s="1" t="s">
        <v>177</v>
      </c>
      <c r="D424" s="3" t="s">
        <v>229</v>
      </c>
      <c r="E424" s="3" t="s">
        <v>22</v>
      </c>
      <c r="F424" s="3">
        <v>0.42</v>
      </c>
      <c r="G424" s="3">
        <v>480</v>
      </c>
      <c r="H424" s="3">
        <f t="shared" si="8"/>
        <v>201.6</v>
      </c>
      <c r="I424" s="3"/>
      <c r="J424" s="3">
        <v>9.17</v>
      </c>
    </row>
    <row r="425" customHeight="1" spans="1:10">
      <c r="A425" s="3">
        <v>471</v>
      </c>
      <c r="B425" s="3" t="s">
        <v>202</v>
      </c>
      <c r="C425" s="1" t="s">
        <v>177</v>
      </c>
      <c r="D425" s="3" t="s">
        <v>229</v>
      </c>
      <c r="E425" s="3" t="s">
        <v>22</v>
      </c>
      <c r="F425" s="3">
        <v>0.12</v>
      </c>
      <c r="G425" s="3">
        <v>480</v>
      </c>
      <c r="H425" s="3">
        <f t="shared" si="8"/>
        <v>57.6</v>
      </c>
      <c r="I425" s="3"/>
      <c r="J425" s="3">
        <v>9.17</v>
      </c>
    </row>
    <row r="426" customHeight="1" spans="1:10">
      <c r="A426" s="3">
        <v>472</v>
      </c>
      <c r="B426" s="3" t="s">
        <v>198</v>
      </c>
      <c r="C426" s="1" t="s">
        <v>177</v>
      </c>
      <c r="D426" s="3" t="s">
        <v>229</v>
      </c>
      <c r="E426" s="3" t="s">
        <v>22</v>
      </c>
      <c r="F426" s="3">
        <v>0.15</v>
      </c>
      <c r="G426" s="3">
        <v>480</v>
      </c>
      <c r="H426" s="3">
        <f t="shared" si="8"/>
        <v>72</v>
      </c>
      <c r="I426" s="3"/>
      <c r="J426" s="3">
        <v>9.17</v>
      </c>
    </row>
    <row r="427" customHeight="1" spans="1:10">
      <c r="A427" s="3">
        <v>473</v>
      </c>
      <c r="B427" s="3" t="s">
        <v>184</v>
      </c>
      <c r="C427" s="1" t="s">
        <v>177</v>
      </c>
      <c r="D427" s="3" t="s">
        <v>229</v>
      </c>
      <c r="E427" s="3" t="s">
        <v>22</v>
      </c>
      <c r="F427" s="3">
        <v>0.2</v>
      </c>
      <c r="G427" s="3">
        <v>480</v>
      </c>
      <c r="H427" s="3">
        <f t="shared" si="8"/>
        <v>96</v>
      </c>
      <c r="I427" s="3"/>
      <c r="J427" s="3">
        <v>9.17</v>
      </c>
    </row>
    <row r="428" customHeight="1" spans="1:10">
      <c r="A428" s="3">
        <v>474</v>
      </c>
      <c r="B428" s="3" t="s">
        <v>186</v>
      </c>
      <c r="C428" s="1" t="s">
        <v>177</v>
      </c>
      <c r="D428" s="3" t="s">
        <v>229</v>
      </c>
      <c r="E428" s="3" t="s">
        <v>22</v>
      </c>
      <c r="F428" s="3">
        <v>0.25</v>
      </c>
      <c r="G428" s="3">
        <v>480</v>
      </c>
      <c r="H428" s="3">
        <f t="shared" si="8"/>
        <v>120</v>
      </c>
      <c r="I428" s="3"/>
      <c r="J428" s="3">
        <v>9.17</v>
      </c>
    </row>
    <row r="429" customHeight="1" spans="1:10">
      <c r="A429" s="3">
        <v>475</v>
      </c>
      <c r="B429" s="3" t="s">
        <v>222</v>
      </c>
      <c r="C429" s="1" t="s">
        <v>177</v>
      </c>
      <c r="D429" s="3" t="s">
        <v>230</v>
      </c>
      <c r="E429" s="3" t="s">
        <v>22</v>
      </c>
      <c r="F429" s="3">
        <v>0.34</v>
      </c>
      <c r="G429" s="3">
        <v>480</v>
      </c>
      <c r="H429" s="3">
        <f t="shared" si="8"/>
        <v>163.2</v>
      </c>
      <c r="I429" s="3"/>
      <c r="J429" s="3">
        <v>9.17</v>
      </c>
    </row>
    <row r="430" customHeight="1" spans="1:10">
      <c r="A430" s="3">
        <v>476</v>
      </c>
      <c r="B430" s="3" t="s">
        <v>179</v>
      </c>
      <c r="C430" s="1" t="s">
        <v>177</v>
      </c>
      <c r="D430" s="3" t="s">
        <v>229</v>
      </c>
      <c r="E430" s="3" t="s">
        <v>22</v>
      </c>
      <c r="F430" s="3">
        <v>0.42</v>
      </c>
      <c r="G430" s="3">
        <v>480</v>
      </c>
      <c r="H430" s="3">
        <f t="shared" si="8"/>
        <v>201.6</v>
      </c>
      <c r="I430" s="3"/>
      <c r="J430" s="3">
        <v>9.17</v>
      </c>
    </row>
    <row r="431" customHeight="1" spans="1:10">
      <c r="A431" s="3">
        <v>477</v>
      </c>
      <c r="B431" s="3" t="s">
        <v>190</v>
      </c>
      <c r="C431" s="1" t="s">
        <v>177</v>
      </c>
      <c r="D431" s="3" t="s">
        <v>229</v>
      </c>
      <c r="E431" s="3" t="s">
        <v>22</v>
      </c>
      <c r="F431" s="3">
        <v>0.32</v>
      </c>
      <c r="G431" s="3">
        <v>480</v>
      </c>
      <c r="H431" s="3">
        <f t="shared" si="8"/>
        <v>153.6</v>
      </c>
      <c r="I431" s="3"/>
      <c r="J431" s="3">
        <v>9.17</v>
      </c>
    </row>
    <row r="432" customHeight="1" spans="1:10">
      <c r="A432" s="3">
        <v>478</v>
      </c>
      <c r="B432" s="3" t="s">
        <v>221</v>
      </c>
      <c r="C432" s="1" t="s">
        <v>177</v>
      </c>
      <c r="D432" s="3" t="s">
        <v>229</v>
      </c>
      <c r="E432" s="3" t="s">
        <v>22</v>
      </c>
      <c r="F432" s="3">
        <v>0.52</v>
      </c>
      <c r="G432" s="3">
        <v>480</v>
      </c>
      <c r="H432" s="3">
        <f t="shared" si="8"/>
        <v>249.6</v>
      </c>
      <c r="I432" s="3"/>
      <c r="J432" s="3">
        <v>9.17</v>
      </c>
    </row>
    <row r="433" customHeight="1" spans="1:10">
      <c r="A433" s="3">
        <v>479</v>
      </c>
      <c r="B433" s="3" t="s">
        <v>202</v>
      </c>
      <c r="C433" s="1" t="s">
        <v>177</v>
      </c>
      <c r="D433" s="3" t="s">
        <v>229</v>
      </c>
      <c r="E433" s="3" t="s">
        <v>22</v>
      </c>
      <c r="F433" s="3">
        <v>0.12</v>
      </c>
      <c r="G433" s="3">
        <v>480</v>
      </c>
      <c r="H433" s="3">
        <f t="shared" si="8"/>
        <v>57.6</v>
      </c>
      <c r="I433" s="3"/>
      <c r="J433" s="3">
        <v>9.17</v>
      </c>
    </row>
    <row r="434" customHeight="1" spans="1:10">
      <c r="A434" s="3">
        <v>480</v>
      </c>
      <c r="B434" s="3" t="s">
        <v>223</v>
      </c>
      <c r="C434" s="1" t="s">
        <v>177</v>
      </c>
      <c r="D434" s="3" t="s">
        <v>229</v>
      </c>
      <c r="E434" s="3" t="s">
        <v>22</v>
      </c>
      <c r="F434" s="3">
        <v>0.67</v>
      </c>
      <c r="G434" s="3">
        <v>480</v>
      </c>
      <c r="H434" s="3">
        <f t="shared" si="8"/>
        <v>321.6</v>
      </c>
      <c r="I434" s="3"/>
      <c r="J434" s="3">
        <v>9.17</v>
      </c>
    </row>
    <row r="435" customHeight="1" spans="1:10">
      <c r="A435" s="3">
        <v>481</v>
      </c>
      <c r="B435" s="3" t="s">
        <v>184</v>
      </c>
      <c r="C435" s="1" t="s">
        <v>177</v>
      </c>
      <c r="D435" s="3" t="s">
        <v>229</v>
      </c>
      <c r="E435" s="3" t="s">
        <v>22</v>
      </c>
      <c r="F435" s="3">
        <v>0.2</v>
      </c>
      <c r="G435" s="3">
        <v>480</v>
      </c>
      <c r="H435" s="3">
        <f t="shared" si="8"/>
        <v>96</v>
      </c>
      <c r="I435" s="3"/>
      <c r="J435" s="3">
        <v>9.17</v>
      </c>
    </row>
    <row r="436" customHeight="1" spans="1:10">
      <c r="A436" s="3">
        <v>482</v>
      </c>
      <c r="B436" s="3" t="s">
        <v>179</v>
      </c>
      <c r="C436" s="1" t="s">
        <v>177</v>
      </c>
      <c r="D436" s="3" t="s">
        <v>228</v>
      </c>
      <c r="E436" s="3" t="s">
        <v>22</v>
      </c>
      <c r="F436" s="3">
        <v>0.21</v>
      </c>
      <c r="G436" s="3">
        <v>480</v>
      </c>
      <c r="H436" s="3">
        <f t="shared" si="8"/>
        <v>100.8</v>
      </c>
      <c r="I436" s="3"/>
      <c r="J436" s="3">
        <v>9.17</v>
      </c>
    </row>
    <row r="437" customHeight="1" spans="1:10">
      <c r="A437" s="3">
        <v>483</v>
      </c>
      <c r="B437" s="3" t="s">
        <v>231</v>
      </c>
      <c r="C437" s="1" t="s">
        <v>177</v>
      </c>
      <c r="D437" s="3" t="s">
        <v>232</v>
      </c>
      <c r="E437" s="3" t="s">
        <v>13</v>
      </c>
      <c r="F437" s="3">
        <v>0.02</v>
      </c>
      <c r="G437" s="3">
        <v>380</v>
      </c>
      <c r="H437" s="3">
        <f t="shared" si="8"/>
        <v>7.6</v>
      </c>
      <c r="I437" s="3"/>
      <c r="J437" s="3">
        <v>9.17</v>
      </c>
    </row>
    <row r="438" customHeight="1" spans="1:10">
      <c r="A438" s="3">
        <v>484</v>
      </c>
      <c r="B438" s="3" t="s">
        <v>231</v>
      </c>
      <c r="C438" s="1" t="s">
        <v>177</v>
      </c>
      <c r="D438" s="3" t="s">
        <v>233</v>
      </c>
      <c r="E438" s="3" t="s">
        <v>13</v>
      </c>
      <c r="F438" s="3">
        <v>0.11</v>
      </c>
      <c r="G438" s="3">
        <v>380</v>
      </c>
      <c r="H438" s="3">
        <f t="shared" si="8"/>
        <v>41.8</v>
      </c>
      <c r="I438" s="3"/>
      <c r="J438" s="3">
        <v>9.17</v>
      </c>
    </row>
    <row r="439" customHeight="1" spans="1:10">
      <c r="A439" s="3">
        <v>485</v>
      </c>
      <c r="B439" s="3" t="s">
        <v>234</v>
      </c>
      <c r="C439" s="1" t="s">
        <v>177</v>
      </c>
      <c r="D439" s="3" t="s">
        <v>158</v>
      </c>
      <c r="E439" s="3" t="s">
        <v>13</v>
      </c>
      <c r="F439" s="3">
        <v>0.3</v>
      </c>
      <c r="G439" s="3">
        <v>380</v>
      </c>
      <c r="H439" s="3">
        <f t="shared" si="8"/>
        <v>114</v>
      </c>
      <c r="I439" s="3"/>
      <c r="J439" s="3">
        <v>9.17</v>
      </c>
    </row>
    <row r="440" customHeight="1" spans="1:10">
      <c r="A440" s="3">
        <v>486</v>
      </c>
      <c r="B440" s="3" t="s">
        <v>235</v>
      </c>
      <c r="C440" s="1" t="s">
        <v>177</v>
      </c>
      <c r="D440" s="3" t="s">
        <v>236</v>
      </c>
      <c r="E440" s="3" t="s">
        <v>13</v>
      </c>
      <c r="F440" s="3">
        <v>0.05</v>
      </c>
      <c r="G440" s="3">
        <v>380</v>
      </c>
      <c r="H440" s="3">
        <f t="shared" si="8"/>
        <v>19</v>
      </c>
      <c r="I440" s="3"/>
      <c r="J440" s="3">
        <v>9.17</v>
      </c>
    </row>
    <row r="441" customHeight="1" spans="1:10">
      <c r="A441" s="3">
        <v>487</v>
      </c>
      <c r="B441" s="3" t="s">
        <v>182</v>
      </c>
      <c r="C441" s="1" t="s">
        <v>177</v>
      </c>
      <c r="D441" s="3" t="s">
        <v>237</v>
      </c>
      <c r="E441" s="3" t="s">
        <v>22</v>
      </c>
      <c r="F441" s="3">
        <v>0.65</v>
      </c>
      <c r="G441" s="3">
        <v>480</v>
      </c>
      <c r="H441" s="3">
        <f t="shared" si="8"/>
        <v>312</v>
      </c>
      <c r="I441" s="3"/>
      <c r="J441" s="3">
        <v>9.17</v>
      </c>
    </row>
    <row r="442" customHeight="1" spans="1:10">
      <c r="A442" s="3">
        <v>488</v>
      </c>
      <c r="B442" s="3" t="s">
        <v>182</v>
      </c>
      <c r="C442" s="1" t="s">
        <v>177</v>
      </c>
      <c r="D442" s="3" t="s">
        <v>224</v>
      </c>
      <c r="E442" s="3" t="s">
        <v>22</v>
      </c>
      <c r="F442" s="3">
        <v>0.33</v>
      </c>
      <c r="G442" s="3">
        <v>480</v>
      </c>
      <c r="H442" s="3">
        <f t="shared" si="8"/>
        <v>158.4</v>
      </c>
      <c r="I442" s="3"/>
      <c r="J442" s="3">
        <v>9.17</v>
      </c>
    </row>
    <row r="443" customHeight="1" spans="1:10">
      <c r="A443" s="3">
        <v>489</v>
      </c>
      <c r="B443" s="3" t="s">
        <v>176</v>
      </c>
      <c r="C443" s="1" t="s">
        <v>177</v>
      </c>
      <c r="D443" s="3" t="s">
        <v>237</v>
      </c>
      <c r="E443" s="3" t="s">
        <v>22</v>
      </c>
      <c r="F443" s="3">
        <v>0.3</v>
      </c>
      <c r="G443" s="3">
        <v>480</v>
      </c>
      <c r="H443" s="3">
        <f t="shared" si="8"/>
        <v>144</v>
      </c>
      <c r="I443" s="3"/>
      <c r="J443" s="3">
        <v>9.17</v>
      </c>
    </row>
    <row r="444" customHeight="1" spans="1:10">
      <c r="A444" s="3">
        <v>490</v>
      </c>
      <c r="B444" s="3" t="s">
        <v>186</v>
      </c>
      <c r="C444" s="1" t="s">
        <v>177</v>
      </c>
      <c r="D444" s="3" t="s">
        <v>237</v>
      </c>
      <c r="E444" s="3" t="s">
        <v>22</v>
      </c>
      <c r="F444" s="3">
        <v>0.39</v>
      </c>
      <c r="G444" s="3">
        <v>480</v>
      </c>
      <c r="H444" s="3">
        <f t="shared" si="8"/>
        <v>187.2</v>
      </c>
      <c r="I444" s="3"/>
      <c r="J444" s="3">
        <v>9.17</v>
      </c>
    </row>
    <row r="445" customHeight="1" spans="1:10">
      <c r="A445" s="3">
        <v>491</v>
      </c>
      <c r="B445" s="3" t="s">
        <v>189</v>
      </c>
      <c r="C445" s="1" t="s">
        <v>177</v>
      </c>
      <c r="D445" s="3" t="s">
        <v>237</v>
      </c>
      <c r="E445" s="3" t="s">
        <v>22</v>
      </c>
      <c r="F445" s="3">
        <v>0.85</v>
      </c>
      <c r="G445" s="3">
        <v>480</v>
      </c>
      <c r="H445" s="3">
        <f t="shared" si="8"/>
        <v>408</v>
      </c>
      <c r="I445" s="3"/>
      <c r="J445" s="3">
        <v>9.17</v>
      </c>
    </row>
    <row r="446" customHeight="1" spans="1:10">
      <c r="A446" s="3">
        <v>492</v>
      </c>
      <c r="B446" s="3" t="s">
        <v>184</v>
      </c>
      <c r="C446" s="1" t="s">
        <v>177</v>
      </c>
      <c r="D446" s="3" t="s">
        <v>226</v>
      </c>
      <c r="E446" s="3" t="s">
        <v>22</v>
      </c>
      <c r="F446" s="3">
        <v>0.03</v>
      </c>
      <c r="G446" s="3">
        <v>480</v>
      </c>
      <c r="H446" s="3">
        <f t="shared" si="8"/>
        <v>14.4</v>
      </c>
      <c r="I446" s="3"/>
      <c r="J446" s="3">
        <v>9.17</v>
      </c>
    </row>
    <row r="447" customHeight="1" spans="1:10">
      <c r="A447" s="3">
        <v>493</v>
      </c>
      <c r="B447" s="3" t="s">
        <v>212</v>
      </c>
      <c r="C447" s="1" t="s">
        <v>177</v>
      </c>
      <c r="D447" s="3" t="s">
        <v>226</v>
      </c>
      <c r="E447" s="3" t="s">
        <v>22</v>
      </c>
      <c r="F447" s="3">
        <v>0.14</v>
      </c>
      <c r="G447" s="3">
        <v>480</v>
      </c>
      <c r="H447" s="3">
        <f t="shared" si="8"/>
        <v>67.2</v>
      </c>
      <c r="I447" s="3"/>
      <c r="J447" s="3">
        <v>9.17</v>
      </c>
    </row>
    <row r="448" customHeight="1" spans="1:10">
      <c r="A448" s="3">
        <v>494</v>
      </c>
      <c r="B448" s="3" t="s">
        <v>197</v>
      </c>
      <c r="C448" s="1" t="s">
        <v>177</v>
      </c>
      <c r="D448" s="3" t="s">
        <v>226</v>
      </c>
      <c r="E448" s="3" t="s">
        <v>22</v>
      </c>
      <c r="F448" s="3">
        <v>0.13</v>
      </c>
      <c r="G448" s="3">
        <v>480</v>
      </c>
      <c r="H448" s="3">
        <f t="shared" si="8"/>
        <v>62.4</v>
      </c>
      <c r="I448" s="3"/>
      <c r="J448" s="3">
        <v>9.17</v>
      </c>
    </row>
    <row r="449" customHeight="1" spans="1:10">
      <c r="A449" s="3">
        <v>495</v>
      </c>
      <c r="B449" s="3" t="s">
        <v>202</v>
      </c>
      <c r="C449" s="1" t="s">
        <v>177</v>
      </c>
      <c r="D449" s="3" t="s">
        <v>226</v>
      </c>
      <c r="E449" s="3" t="s">
        <v>22</v>
      </c>
      <c r="F449" s="3">
        <v>0.13</v>
      </c>
      <c r="G449" s="3">
        <v>480</v>
      </c>
      <c r="H449" s="3">
        <f t="shared" si="8"/>
        <v>62.4</v>
      </c>
      <c r="I449" s="3"/>
      <c r="J449" s="3">
        <v>9.17</v>
      </c>
    </row>
    <row r="450" customHeight="1" spans="1:10">
      <c r="A450" s="3">
        <v>496</v>
      </c>
      <c r="B450" s="3" t="s">
        <v>211</v>
      </c>
      <c r="C450" s="1" t="s">
        <v>177</v>
      </c>
      <c r="D450" s="3" t="s">
        <v>227</v>
      </c>
      <c r="E450" s="3" t="s">
        <v>22</v>
      </c>
      <c r="F450" s="3">
        <v>0.68</v>
      </c>
      <c r="G450" s="3">
        <v>480</v>
      </c>
      <c r="H450" s="3">
        <f t="shared" si="8"/>
        <v>326.4</v>
      </c>
      <c r="I450" s="3"/>
      <c r="J450" s="3">
        <v>9.17</v>
      </c>
    </row>
    <row r="451" customHeight="1" spans="1:10">
      <c r="A451" s="3">
        <v>497</v>
      </c>
      <c r="B451" s="3" t="s">
        <v>221</v>
      </c>
      <c r="C451" s="1" t="s">
        <v>177</v>
      </c>
      <c r="D451" s="3" t="s">
        <v>225</v>
      </c>
      <c r="E451" s="3" t="s">
        <v>22</v>
      </c>
      <c r="F451" s="3">
        <v>0.11</v>
      </c>
      <c r="G451" s="3">
        <v>480</v>
      </c>
      <c r="H451" s="3">
        <f t="shared" si="8"/>
        <v>52.8</v>
      </c>
      <c r="I451" s="3"/>
      <c r="J451" s="3">
        <v>9.17</v>
      </c>
    </row>
    <row r="452" customHeight="1" spans="1:10">
      <c r="A452" s="3">
        <v>498</v>
      </c>
      <c r="B452" s="3" t="s">
        <v>190</v>
      </c>
      <c r="C452" s="1" t="s">
        <v>177</v>
      </c>
      <c r="D452" s="3" t="s">
        <v>225</v>
      </c>
      <c r="E452" s="3" t="s">
        <v>22</v>
      </c>
      <c r="F452" s="3">
        <v>0.39</v>
      </c>
      <c r="G452" s="3">
        <v>480</v>
      </c>
      <c r="H452" s="3">
        <f t="shared" si="8"/>
        <v>187.2</v>
      </c>
      <c r="I452" s="3"/>
      <c r="J452" s="3">
        <v>9.17</v>
      </c>
    </row>
    <row r="453" customHeight="1" spans="1:10">
      <c r="A453" s="3">
        <v>499</v>
      </c>
      <c r="B453" s="3" t="s">
        <v>190</v>
      </c>
      <c r="C453" s="1" t="s">
        <v>177</v>
      </c>
      <c r="D453" s="3" t="s">
        <v>238</v>
      </c>
      <c r="E453" s="3" t="s">
        <v>22</v>
      </c>
      <c r="F453" s="3">
        <v>0.13</v>
      </c>
      <c r="G453" s="3">
        <v>480</v>
      </c>
      <c r="H453" s="3">
        <f t="shared" si="8"/>
        <v>62.4</v>
      </c>
      <c r="I453" s="3"/>
      <c r="J453" s="3">
        <v>9.17</v>
      </c>
    </row>
    <row r="454" customHeight="1" spans="1:10">
      <c r="A454" s="3">
        <v>500</v>
      </c>
      <c r="B454" s="3" t="s">
        <v>189</v>
      </c>
      <c r="C454" s="1" t="s">
        <v>177</v>
      </c>
      <c r="D454" s="3" t="s">
        <v>238</v>
      </c>
      <c r="E454" s="3" t="s">
        <v>22</v>
      </c>
      <c r="F454" s="3">
        <v>0.2</v>
      </c>
      <c r="G454" s="3">
        <v>480</v>
      </c>
      <c r="H454" s="3">
        <f t="shared" si="8"/>
        <v>96</v>
      </c>
      <c r="I454" s="3"/>
      <c r="J454" s="3">
        <v>9.17</v>
      </c>
    </row>
    <row r="455" customHeight="1" spans="1:10">
      <c r="A455" s="3">
        <v>501</v>
      </c>
      <c r="B455" s="3" t="s">
        <v>211</v>
      </c>
      <c r="C455" s="1" t="s">
        <v>177</v>
      </c>
      <c r="D455" s="3" t="s">
        <v>203</v>
      </c>
      <c r="E455" s="3" t="s">
        <v>22</v>
      </c>
      <c r="F455" s="3">
        <v>0.11</v>
      </c>
      <c r="G455" s="3">
        <v>480</v>
      </c>
      <c r="H455" s="3">
        <f t="shared" si="8"/>
        <v>52.8</v>
      </c>
      <c r="I455" s="3"/>
      <c r="J455" s="3">
        <v>9.17</v>
      </c>
    </row>
    <row r="456" customHeight="1" spans="1:10">
      <c r="A456" s="3">
        <v>502</v>
      </c>
      <c r="B456" s="3" t="s">
        <v>218</v>
      </c>
      <c r="C456" s="1" t="s">
        <v>177</v>
      </c>
      <c r="D456" s="3" t="s">
        <v>203</v>
      </c>
      <c r="E456" s="3" t="s">
        <v>22</v>
      </c>
      <c r="F456" s="3">
        <v>0.61</v>
      </c>
      <c r="G456" s="3">
        <v>480</v>
      </c>
      <c r="H456" s="3">
        <f t="shared" ref="H456:H519" si="9">G456*F456</f>
        <v>292.8</v>
      </c>
      <c r="I456" s="3"/>
      <c r="J456" s="3">
        <v>9.17</v>
      </c>
    </row>
    <row r="457" customHeight="1" spans="1:10">
      <c r="A457" s="3">
        <v>503</v>
      </c>
      <c r="B457" s="3"/>
      <c r="C457" s="1" t="s">
        <v>177</v>
      </c>
      <c r="D457" s="3" t="s">
        <v>203</v>
      </c>
      <c r="E457" s="3" t="s">
        <v>22</v>
      </c>
      <c r="F457" s="3"/>
      <c r="G457" s="3">
        <v>480</v>
      </c>
      <c r="H457" s="3">
        <f t="shared" si="9"/>
        <v>0</v>
      </c>
      <c r="I457" s="3"/>
      <c r="J457" s="3" t="s">
        <v>239</v>
      </c>
    </row>
    <row r="458" customHeight="1" spans="1:10">
      <c r="A458" s="3">
        <v>504</v>
      </c>
      <c r="B458" s="3" t="s">
        <v>214</v>
      </c>
      <c r="C458" s="1" t="s">
        <v>177</v>
      </c>
      <c r="D458" s="3" t="s">
        <v>240</v>
      </c>
      <c r="E458" s="3" t="s">
        <v>22</v>
      </c>
      <c r="F458" s="3">
        <v>0.92</v>
      </c>
      <c r="G458" s="3">
        <v>480</v>
      </c>
      <c r="H458" s="3">
        <f t="shared" si="9"/>
        <v>441.6</v>
      </c>
      <c r="I458" s="3"/>
      <c r="J458" s="3">
        <v>9.17</v>
      </c>
    </row>
    <row r="459" customHeight="1" spans="1:10">
      <c r="A459" s="3">
        <v>505</v>
      </c>
      <c r="B459" s="3" t="s">
        <v>214</v>
      </c>
      <c r="C459" s="1" t="s">
        <v>177</v>
      </c>
      <c r="D459" s="3" t="s">
        <v>241</v>
      </c>
      <c r="E459" s="3" t="s">
        <v>22</v>
      </c>
      <c r="F459" s="3">
        <v>1.06</v>
      </c>
      <c r="G459" s="3">
        <v>480</v>
      </c>
      <c r="H459" s="3">
        <f t="shared" si="9"/>
        <v>508.8</v>
      </c>
      <c r="I459" s="3"/>
      <c r="J459" s="3">
        <v>9.17</v>
      </c>
    </row>
    <row r="460" customHeight="1" spans="1:10">
      <c r="A460" s="3">
        <v>506</v>
      </c>
      <c r="B460" s="3" t="s">
        <v>242</v>
      </c>
      <c r="C460" s="1" t="s">
        <v>177</v>
      </c>
      <c r="D460" s="3" t="s">
        <v>243</v>
      </c>
      <c r="E460" s="3" t="s">
        <v>22</v>
      </c>
      <c r="F460" s="3">
        <v>0.53</v>
      </c>
      <c r="G460" s="3">
        <v>480</v>
      </c>
      <c r="H460" s="3">
        <f t="shared" si="9"/>
        <v>254.4</v>
      </c>
      <c r="I460" s="3"/>
      <c r="J460" s="3">
        <v>9.18</v>
      </c>
    </row>
    <row r="461" customHeight="1" spans="1:10">
      <c r="A461" s="3">
        <v>507</v>
      </c>
      <c r="B461" s="3" t="s">
        <v>244</v>
      </c>
      <c r="C461" s="1" t="s">
        <v>177</v>
      </c>
      <c r="D461" s="3" t="s">
        <v>243</v>
      </c>
      <c r="E461" s="3" t="s">
        <v>22</v>
      </c>
      <c r="F461" s="3">
        <v>0.87</v>
      </c>
      <c r="G461" s="3">
        <v>480</v>
      </c>
      <c r="H461" s="3">
        <f t="shared" si="9"/>
        <v>417.6</v>
      </c>
      <c r="I461" s="3"/>
      <c r="J461" s="3">
        <v>9.18</v>
      </c>
    </row>
    <row r="462" customHeight="1" spans="1:10">
      <c r="A462" s="3">
        <v>508</v>
      </c>
      <c r="B462" s="3" t="s">
        <v>245</v>
      </c>
      <c r="C462" s="1" t="s">
        <v>177</v>
      </c>
      <c r="D462" s="3" t="s">
        <v>243</v>
      </c>
      <c r="E462" s="3" t="s">
        <v>22</v>
      </c>
      <c r="F462" s="3">
        <v>0.15</v>
      </c>
      <c r="G462" s="3">
        <v>480</v>
      </c>
      <c r="H462" s="3">
        <f t="shared" si="9"/>
        <v>72</v>
      </c>
      <c r="I462" s="3"/>
      <c r="J462" s="3">
        <v>9.18</v>
      </c>
    </row>
    <row r="463" customHeight="1" spans="1:10">
      <c r="A463" s="3">
        <v>509</v>
      </c>
      <c r="B463" s="3" t="s">
        <v>244</v>
      </c>
      <c r="C463" s="1" t="s">
        <v>177</v>
      </c>
      <c r="D463" s="3" t="s">
        <v>246</v>
      </c>
      <c r="E463" s="3" t="s">
        <v>22</v>
      </c>
      <c r="F463" s="3">
        <v>0.33</v>
      </c>
      <c r="G463" s="3">
        <v>480</v>
      </c>
      <c r="H463" s="3">
        <f t="shared" si="9"/>
        <v>158.4</v>
      </c>
      <c r="I463" s="3"/>
      <c r="J463" s="3">
        <v>9.18</v>
      </c>
    </row>
    <row r="464" customHeight="1" spans="1:10">
      <c r="A464" s="3">
        <v>510</v>
      </c>
      <c r="B464" s="3" t="s">
        <v>247</v>
      </c>
      <c r="C464" s="1" t="s">
        <v>177</v>
      </c>
      <c r="D464" s="3" t="s">
        <v>246</v>
      </c>
      <c r="E464" s="3" t="s">
        <v>22</v>
      </c>
      <c r="F464" s="3">
        <v>0.35</v>
      </c>
      <c r="G464" s="3">
        <v>480</v>
      </c>
      <c r="H464" s="3">
        <f t="shared" si="9"/>
        <v>168</v>
      </c>
      <c r="I464" s="3"/>
      <c r="J464" s="3">
        <v>9.18</v>
      </c>
    </row>
    <row r="465" customHeight="1" spans="1:10">
      <c r="A465" s="3">
        <v>511</v>
      </c>
      <c r="B465" s="3" t="s">
        <v>244</v>
      </c>
      <c r="C465" s="1" t="s">
        <v>177</v>
      </c>
      <c r="D465" s="3" t="s">
        <v>248</v>
      </c>
      <c r="E465" s="3" t="s">
        <v>22</v>
      </c>
      <c r="F465" s="3">
        <v>0.69</v>
      </c>
      <c r="G465" s="3">
        <v>480</v>
      </c>
      <c r="H465" s="3">
        <f t="shared" si="9"/>
        <v>331.2</v>
      </c>
      <c r="I465" s="3"/>
      <c r="J465" s="3">
        <v>9.18</v>
      </c>
    </row>
    <row r="466" customHeight="1" spans="1:10">
      <c r="A466" s="3">
        <v>512</v>
      </c>
      <c r="B466" s="3" t="s">
        <v>249</v>
      </c>
      <c r="C466" s="1" t="s">
        <v>177</v>
      </c>
      <c r="D466" s="3" t="s">
        <v>250</v>
      </c>
      <c r="E466" s="3" t="s">
        <v>22</v>
      </c>
      <c r="F466" s="3">
        <v>0.12</v>
      </c>
      <c r="G466" s="3">
        <v>480</v>
      </c>
      <c r="H466" s="3">
        <f t="shared" si="9"/>
        <v>57.6</v>
      </c>
      <c r="I466" s="3"/>
      <c r="J466" s="3">
        <v>9.18</v>
      </c>
    </row>
    <row r="467" customHeight="1" spans="1:10">
      <c r="A467" s="3">
        <v>513</v>
      </c>
      <c r="B467" s="3" t="s">
        <v>251</v>
      </c>
      <c r="C467" s="1" t="s">
        <v>177</v>
      </c>
      <c r="D467" s="3" t="s">
        <v>250</v>
      </c>
      <c r="E467" s="3" t="s">
        <v>22</v>
      </c>
      <c r="F467" s="3">
        <v>0.67</v>
      </c>
      <c r="G467" s="3">
        <v>480</v>
      </c>
      <c r="H467" s="3">
        <f t="shared" si="9"/>
        <v>321.6</v>
      </c>
      <c r="I467" s="3"/>
      <c r="J467" s="3">
        <v>9.18</v>
      </c>
    </row>
    <row r="468" customHeight="1" spans="1:10">
      <c r="A468" s="3">
        <v>514</v>
      </c>
      <c r="B468" s="3" t="s">
        <v>252</v>
      </c>
      <c r="C468" s="1" t="s">
        <v>177</v>
      </c>
      <c r="D468" s="3" t="s">
        <v>250</v>
      </c>
      <c r="E468" s="3" t="s">
        <v>22</v>
      </c>
      <c r="F468" s="3"/>
      <c r="G468" s="3">
        <v>480</v>
      </c>
      <c r="H468" s="3">
        <f t="shared" si="9"/>
        <v>0</v>
      </c>
      <c r="I468" s="3"/>
      <c r="J468" s="3">
        <v>9.18</v>
      </c>
    </row>
    <row r="469" customHeight="1" spans="1:10">
      <c r="A469" s="3">
        <v>515</v>
      </c>
      <c r="B469" s="3" t="s">
        <v>253</v>
      </c>
      <c r="C469" s="1" t="s">
        <v>177</v>
      </c>
      <c r="D469" s="3" t="s">
        <v>246</v>
      </c>
      <c r="E469" s="3" t="s">
        <v>22</v>
      </c>
      <c r="F469" s="3">
        <v>0.1</v>
      </c>
      <c r="G469" s="3">
        <v>480</v>
      </c>
      <c r="H469" s="3">
        <f t="shared" si="9"/>
        <v>48</v>
      </c>
      <c r="I469" s="3"/>
      <c r="J469" s="3">
        <v>9.18</v>
      </c>
    </row>
    <row r="470" customHeight="1" spans="1:10">
      <c r="A470" s="3">
        <v>516</v>
      </c>
      <c r="B470" s="3" t="s">
        <v>249</v>
      </c>
      <c r="C470" s="1" t="s">
        <v>177</v>
      </c>
      <c r="D470" s="3" t="s">
        <v>254</v>
      </c>
      <c r="E470" s="3" t="s">
        <v>22</v>
      </c>
      <c r="F470" s="3">
        <v>0.08</v>
      </c>
      <c r="G470" s="3">
        <v>480</v>
      </c>
      <c r="H470" s="3">
        <f t="shared" si="9"/>
        <v>38.4</v>
      </c>
      <c r="I470" s="3"/>
      <c r="J470" s="3">
        <v>9.18</v>
      </c>
    </row>
    <row r="471" customHeight="1" spans="1:10">
      <c r="A471" s="3">
        <v>517</v>
      </c>
      <c r="B471" s="3" t="s">
        <v>247</v>
      </c>
      <c r="C471" s="1" t="s">
        <v>177</v>
      </c>
      <c r="D471" s="3" t="s">
        <v>254</v>
      </c>
      <c r="E471" s="3" t="s">
        <v>22</v>
      </c>
      <c r="F471" s="3">
        <v>0.15</v>
      </c>
      <c r="G471" s="3">
        <v>480</v>
      </c>
      <c r="H471" s="3">
        <f t="shared" si="9"/>
        <v>72</v>
      </c>
      <c r="I471" s="3"/>
      <c r="J471" s="3">
        <v>9.18</v>
      </c>
    </row>
    <row r="472" customHeight="1" spans="1:10">
      <c r="A472" s="3">
        <v>518</v>
      </c>
      <c r="B472" s="3" t="s">
        <v>255</v>
      </c>
      <c r="C472" s="1" t="s">
        <v>177</v>
      </c>
      <c r="D472" s="3" t="s">
        <v>254</v>
      </c>
      <c r="E472" s="3" t="s">
        <v>22</v>
      </c>
      <c r="F472" s="3">
        <v>0.37</v>
      </c>
      <c r="G472" s="3">
        <v>480</v>
      </c>
      <c r="H472" s="3">
        <f t="shared" si="9"/>
        <v>177.6</v>
      </c>
      <c r="I472" s="3"/>
      <c r="J472" s="3">
        <v>9.18</v>
      </c>
    </row>
    <row r="473" customHeight="1" spans="1:10">
      <c r="A473" s="3">
        <v>519</v>
      </c>
      <c r="B473" s="3" t="s">
        <v>256</v>
      </c>
      <c r="C473" s="1" t="s">
        <v>177</v>
      </c>
      <c r="D473" s="3" t="s">
        <v>254</v>
      </c>
      <c r="E473" s="3" t="s">
        <v>22</v>
      </c>
      <c r="F473" s="3">
        <v>0.11</v>
      </c>
      <c r="G473" s="3">
        <v>480</v>
      </c>
      <c r="H473" s="3">
        <f t="shared" si="9"/>
        <v>52.8</v>
      </c>
      <c r="I473" s="3"/>
      <c r="J473" s="3">
        <v>9.18</v>
      </c>
    </row>
    <row r="474" customHeight="1" spans="1:10">
      <c r="A474" s="3">
        <v>520</v>
      </c>
      <c r="B474" s="3" t="s">
        <v>257</v>
      </c>
      <c r="C474" s="1" t="s">
        <v>177</v>
      </c>
      <c r="D474" s="3" t="s">
        <v>258</v>
      </c>
      <c r="E474" s="3" t="s">
        <v>22</v>
      </c>
      <c r="F474" s="3">
        <v>1.07</v>
      </c>
      <c r="G474" s="3">
        <v>480</v>
      </c>
      <c r="H474" s="3">
        <f t="shared" si="9"/>
        <v>513.6</v>
      </c>
      <c r="I474" s="3"/>
      <c r="J474" s="3">
        <v>9.18</v>
      </c>
    </row>
    <row r="475" customHeight="1" spans="1:10">
      <c r="A475" s="3">
        <v>521</v>
      </c>
      <c r="B475" s="3" t="s">
        <v>259</v>
      </c>
      <c r="C475" s="1" t="s">
        <v>177</v>
      </c>
      <c r="D475" s="3" t="s">
        <v>258</v>
      </c>
      <c r="E475" s="3" t="s">
        <v>22</v>
      </c>
      <c r="F475" s="3">
        <v>0.4</v>
      </c>
      <c r="G475" s="3">
        <v>480</v>
      </c>
      <c r="H475" s="3">
        <f t="shared" si="9"/>
        <v>192</v>
      </c>
      <c r="I475" s="3"/>
      <c r="J475" s="3">
        <v>9.18</v>
      </c>
    </row>
    <row r="476" customHeight="1" spans="1:10">
      <c r="A476" s="3">
        <v>522</v>
      </c>
      <c r="B476" s="3" t="s">
        <v>260</v>
      </c>
      <c r="C476" s="1" t="s">
        <v>177</v>
      </c>
      <c r="D476" s="3" t="s">
        <v>261</v>
      </c>
      <c r="E476" s="3" t="s">
        <v>22</v>
      </c>
      <c r="F476" s="3"/>
      <c r="G476" s="3">
        <v>480</v>
      </c>
      <c r="H476" s="3">
        <f t="shared" si="9"/>
        <v>0</v>
      </c>
      <c r="I476" s="3"/>
      <c r="J476" s="3">
        <v>9.18</v>
      </c>
    </row>
    <row r="477" customHeight="1" spans="1:10">
      <c r="A477" s="3">
        <v>523</v>
      </c>
      <c r="B477" s="3" t="s">
        <v>262</v>
      </c>
      <c r="C477" s="1" t="s">
        <v>177</v>
      </c>
      <c r="D477" s="3" t="s">
        <v>261</v>
      </c>
      <c r="E477" s="3" t="s">
        <v>22</v>
      </c>
      <c r="F477" s="3">
        <v>0.21</v>
      </c>
      <c r="G477" s="3">
        <v>480</v>
      </c>
      <c r="H477" s="3">
        <f t="shared" si="9"/>
        <v>100.8</v>
      </c>
      <c r="I477" s="3"/>
      <c r="J477" s="3">
        <v>9.18</v>
      </c>
    </row>
    <row r="478" customHeight="1" spans="1:10">
      <c r="A478" s="3">
        <v>524</v>
      </c>
      <c r="B478" s="3" t="s">
        <v>262</v>
      </c>
      <c r="C478" s="1" t="s">
        <v>177</v>
      </c>
      <c r="D478" s="3" t="s">
        <v>263</v>
      </c>
      <c r="E478" s="3" t="s">
        <v>22</v>
      </c>
      <c r="F478" s="3">
        <v>0.08</v>
      </c>
      <c r="G478" s="3">
        <v>480</v>
      </c>
      <c r="H478" s="3">
        <f t="shared" si="9"/>
        <v>38.4</v>
      </c>
      <c r="I478" s="3"/>
      <c r="J478" s="3">
        <v>9.18</v>
      </c>
    </row>
    <row r="479" customHeight="1" spans="1:10">
      <c r="A479" s="3">
        <v>525</v>
      </c>
      <c r="B479" s="3" t="s">
        <v>264</v>
      </c>
      <c r="C479" s="1" t="s">
        <v>177</v>
      </c>
      <c r="D479" s="3" t="s">
        <v>263</v>
      </c>
      <c r="E479" s="3" t="s">
        <v>22</v>
      </c>
      <c r="F479" s="3">
        <v>0.28</v>
      </c>
      <c r="G479" s="3">
        <v>480</v>
      </c>
      <c r="H479" s="3">
        <f t="shared" si="9"/>
        <v>134.4</v>
      </c>
      <c r="I479" s="3"/>
      <c r="J479" s="3">
        <v>9.18</v>
      </c>
    </row>
    <row r="480" customHeight="1" spans="1:10">
      <c r="A480" s="3">
        <v>526</v>
      </c>
      <c r="B480" s="3" t="s">
        <v>265</v>
      </c>
      <c r="C480" s="1" t="s">
        <v>177</v>
      </c>
      <c r="D480" s="3" t="s">
        <v>263</v>
      </c>
      <c r="E480" s="3" t="s">
        <v>22</v>
      </c>
      <c r="F480" s="3">
        <v>0.81</v>
      </c>
      <c r="G480" s="3">
        <v>480</v>
      </c>
      <c r="H480" s="3">
        <f t="shared" si="9"/>
        <v>388.8</v>
      </c>
      <c r="I480" s="3"/>
      <c r="J480" s="3">
        <v>9.18</v>
      </c>
    </row>
    <row r="481" customHeight="1" spans="1:10">
      <c r="A481" s="3">
        <v>527</v>
      </c>
      <c r="B481" s="3" t="s">
        <v>266</v>
      </c>
      <c r="C481" s="1" t="s">
        <v>177</v>
      </c>
      <c r="D481" s="3" t="s">
        <v>263</v>
      </c>
      <c r="E481" s="3" t="s">
        <v>22</v>
      </c>
      <c r="F481" s="3">
        <v>0.36</v>
      </c>
      <c r="G481" s="3">
        <v>480</v>
      </c>
      <c r="H481" s="3">
        <f t="shared" si="9"/>
        <v>172.8</v>
      </c>
      <c r="I481" s="3"/>
      <c r="J481" s="3">
        <v>9.18</v>
      </c>
    </row>
    <row r="482" customHeight="1" spans="1:10">
      <c r="A482" s="3">
        <v>528</v>
      </c>
      <c r="B482" s="3" t="s">
        <v>264</v>
      </c>
      <c r="C482" s="1" t="s">
        <v>177</v>
      </c>
      <c r="D482" s="3" t="s">
        <v>267</v>
      </c>
      <c r="E482" s="3" t="s">
        <v>22</v>
      </c>
      <c r="F482" s="3">
        <v>0.18</v>
      </c>
      <c r="G482" s="3">
        <v>480</v>
      </c>
      <c r="H482" s="3">
        <f t="shared" si="9"/>
        <v>86.4</v>
      </c>
      <c r="I482" s="3"/>
      <c r="J482" s="3">
        <v>9.18</v>
      </c>
    </row>
    <row r="483" customHeight="1" spans="1:10">
      <c r="A483" s="3">
        <v>529</v>
      </c>
      <c r="B483" s="3" t="s">
        <v>257</v>
      </c>
      <c r="C483" s="1" t="s">
        <v>177</v>
      </c>
      <c r="D483" s="3" t="s">
        <v>215</v>
      </c>
      <c r="E483" s="3" t="s">
        <v>22</v>
      </c>
      <c r="F483" s="3">
        <v>0.21</v>
      </c>
      <c r="G483" s="3">
        <v>480</v>
      </c>
      <c r="H483" s="3">
        <f t="shared" si="9"/>
        <v>100.8</v>
      </c>
      <c r="I483" s="3"/>
      <c r="J483" s="3">
        <v>9.18</v>
      </c>
    </row>
    <row r="484" customHeight="1" spans="1:10">
      <c r="A484" s="3">
        <v>530</v>
      </c>
      <c r="B484" s="3" t="s">
        <v>268</v>
      </c>
      <c r="C484" s="1" t="s">
        <v>177</v>
      </c>
      <c r="D484" s="3" t="s">
        <v>215</v>
      </c>
      <c r="E484" s="3" t="s">
        <v>22</v>
      </c>
      <c r="F484" s="3">
        <v>0.22</v>
      </c>
      <c r="G484" s="3">
        <v>480</v>
      </c>
      <c r="H484" s="3">
        <f t="shared" si="9"/>
        <v>105.6</v>
      </c>
      <c r="I484" s="3"/>
      <c r="J484" s="3">
        <v>9.18</v>
      </c>
    </row>
    <row r="485" customHeight="1" spans="1:10">
      <c r="A485" s="3">
        <v>531</v>
      </c>
      <c r="B485" s="3" t="s">
        <v>269</v>
      </c>
      <c r="C485" s="1" t="s">
        <v>177</v>
      </c>
      <c r="D485" s="3" t="s">
        <v>215</v>
      </c>
      <c r="E485" s="3" t="s">
        <v>22</v>
      </c>
      <c r="F485" s="3">
        <v>1.02</v>
      </c>
      <c r="G485" s="3">
        <v>480</v>
      </c>
      <c r="H485" s="3">
        <f t="shared" si="9"/>
        <v>489.6</v>
      </c>
      <c r="I485" s="3"/>
      <c r="J485" s="3">
        <v>9.18</v>
      </c>
    </row>
    <row r="486" customHeight="1" spans="1:10">
      <c r="A486" s="3">
        <v>532</v>
      </c>
      <c r="B486" s="3" t="s">
        <v>270</v>
      </c>
      <c r="C486" s="1" t="s">
        <v>177</v>
      </c>
      <c r="D486" s="3" t="s">
        <v>271</v>
      </c>
      <c r="E486" s="3" t="s">
        <v>22</v>
      </c>
      <c r="F486" s="3">
        <v>0.76</v>
      </c>
      <c r="G486" s="3">
        <v>480</v>
      </c>
      <c r="H486" s="3">
        <f t="shared" si="9"/>
        <v>364.8</v>
      </c>
      <c r="I486" s="3"/>
      <c r="J486" s="3">
        <v>9.18</v>
      </c>
    </row>
    <row r="487" customHeight="1" spans="1:10">
      <c r="A487" s="3">
        <v>533</v>
      </c>
      <c r="B487" s="3" t="s">
        <v>268</v>
      </c>
      <c r="C487" s="1" t="s">
        <v>177</v>
      </c>
      <c r="D487" s="3" t="s">
        <v>271</v>
      </c>
      <c r="E487" s="3" t="s">
        <v>22</v>
      </c>
      <c r="F487" s="3">
        <v>0.35</v>
      </c>
      <c r="G487" s="3">
        <v>480</v>
      </c>
      <c r="H487" s="3">
        <f t="shared" si="9"/>
        <v>168</v>
      </c>
      <c r="I487" s="3"/>
      <c r="J487" s="3">
        <v>9.18</v>
      </c>
    </row>
    <row r="488" customHeight="1" spans="1:10">
      <c r="A488" s="3">
        <v>534</v>
      </c>
      <c r="B488" s="3" t="s">
        <v>249</v>
      </c>
      <c r="C488" s="1" t="s">
        <v>177</v>
      </c>
      <c r="D488" s="3" t="s">
        <v>271</v>
      </c>
      <c r="E488" s="3" t="s">
        <v>22</v>
      </c>
      <c r="F488" s="3">
        <v>0.12</v>
      </c>
      <c r="G488" s="3">
        <v>480</v>
      </c>
      <c r="H488" s="3">
        <f t="shared" si="9"/>
        <v>57.6</v>
      </c>
      <c r="I488" s="3"/>
      <c r="J488" s="3">
        <v>9.18</v>
      </c>
    </row>
    <row r="489" customHeight="1" spans="1:10">
      <c r="A489" s="3">
        <v>535</v>
      </c>
      <c r="B489" s="3" t="s">
        <v>272</v>
      </c>
      <c r="C489" s="1" t="s">
        <v>177</v>
      </c>
      <c r="D489" s="3" t="s">
        <v>273</v>
      </c>
      <c r="E489" s="3" t="s">
        <v>22</v>
      </c>
      <c r="F489" s="3">
        <v>0.11</v>
      </c>
      <c r="G489" s="3">
        <v>480</v>
      </c>
      <c r="H489" s="3">
        <f t="shared" si="9"/>
        <v>52.8</v>
      </c>
      <c r="I489" s="3"/>
      <c r="J489" s="3">
        <v>9.18</v>
      </c>
    </row>
    <row r="490" customHeight="1" spans="1:10">
      <c r="A490" s="3">
        <v>536</v>
      </c>
      <c r="B490" s="3" t="s">
        <v>274</v>
      </c>
      <c r="C490" s="1" t="s">
        <v>177</v>
      </c>
      <c r="D490" s="3" t="s">
        <v>273</v>
      </c>
      <c r="E490" s="3" t="s">
        <v>22</v>
      </c>
      <c r="F490" s="3">
        <v>0.17</v>
      </c>
      <c r="G490" s="3">
        <v>480</v>
      </c>
      <c r="H490" s="3">
        <f t="shared" si="9"/>
        <v>81.6</v>
      </c>
      <c r="I490" s="3"/>
      <c r="J490" s="3">
        <v>9.18</v>
      </c>
    </row>
    <row r="491" customHeight="1" spans="1:10">
      <c r="A491" s="3">
        <v>537</v>
      </c>
      <c r="B491" s="3" t="s">
        <v>245</v>
      </c>
      <c r="C491" s="1" t="s">
        <v>177</v>
      </c>
      <c r="D491" s="3" t="s">
        <v>273</v>
      </c>
      <c r="E491" s="3" t="s">
        <v>22</v>
      </c>
      <c r="F491" s="3">
        <v>0.52</v>
      </c>
      <c r="G491" s="3">
        <v>480</v>
      </c>
      <c r="H491" s="3">
        <f t="shared" si="9"/>
        <v>249.6</v>
      </c>
      <c r="I491" s="3"/>
      <c r="J491" s="3">
        <v>9.18</v>
      </c>
    </row>
    <row r="492" customHeight="1" spans="1:10">
      <c r="A492" s="3">
        <v>538</v>
      </c>
      <c r="B492" s="3" t="s">
        <v>260</v>
      </c>
      <c r="C492" s="1" t="s">
        <v>177</v>
      </c>
      <c r="D492" s="3" t="s">
        <v>273</v>
      </c>
      <c r="E492" s="3" t="s">
        <v>22</v>
      </c>
      <c r="F492" s="3">
        <v>0.7</v>
      </c>
      <c r="G492" s="3">
        <v>480</v>
      </c>
      <c r="H492" s="3">
        <f t="shared" si="9"/>
        <v>336</v>
      </c>
      <c r="I492" s="3"/>
      <c r="J492" s="3">
        <v>9.18</v>
      </c>
    </row>
    <row r="493" customHeight="1" spans="1:10">
      <c r="A493" s="3">
        <v>539</v>
      </c>
      <c r="B493" s="3" t="s">
        <v>252</v>
      </c>
      <c r="C493" s="1" t="s">
        <v>177</v>
      </c>
      <c r="D493" s="3" t="s">
        <v>273</v>
      </c>
      <c r="E493" s="3" t="s">
        <v>22</v>
      </c>
      <c r="F493" s="3"/>
      <c r="G493" s="3">
        <v>480</v>
      </c>
      <c r="H493" s="3">
        <f t="shared" si="9"/>
        <v>0</v>
      </c>
      <c r="I493" s="3"/>
      <c r="J493" s="3">
        <v>9.18</v>
      </c>
    </row>
    <row r="494" customHeight="1" spans="1:10">
      <c r="A494" s="3">
        <v>540</v>
      </c>
      <c r="B494" s="3" t="s">
        <v>275</v>
      </c>
      <c r="C494" s="1" t="s">
        <v>177</v>
      </c>
      <c r="D494" s="3" t="s">
        <v>273</v>
      </c>
      <c r="E494" s="3" t="s">
        <v>22</v>
      </c>
      <c r="F494" s="3"/>
      <c r="G494" s="3">
        <v>480</v>
      </c>
      <c r="H494" s="3">
        <f t="shared" si="9"/>
        <v>0</v>
      </c>
      <c r="I494" s="3"/>
      <c r="J494" s="3">
        <v>9.18</v>
      </c>
    </row>
    <row r="495" customHeight="1" spans="1:10">
      <c r="A495" s="3">
        <v>541</v>
      </c>
      <c r="B495" s="3" t="s">
        <v>244</v>
      </c>
      <c r="C495" s="1" t="s">
        <v>177</v>
      </c>
      <c r="D495" s="3" t="s">
        <v>276</v>
      </c>
      <c r="E495" s="3" t="s">
        <v>13</v>
      </c>
      <c r="F495" s="3">
        <v>0.5</v>
      </c>
      <c r="G495" s="3">
        <v>380</v>
      </c>
      <c r="H495" s="3">
        <f t="shared" si="9"/>
        <v>190</v>
      </c>
      <c r="I495" s="3"/>
      <c r="J495" s="3">
        <v>9.18</v>
      </c>
    </row>
    <row r="496" customHeight="1" spans="1:10">
      <c r="A496" s="3">
        <v>542</v>
      </c>
      <c r="B496" s="3" t="s">
        <v>259</v>
      </c>
      <c r="C496" s="1" t="s">
        <v>177</v>
      </c>
      <c r="D496" s="3" t="s">
        <v>276</v>
      </c>
      <c r="E496" s="3" t="s">
        <v>13</v>
      </c>
      <c r="F496" s="3">
        <v>0.35</v>
      </c>
      <c r="G496" s="3">
        <v>380</v>
      </c>
      <c r="H496" s="3">
        <f t="shared" si="9"/>
        <v>133</v>
      </c>
      <c r="I496" s="3"/>
      <c r="J496" s="3">
        <v>9.18</v>
      </c>
    </row>
    <row r="497" customHeight="1" spans="1:10">
      <c r="A497" s="3">
        <v>543</v>
      </c>
      <c r="B497" s="3" t="s">
        <v>242</v>
      </c>
      <c r="C497" s="1" t="s">
        <v>177</v>
      </c>
      <c r="D497" s="3" t="s">
        <v>276</v>
      </c>
      <c r="E497" s="3" t="s">
        <v>13</v>
      </c>
      <c r="F497" s="3">
        <v>0.7</v>
      </c>
      <c r="G497" s="3">
        <v>380</v>
      </c>
      <c r="H497" s="3">
        <f t="shared" si="9"/>
        <v>266</v>
      </c>
      <c r="I497" s="3"/>
      <c r="J497" s="3">
        <v>9.18</v>
      </c>
    </row>
    <row r="498" customHeight="1" spans="1:10">
      <c r="A498" s="3">
        <v>544</v>
      </c>
      <c r="B498" s="3" t="s">
        <v>264</v>
      </c>
      <c r="C498" s="1" t="s">
        <v>177</v>
      </c>
      <c r="D498" s="3" t="s">
        <v>276</v>
      </c>
      <c r="E498" s="3" t="s">
        <v>13</v>
      </c>
      <c r="F498" s="3">
        <v>0.24</v>
      </c>
      <c r="G498" s="3">
        <v>380</v>
      </c>
      <c r="H498" s="3">
        <f t="shared" si="9"/>
        <v>91.2</v>
      </c>
      <c r="I498" s="3"/>
      <c r="J498" s="3">
        <v>9.18</v>
      </c>
    </row>
    <row r="499" customHeight="1" spans="1:10">
      <c r="A499" s="3">
        <v>545</v>
      </c>
      <c r="B499" s="3" t="s">
        <v>255</v>
      </c>
      <c r="C499" s="1" t="s">
        <v>177</v>
      </c>
      <c r="D499" s="3" t="s">
        <v>277</v>
      </c>
      <c r="E499" s="3" t="s">
        <v>22</v>
      </c>
      <c r="F499" s="3">
        <v>0.11</v>
      </c>
      <c r="G499" s="3">
        <v>480</v>
      </c>
      <c r="H499" s="3">
        <f t="shared" si="9"/>
        <v>52.8</v>
      </c>
      <c r="I499" s="3"/>
      <c r="J499" s="3">
        <v>9.18</v>
      </c>
    </row>
    <row r="500" customHeight="1" spans="1:10">
      <c r="A500" s="3">
        <v>546</v>
      </c>
      <c r="B500" s="3" t="s">
        <v>264</v>
      </c>
      <c r="C500" s="1" t="s">
        <v>177</v>
      </c>
      <c r="D500" s="3" t="s">
        <v>277</v>
      </c>
      <c r="E500" s="3" t="s">
        <v>22</v>
      </c>
      <c r="F500" s="3">
        <v>0.23</v>
      </c>
      <c r="G500" s="3">
        <v>480</v>
      </c>
      <c r="H500" s="3">
        <f t="shared" si="9"/>
        <v>110.4</v>
      </c>
      <c r="I500" s="3"/>
      <c r="J500" s="3">
        <v>9.18</v>
      </c>
    </row>
    <row r="501" customHeight="1" spans="1:10">
      <c r="A501" s="3">
        <v>547</v>
      </c>
      <c r="B501" s="3" t="s">
        <v>249</v>
      </c>
      <c r="C501" s="1" t="s">
        <v>177</v>
      </c>
      <c r="D501" s="3" t="s">
        <v>277</v>
      </c>
      <c r="E501" s="3" t="s">
        <v>22</v>
      </c>
      <c r="F501" s="3">
        <v>0.1</v>
      </c>
      <c r="G501" s="3">
        <v>480</v>
      </c>
      <c r="H501" s="3">
        <f t="shared" si="9"/>
        <v>48</v>
      </c>
      <c r="I501" s="3"/>
      <c r="J501" s="3">
        <v>9.18</v>
      </c>
    </row>
    <row r="502" customHeight="1" spans="1:10">
      <c r="A502" s="3">
        <v>548</v>
      </c>
      <c r="B502" s="3" t="s">
        <v>278</v>
      </c>
      <c r="C502" s="1" t="s">
        <v>177</v>
      </c>
      <c r="D502" s="3" t="s">
        <v>277</v>
      </c>
      <c r="E502" s="3" t="s">
        <v>22</v>
      </c>
      <c r="F502" s="3"/>
      <c r="G502" s="3">
        <v>480</v>
      </c>
      <c r="H502" s="3">
        <f t="shared" si="9"/>
        <v>0</v>
      </c>
      <c r="I502" s="3"/>
      <c r="J502" s="3">
        <v>9.18</v>
      </c>
    </row>
    <row r="503" customHeight="1" spans="1:10">
      <c r="A503" s="3">
        <v>549</v>
      </c>
      <c r="B503" s="3" t="s">
        <v>279</v>
      </c>
      <c r="C503" s="1" t="s">
        <v>177</v>
      </c>
      <c r="D503" s="3" t="s">
        <v>277</v>
      </c>
      <c r="E503" s="3" t="s">
        <v>22</v>
      </c>
      <c r="F503" s="3"/>
      <c r="G503" s="3">
        <v>480</v>
      </c>
      <c r="H503" s="3">
        <f t="shared" si="9"/>
        <v>0</v>
      </c>
      <c r="I503" s="3"/>
      <c r="J503" s="3">
        <v>9.18</v>
      </c>
    </row>
    <row r="504" customHeight="1" spans="1:10">
      <c r="A504" s="3">
        <v>550</v>
      </c>
      <c r="B504" s="3" t="s">
        <v>249</v>
      </c>
      <c r="C504" s="1" t="s">
        <v>177</v>
      </c>
      <c r="D504" s="3" t="s">
        <v>243</v>
      </c>
      <c r="E504" s="3" t="s">
        <v>22</v>
      </c>
      <c r="F504" s="3">
        <v>0.06</v>
      </c>
      <c r="G504" s="3">
        <v>480</v>
      </c>
      <c r="H504" s="3">
        <f t="shared" si="9"/>
        <v>28.8</v>
      </c>
      <c r="I504" s="3"/>
      <c r="J504" s="3">
        <v>9.18</v>
      </c>
    </row>
    <row r="505" customHeight="1" spans="1:10">
      <c r="A505" s="3">
        <v>551</v>
      </c>
      <c r="B505" s="3" t="s">
        <v>255</v>
      </c>
      <c r="C505" s="1" t="s">
        <v>177</v>
      </c>
      <c r="D505" s="3" t="s">
        <v>243</v>
      </c>
      <c r="E505" s="3" t="s">
        <v>22</v>
      </c>
      <c r="F505" s="3">
        <v>0.49</v>
      </c>
      <c r="G505" s="3">
        <v>480</v>
      </c>
      <c r="H505" s="3">
        <f t="shared" si="9"/>
        <v>235.2</v>
      </c>
      <c r="I505" s="3"/>
      <c r="J505" s="3">
        <v>9.18</v>
      </c>
    </row>
    <row r="506" customHeight="1" spans="1:10">
      <c r="A506" s="3">
        <v>552</v>
      </c>
      <c r="B506" s="3" t="s">
        <v>280</v>
      </c>
      <c r="C506" s="1" t="s">
        <v>177</v>
      </c>
      <c r="D506" s="3" t="s">
        <v>281</v>
      </c>
      <c r="E506" s="3" t="s">
        <v>22</v>
      </c>
      <c r="F506" s="3">
        <v>0.3</v>
      </c>
      <c r="G506" s="3">
        <v>480</v>
      </c>
      <c r="H506" s="3">
        <f t="shared" si="9"/>
        <v>144</v>
      </c>
      <c r="I506" s="3"/>
      <c r="J506" s="3">
        <v>9.18</v>
      </c>
    </row>
    <row r="507" customHeight="1" spans="1:10">
      <c r="A507" s="3">
        <v>553</v>
      </c>
      <c r="B507" s="3" t="s">
        <v>266</v>
      </c>
      <c r="C507" s="1" t="s">
        <v>177</v>
      </c>
      <c r="D507" s="3" t="s">
        <v>282</v>
      </c>
      <c r="E507" s="3" t="s">
        <v>22</v>
      </c>
      <c r="F507" s="3">
        <v>0.24</v>
      </c>
      <c r="G507" s="3">
        <v>480</v>
      </c>
      <c r="H507" s="3">
        <f t="shared" si="9"/>
        <v>115.2</v>
      </c>
      <c r="I507" s="3"/>
      <c r="J507" s="3">
        <v>9.18</v>
      </c>
    </row>
    <row r="508" customHeight="1" spans="1:10">
      <c r="A508" s="3">
        <v>554</v>
      </c>
      <c r="B508" s="3" t="s">
        <v>264</v>
      </c>
      <c r="C508" s="1" t="s">
        <v>177</v>
      </c>
      <c r="D508" s="3" t="s">
        <v>282</v>
      </c>
      <c r="E508" s="3" t="s">
        <v>22</v>
      </c>
      <c r="F508" s="3">
        <v>0.55</v>
      </c>
      <c r="G508" s="3">
        <v>480</v>
      </c>
      <c r="H508" s="3">
        <f t="shared" si="9"/>
        <v>264</v>
      </c>
      <c r="I508" s="3"/>
      <c r="J508" s="3">
        <v>9.18</v>
      </c>
    </row>
    <row r="509" customHeight="1" spans="1:10">
      <c r="A509" s="3">
        <v>555</v>
      </c>
      <c r="B509" s="3" t="s">
        <v>262</v>
      </c>
      <c r="C509" s="1" t="s">
        <v>177</v>
      </c>
      <c r="D509" s="3" t="s">
        <v>282</v>
      </c>
      <c r="E509" s="3" t="s">
        <v>22</v>
      </c>
      <c r="F509" s="3">
        <v>0.2</v>
      </c>
      <c r="G509" s="3">
        <v>480</v>
      </c>
      <c r="H509" s="3">
        <f t="shared" si="9"/>
        <v>96</v>
      </c>
      <c r="I509" s="3"/>
      <c r="J509" s="3">
        <v>9.18</v>
      </c>
    </row>
    <row r="510" customHeight="1" spans="1:10">
      <c r="A510" s="3">
        <v>556</v>
      </c>
      <c r="B510" s="3" t="s">
        <v>269</v>
      </c>
      <c r="C510" s="1" t="s">
        <v>177</v>
      </c>
      <c r="D510" s="3" t="s">
        <v>282</v>
      </c>
      <c r="E510" s="3" t="s">
        <v>22</v>
      </c>
      <c r="F510" s="3">
        <v>0.17</v>
      </c>
      <c r="G510" s="3">
        <v>480</v>
      </c>
      <c r="H510" s="3">
        <f t="shared" si="9"/>
        <v>81.6</v>
      </c>
      <c r="I510" s="3"/>
      <c r="J510" s="3">
        <v>9.18</v>
      </c>
    </row>
    <row r="511" customHeight="1" spans="1:10">
      <c r="A511" s="3">
        <v>557</v>
      </c>
      <c r="B511" s="3" t="s">
        <v>257</v>
      </c>
      <c r="C511" s="1" t="s">
        <v>177</v>
      </c>
      <c r="D511" s="3" t="s">
        <v>282</v>
      </c>
      <c r="E511" s="3" t="s">
        <v>22</v>
      </c>
      <c r="F511" s="3"/>
      <c r="G511" s="3">
        <v>480</v>
      </c>
      <c r="H511" s="3">
        <f t="shared" si="9"/>
        <v>0</v>
      </c>
      <c r="I511" s="3"/>
      <c r="J511" s="3">
        <v>9.18</v>
      </c>
    </row>
    <row r="512" customHeight="1" spans="1:10">
      <c r="A512" s="3">
        <v>558</v>
      </c>
      <c r="B512" s="3" t="s">
        <v>268</v>
      </c>
      <c r="C512" s="1" t="s">
        <v>177</v>
      </c>
      <c r="D512" s="3" t="s">
        <v>282</v>
      </c>
      <c r="E512" s="3" t="s">
        <v>22</v>
      </c>
      <c r="F512" s="3"/>
      <c r="G512" s="3">
        <v>480</v>
      </c>
      <c r="H512" s="3">
        <f t="shared" si="9"/>
        <v>0</v>
      </c>
      <c r="I512" s="3"/>
      <c r="J512" s="3">
        <v>9.18</v>
      </c>
    </row>
    <row r="513" customHeight="1" spans="1:10">
      <c r="A513" s="3">
        <v>559</v>
      </c>
      <c r="B513" s="3" t="s">
        <v>260</v>
      </c>
      <c r="C513" s="1" t="s">
        <v>177</v>
      </c>
      <c r="D513" s="3" t="s">
        <v>246</v>
      </c>
      <c r="E513" s="3" t="s">
        <v>22</v>
      </c>
      <c r="F513" s="3"/>
      <c r="G513" s="3">
        <v>480</v>
      </c>
      <c r="H513" s="3">
        <f t="shared" si="9"/>
        <v>0</v>
      </c>
      <c r="I513" s="3"/>
      <c r="J513" s="3">
        <v>9.18</v>
      </c>
    </row>
    <row r="514" customHeight="1" spans="1:10">
      <c r="A514" s="3">
        <v>560</v>
      </c>
      <c r="B514" s="3" t="s">
        <v>269</v>
      </c>
      <c r="C514" s="1" t="s">
        <v>177</v>
      </c>
      <c r="D514" s="3" t="s">
        <v>246</v>
      </c>
      <c r="E514" s="3" t="s">
        <v>22</v>
      </c>
      <c r="F514" s="3">
        <v>0.5</v>
      </c>
      <c r="G514" s="3">
        <v>480</v>
      </c>
      <c r="H514" s="3">
        <f t="shared" si="9"/>
        <v>240</v>
      </c>
      <c r="I514" s="3"/>
      <c r="J514" s="3">
        <v>9.18</v>
      </c>
    </row>
    <row r="515" customHeight="1" spans="1:10">
      <c r="A515" s="3">
        <v>561</v>
      </c>
      <c r="B515" s="3" t="s">
        <v>265</v>
      </c>
      <c r="C515" s="1" t="s">
        <v>177</v>
      </c>
      <c r="D515" s="3" t="s">
        <v>246</v>
      </c>
      <c r="E515" s="3" t="s">
        <v>22</v>
      </c>
      <c r="F515" s="3">
        <v>0.65</v>
      </c>
      <c r="G515" s="3">
        <v>480</v>
      </c>
      <c r="H515" s="3">
        <f t="shared" si="9"/>
        <v>312</v>
      </c>
      <c r="I515" s="3"/>
      <c r="J515" s="3">
        <v>9.18</v>
      </c>
    </row>
    <row r="516" customHeight="1" spans="1:10">
      <c r="A516" s="3">
        <v>562</v>
      </c>
      <c r="B516" s="3" t="s">
        <v>262</v>
      </c>
      <c r="C516" s="1" t="s">
        <v>177</v>
      </c>
      <c r="D516" s="3" t="s">
        <v>246</v>
      </c>
      <c r="E516" s="3" t="s">
        <v>22</v>
      </c>
      <c r="F516" s="3">
        <v>0.15</v>
      </c>
      <c r="G516" s="3">
        <v>480</v>
      </c>
      <c r="H516" s="3">
        <f t="shared" si="9"/>
        <v>72</v>
      </c>
      <c r="I516" s="3"/>
      <c r="J516" s="3">
        <v>9.18</v>
      </c>
    </row>
    <row r="517" customHeight="1" spans="1:10">
      <c r="A517" s="3">
        <v>563</v>
      </c>
      <c r="B517" s="3" t="s">
        <v>249</v>
      </c>
      <c r="C517" s="1" t="s">
        <v>177</v>
      </c>
      <c r="D517" s="3" t="s">
        <v>246</v>
      </c>
      <c r="E517" s="3" t="s">
        <v>22</v>
      </c>
      <c r="F517" s="3">
        <v>0.44</v>
      </c>
      <c r="G517" s="3">
        <v>480</v>
      </c>
      <c r="H517" s="3">
        <f t="shared" si="9"/>
        <v>211.2</v>
      </c>
      <c r="I517" s="3"/>
      <c r="J517" s="3">
        <v>9.18</v>
      </c>
    </row>
    <row r="518" customHeight="1" spans="1:10">
      <c r="A518" s="3">
        <v>564</v>
      </c>
      <c r="B518" s="3" t="s">
        <v>272</v>
      </c>
      <c r="C518" s="1" t="s">
        <v>177</v>
      </c>
      <c r="D518" s="3" t="s">
        <v>283</v>
      </c>
      <c r="E518" s="3" t="s">
        <v>22</v>
      </c>
      <c r="F518" s="3">
        <v>0.32</v>
      </c>
      <c r="G518" s="3">
        <v>480</v>
      </c>
      <c r="H518" s="3">
        <f t="shared" si="9"/>
        <v>153.6</v>
      </c>
      <c r="I518" s="3"/>
      <c r="J518" s="3">
        <v>9.18</v>
      </c>
    </row>
    <row r="519" customHeight="1" spans="1:10">
      <c r="A519" s="3">
        <v>565</v>
      </c>
      <c r="B519" s="3" t="s">
        <v>251</v>
      </c>
      <c r="C519" s="1" t="s">
        <v>177</v>
      </c>
      <c r="D519" s="3" t="s">
        <v>283</v>
      </c>
      <c r="E519" s="3" t="s">
        <v>22</v>
      </c>
      <c r="F519" s="3">
        <v>0.32</v>
      </c>
      <c r="G519" s="3">
        <v>480</v>
      </c>
      <c r="H519" s="3">
        <f t="shared" si="9"/>
        <v>153.6</v>
      </c>
      <c r="I519" s="3"/>
      <c r="J519" s="3">
        <v>9.18</v>
      </c>
    </row>
    <row r="520" customHeight="1" spans="1:10">
      <c r="A520" s="3">
        <v>566</v>
      </c>
      <c r="B520" s="3" t="s">
        <v>268</v>
      </c>
      <c r="C520" s="1" t="s">
        <v>177</v>
      </c>
      <c r="D520" s="3" t="s">
        <v>229</v>
      </c>
      <c r="E520" s="3" t="s">
        <v>22</v>
      </c>
      <c r="F520" s="3">
        <v>0.95</v>
      </c>
      <c r="G520" s="3">
        <v>480</v>
      </c>
      <c r="H520" s="3">
        <f t="shared" ref="H520:H583" si="10">G520*F520</f>
        <v>456</v>
      </c>
      <c r="I520" s="3"/>
      <c r="J520" s="3">
        <v>9.18</v>
      </c>
    </row>
    <row r="521" customHeight="1" spans="1:10">
      <c r="A521" s="3">
        <v>567</v>
      </c>
      <c r="B521" s="3" t="s">
        <v>259</v>
      </c>
      <c r="C521" s="1" t="s">
        <v>177</v>
      </c>
      <c r="D521" s="3" t="s">
        <v>229</v>
      </c>
      <c r="E521" s="3" t="s">
        <v>22</v>
      </c>
      <c r="F521" s="3">
        <v>0.5</v>
      </c>
      <c r="G521" s="3">
        <v>480</v>
      </c>
      <c r="H521" s="3">
        <f t="shared" si="10"/>
        <v>240</v>
      </c>
      <c r="I521" s="3"/>
      <c r="J521" s="3">
        <v>9.18</v>
      </c>
    </row>
    <row r="522" customHeight="1" spans="1:10">
      <c r="A522" s="3">
        <v>568</v>
      </c>
      <c r="B522" s="3" t="s">
        <v>284</v>
      </c>
      <c r="C522" s="1" t="s">
        <v>177</v>
      </c>
      <c r="D522" s="3" t="s">
        <v>229</v>
      </c>
      <c r="E522" s="3" t="s">
        <v>22</v>
      </c>
      <c r="F522" s="3">
        <v>0.26</v>
      </c>
      <c r="G522" s="3">
        <v>480</v>
      </c>
      <c r="H522" s="3">
        <f t="shared" si="10"/>
        <v>124.8</v>
      </c>
      <c r="I522" s="3"/>
      <c r="J522" s="3">
        <v>9.18</v>
      </c>
    </row>
    <row r="523" customHeight="1" spans="1:10">
      <c r="A523" s="3">
        <v>569</v>
      </c>
      <c r="B523" s="3" t="s">
        <v>242</v>
      </c>
      <c r="C523" s="1" t="s">
        <v>177</v>
      </c>
      <c r="D523" s="3" t="s">
        <v>285</v>
      </c>
      <c r="E523" s="3" t="s">
        <v>22</v>
      </c>
      <c r="F523" s="3">
        <v>0.29</v>
      </c>
      <c r="G523" s="3">
        <v>480</v>
      </c>
      <c r="H523" s="3">
        <f t="shared" si="10"/>
        <v>139.2</v>
      </c>
      <c r="I523" s="3"/>
      <c r="J523" s="3">
        <v>9.18</v>
      </c>
    </row>
    <row r="524" customHeight="1" spans="1:10">
      <c r="A524" s="3">
        <v>570</v>
      </c>
      <c r="B524" s="3" t="s">
        <v>259</v>
      </c>
      <c r="C524" s="1" t="s">
        <v>177</v>
      </c>
      <c r="D524" s="3" t="s">
        <v>285</v>
      </c>
      <c r="E524" s="3" t="s">
        <v>22</v>
      </c>
      <c r="F524" s="3">
        <v>0.51</v>
      </c>
      <c r="G524" s="3">
        <v>480</v>
      </c>
      <c r="H524" s="3">
        <f t="shared" si="10"/>
        <v>244.8</v>
      </c>
      <c r="I524" s="3"/>
      <c r="J524" s="3">
        <v>9.18</v>
      </c>
    </row>
    <row r="525" customHeight="1" spans="1:10">
      <c r="A525" s="3">
        <v>571</v>
      </c>
      <c r="B525" s="3" t="s">
        <v>286</v>
      </c>
      <c r="C525" s="1" t="s">
        <v>177</v>
      </c>
      <c r="D525" s="3" t="s">
        <v>285</v>
      </c>
      <c r="E525" s="3" t="s">
        <v>22</v>
      </c>
      <c r="F525" s="3">
        <v>0.78</v>
      </c>
      <c r="G525" s="3">
        <v>480</v>
      </c>
      <c r="H525" s="3">
        <f t="shared" si="10"/>
        <v>374.4</v>
      </c>
      <c r="I525" s="3"/>
      <c r="J525" s="3">
        <v>9.18</v>
      </c>
    </row>
    <row r="526" customHeight="1" spans="1:10">
      <c r="A526" s="3">
        <v>572</v>
      </c>
      <c r="B526" s="3" t="s">
        <v>286</v>
      </c>
      <c r="C526" s="1" t="s">
        <v>177</v>
      </c>
      <c r="D526" s="3" t="s">
        <v>287</v>
      </c>
      <c r="E526" s="3" t="s">
        <v>22</v>
      </c>
      <c r="F526" s="3">
        <v>0.16</v>
      </c>
      <c r="G526" s="3">
        <v>480</v>
      </c>
      <c r="H526" s="3">
        <f t="shared" si="10"/>
        <v>76.8</v>
      </c>
      <c r="I526" s="3"/>
      <c r="J526" s="3">
        <v>9.18</v>
      </c>
    </row>
    <row r="527" customHeight="1" spans="1:10">
      <c r="A527" s="3">
        <v>573</v>
      </c>
      <c r="B527" s="3" t="s">
        <v>288</v>
      </c>
      <c r="C527" s="1" t="s">
        <v>177</v>
      </c>
      <c r="D527" s="3" t="s">
        <v>287</v>
      </c>
      <c r="E527" s="3" t="s">
        <v>22</v>
      </c>
      <c r="F527" s="3">
        <v>0.08</v>
      </c>
      <c r="G527" s="3">
        <v>480</v>
      </c>
      <c r="H527" s="3">
        <f t="shared" si="10"/>
        <v>38.4</v>
      </c>
      <c r="I527" s="3"/>
      <c r="J527" s="3">
        <v>9.18</v>
      </c>
    </row>
    <row r="528" customHeight="1" spans="1:10">
      <c r="A528" s="3">
        <v>574</v>
      </c>
      <c r="B528" s="3" t="s">
        <v>289</v>
      </c>
      <c r="C528" s="1" t="s">
        <v>177</v>
      </c>
      <c r="D528" s="3" t="s">
        <v>287</v>
      </c>
      <c r="E528" s="3" t="s">
        <v>22</v>
      </c>
      <c r="F528" s="3">
        <v>0.41</v>
      </c>
      <c r="G528" s="3">
        <v>480</v>
      </c>
      <c r="H528" s="3">
        <f t="shared" si="10"/>
        <v>196.8</v>
      </c>
      <c r="I528" s="3"/>
      <c r="J528" s="3">
        <v>9.18</v>
      </c>
    </row>
    <row r="529" customHeight="1" spans="1:10">
      <c r="A529" s="3">
        <v>575</v>
      </c>
      <c r="B529" s="3" t="s">
        <v>286</v>
      </c>
      <c r="C529" s="1" t="s">
        <v>177</v>
      </c>
      <c r="D529" s="3" t="s">
        <v>290</v>
      </c>
      <c r="E529" s="3" t="s">
        <v>22</v>
      </c>
      <c r="F529" s="3">
        <v>0.42</v>
      </c>
      <c r="G529" s="3">
        <v>480</v>
      </c>
      <c r="H529" s="3">
        <f t="shared" si="10"/>
        <v>201.6</v>
      </c>
      <c r="I529" s="3"/>
      <c r="J529" s="3">
        <v>9.18</v>
      </c>
    </row>
    <row r="530" customHeight="1" spans="1:10">
      <c r="A530" s="3">
        <v>576</v>
      </c>
      <c r="B530" s="3" t="s">
        <v>266</v>
      </c>
      <c r="C530" s="1" t="s">
        <v>177</v>
      </c>
      <c r="D530" s="3" t="s">
        <v>290</v>
      </c>
      <c r="E530" s="3" t="s">
        <v>22</v>
      </c>
      <c r="F530" s="3">
        <v>0.36</v>
      </c>
      <c r="G530" s="3">
        <v>480</v>
      </c>
      <c r="H530" s="3">
        <f t="shared" si="10"/>
        <v>172.8</v>
      </c>
      <c r="I530" s="3"/>
      <c r="J530" s="3">
        <v>9.18</v>
      </c>
    </row>
    <row r="531" customHeight="1" spans="1:10">
      <c r="A531" s="3">
        <v>577</v>
      </c>
      <c r="B531" s="3" t="s">
        <v>245</v>
      </c>
      <c r="C531" s="1" t="s">
        <v>177</v>
      </c>
      <c r="D531" s="3" t="s">
        <v>290</v>
      </c>
      <c r="E531" s="3" t="s">
        <v>22</v>
      </c>
      <c r="F531" s="3">
        <v>0.66</v>
      </c>
      <c r="G531" s="3">
        <v>480</v>
      </c>
      <c r="H531" s="3">
        <f t="shared" si="10"/>
        <v>316.8</v>
      </c>
      <c r="I531" s="3"/>
      <c r="J531" s="3">
        <v>9.18</v>
      </c>
    </row>
    <row r="532" customHeight="1" spans="1:10">
      <c r="A532" s="3">
        <v>578</v>
      </c>
      <c r="B532" s="3" t="s">
        <v>264</v>
      </c>
      <c r="C532" s="1" t="s">
        <v>177</v>
      </c>
      <c r="D532" s="3" t="s">
        <v>290</v>
      </c>
      <c r="E532" s="3" t="s">
        <v>22</v>
      </c>
      <c r="F532" s="3">
        <v>0.2</v>
      </c>
      <c r="G532" s="3">
        <v>480</v>
      </c>
      <c r="H532" s="3">
        <f t="shared" si="10"/>
        <v>96</v>
      </c>
      <c r="I532" s="3"/>
      <c r="J532" s="3">
        <v>9.18</v>
      </c>
    </row>
    <row r="533" customHeight="1" spans="1:10">
      <c r="A533" s="3">
        <v>579</v>
      </c>
      <c r="B533" s="3" t="s">
        <v>262</v>
      </c>
      <c r="C533" s="1" t="s">
        <v>177</v>
      </c>
      <c r="D533" s="3" t="s">
        <v>290</v>
      </c>
      <c r="E533" s="3" t="s">
        <v>22</v>
      </c>
      <c r="F533" s="3">
        <v>0.07</v>
      </c>
      <c r="G533" s="3">
        <v>480</v>
      </c>
      <c r="H533" s="3">
        <f t="shared" si="10"/>
        <v>33.6</v>
      </c>
      <c r="I533" s="3"/>
      <c r="J533" s="3">
        <v>9.18</v>
      </c>
    </row>
    <row r="534" customHeight="1" spans="1:10">
      <c r="A534" s="3">
        <v>580</v>
      </c>
      <c r="B534" s="3" t="s">
        <v>288</v>
      </c>
      <c r="C534" s="1" t="s">
        <v>177</v>
      </c>
      <c r="D534" s="3" t="s">
        <v>291</v>
      </c>
      <c r="E534" s="3" t="s">
        <v>22</v>
      </c>
      <c r="F534" s="3">
        <v>0.04</v>
      </c>
      <c r="G534" s="3">
        <v>480</v>
      </c>
      <c r="H534" s="3">
        <f t="shared" si="10"/>
        <v>19.2</v>
      </c>
      <c r="I534" s="3"/>
      <c r="J534" s="3">
        <v>9.18</v>
      </c>
    </row>
    <row r="535" customHeight="1" spans="1:10">
      <c r="A535" s="3">
        <v>581</v>
      </c>
      <c r="B535" s="3" t="s">
        <v>262</v>
      </c>
      <c r="C535" s="1" t="s">
        <v>177</v>
      </c>
      <c r="D535" s="3" t="s">
        <v>291</v>
      </c>
      <c r="E535" s="3" t="s">
        <v>22</v>
      </c>
      <c r="F535" s="3">
        <v>1.44</v>
      </c>
      <c r="G535" s="3">
        <v>480</v>
      </c>
      <c r="H535" s="3">
        <f t="shared" si="10"/>
        <v>691.2</v>
      </c>
      <c r="I535" s="3"/>
      <c r="J535" s="3">
        <v>9.18</v>
      </c>
    </row>
    <row r="536" customHeight="1" spans="1:10">
      <c r="A536" s="3">
        <v>582</v>
      </c>
      <c r="B536" s="3" t="s">
        <v>259</v>
      </c>
      <c r="C536" s="1" t="s">
        <v>177</v>
      </c>
      <c r="D536" s="3" t="s">
        <v>291</v>
      </c>
      <c r="E536" s="3" t="s">
        <v>22</v>
      </c>
      <c r="F536" s="3">
        <v>0.3</v>
      </c>
      <c r="G536" s="3">
        <v>480</v>
      </c>
      <c r="H536" s="3">
        <f t="shared" si="10"/>
        <v>144</v>
      </c>
      <c r="I536" s="3"/>
      <c r="J536" s="3">
        <v>9.18</v>
      </c>
    </row>
    <row r="537" customHeight="1" spans="1:10">
      <c r="A537" s="3">
        <v>583</v>
      </c>
      <c r="B537" s="3" t="s">
        <v>280</v>
      </c>
      <c r="C537" s="1" t="s">
        <v>177</v>
      </c>
      <c r="D537" s="3" t="s">
        <v>292</v>
      </c>
      <c r="E537" s="3" t="s">
        <v>22</v>
      </c>
      <c r="F537" s="3"/>
      <c r="G537" s="3">
        <v>480</v>
      </c>
      <c r="H537" s="3">
        <f t="shared" si="10"/>
        <v>0</v>
      </c>
      <c r="I537" s="3"/>
      <c r="J537" s="3">
        <v>9.18</v>
      </c>
    </row>
    <row r="538" customHeight="1" spans="1:10">
      <c r="A538" s="3">
        <v>584</v>
      </c>
      <c r="B538" s="3" t="s">
        <v>252</v>
      </c>
      <c r="C538" s="1" t="s">
        <v>177</v>
      </c>
      <c r="D538" s="3" t="s">
        <v>292</v>
      </c>
      <c r="E538" s="3" t="s">
        <v>22</v>
      </c>
      <c r="F538" s="3"/>
      <c r="G538" s="3">
        <v>480</v>
      </c>
      <c r="H538" s="3">
        <f t="shared" si="10"/>
        <v>0</v>
      </c>
      <c r="I538" s="3"/>
      <c r="J538" s="3">
        <v>9.18</v>
      </c>
    </row>
    <row r="539" customHeight="1" spans="1:10">
      <c r="A539" s="3">
        <v>585</v>
      </c>
      <c r="B539" s="3" t="s">
        <v>284</v>
      </c>
      <c r="C539" s="1" t="s">
        <v>177</v>
      </c>
      <c r="D539" s="3" t="s">
        <v>215</v>
      </c>
      <c r="E539" s="3" t="s">
        <v>22</v>
      </c>
      <c r="F539" s="3">
        <v>0.81</v>
      </c>
      <c r="G539" s="3">
        <v>480</v>
      </c>
      <c r="H539" s="3">
        <f t="shared" si="10"/>
        <v>388.8</v>
      </c>
      <c r="I539" s="3"/>
      <c r="J539" s="3">
        <v>9.18</v>
      </c>
    </row>
    <row r="540" customHeight="1" spans="1:10">
      <c r="A540" s="3">
        <v>586</v>
      </c>
      <c r="B540" s="3" t="s">
        <v>262</v>
      </c>
      <c r="C540" s="1" t="s">
        <v>177</v>
      </c>
      <c r="D540" s="3" t="s">
        <v>215</v>
      </c>
      <c r="E540" s="3" t="s">
        <v>22</v>
      </c>
      <c r="F540" s="3">
        <v>0.14</v>
      </c>
      <c r="G540" s="3">
        <v>480</v>
      </c>
      <c r="H540" s="3">
        <f t="shared" si="10"/>
        <v>67.2</v>
      </c>
      <c r="I540" s="3"/>
      <c r="J540" s="3">
        <v>9.18</v>
      </c>
    </row>
    <row r="541" customHeight="1" spans="1:10">
      <c r="A541" s="3">
        <v>587</v>
      </c>
      <c r="B541" s="3" t="s">
        <v>266</v>
      </c>
      <c r="C541" s="1" t="s">
        <v>177</v>
      </c>
      <c r="D541" s="3" t="s">
        <v>271</v>
      </c>
      <c r="E541" s="3" t="s">
        <v>22</v>
      </c>
      <c r="F541" s="3">
        <v>0.45</v>
      </c>
      <c r="G541" s="3">
        <v>480</v>
      </c>
      <c r="H541" s="3">
        <f t="shared" si="10"/>
        <v>216</v>
      </c>
      <c r="I541" s="3"/>
      <c r="J541" s="3">
        <v>9.18</v>
      </c>
    </row>
    <row r="542" customHeight="1" spans="1:10">
      <c r="A542" s="3">
        <v>588</v>
      </c>
      <c r="B542" s="3" t="s">
        <v>274</v>
      </c>
      <c r="C542" s="1" t="s">
        <v>177</v>
      </c>
      <c r="D542" s="3" t="s">
        <v>271</v>
      </c>
      <c r="E542" s="3" t="s">
        <v>22</v>
      </c>
      <c r="F542" s="3">
        <v>0.35</v>
      </c>
      <c r="G542" s="3">
        <v>480</v>
      </c>
      <c r="H542" s="3">
        <f t="shared" si="10"/>
        <v>168</v>
      </c>
      <c r="I542" s="3"/>
      <c r="J542" s="3">
        <v>9.18</v>
      </c>
    </row>
    <row r="543" customHeight="1" spans="1:10">
      <c r="A543" s="3">
        <v>589</v>
      </c>
      <c r="B543" s="3" t="s">
        <v>266</v>
      </c>
      <c r="C543" s="1" t="s">
        <v>177</v>
      </c>
      <c r="D543" s="3" t="s">
        <v>213</v>
      </c>
      <c r="E543" s="3" t="s">
        <v>22</v>
      </c>
      <c r="F543" s="3">
        <v>0.3</v>
      </c>
      <c r="G543" s="3">
        <v>480</v>
      </c>
      <c r="H543" s="3">
        <f t="shared" si="10"/>
        <v>144</v>
      </c>
      <c r="I543" s="3"/>
      <c r="J543" s="3">
        <v>9.18</v>
      </c>
    </row>
    <row r="544" customHeight="1" spans="1:10">
      <c r="A544" s="3">
        <v>590</v>
      </c>
      <c r="B544" s="3" t="s">
        <v>255</v>
      </c>
      <c r="C544" s="1" t="s">
        <v>177</v>
      </c>
      <c r="D544" s="3" t="s">
        <v>213</v>
      </c>
      <c r="E544" s="3" t="s">
        <v>22</v>
      </c>
      <c r="F544" s="3">
        <v>0.74</v>
      </c>
      <c r="G544" s="3">
        <v>480</v>
      </c>
      <c r="H544" s="3">
        <f t="shared" si="10"/>
        <v>355.2</v>
      </c>
      <c r="I544" s="3"/>
      <c r="J544" s="3">
        <v>9.18</v>
      </c>
    </row>
    <row r="545" customHeight="1" spans="1:10">
      <c r="A545" s="3">
        <v>591</v>
      </c>
      <c r="B545" s="3" t="s">
        <v>266</v>
      </c>
      <c r="C545" s="1" t="s">
        <v>177</v>
      </c>
      <c r="D545" s="3" t="s">
        <v>263</v>
      </c>
      <c r="E545" s="3" t="s">
        <v>22</v>
      </c>
      <c r="F545" s="3">
        <v>0.1</v>
      </c>
      <c r="G545" s="3">
        <v>480</v>
      </c>
      <c r="H545" s="3">
        <f t="shared" si="10"/>
        <v>48</v>
      </c>
      <c r="I545" s="3"/>
      <c r="J545" s="3">
        <v>9.18</v>
      </c>
    </row>
    <row r="546" customHeight="1" spans="1:10">
      <c r="A546" s="3">
        <v>592</v>
      </c>
      <c r="B546" s="3" t="s">
        <v>284</v>
      </c>
      <c r="C546" s="1" t="s">
        <v>177</v>
      </c>
      <c r="D546" s="3" t="s">
        <v>263</v>
      </c>
      <c r="E546" s="3" t="s">
        <v>22</v>
      </c>
      <c r="F546" s="3">
        <v>0.16</v>
      </c>
      <c r="G546" s="3">
        <v>480</v>
      </c>
      <c r="H546" s="3">
        <f t="shared" si="10"/>
        <v>76.8</v>
      </c>
      <c r="I546" s="3"/>
      <c r="J546" s="3">
        <v>9.18</v>
      </c>
    </row>
    <row r="547" customHeight="1" spans="1:10">
      <c r="A547" s="3">
        <v>593</v>
      </c>
      <c r="B547" s="3" t="s">
        <v>249</v>
      </c>
      <c r="C547" s="1" t="s">
        <v>177</v>
      </c>
      <c r="D547" s="3" t="s">
        <v>263</v>
      </c>
      <c r="E547" s="3" t="s">
        <v>22</v>
      </c>
      <c r="F547" s="3">
        <v>2.11</v>
      </c>
      <c r="G547" s="3">
        <v>480</v>
      </c>
      <c r="H547" s="3">
        <f t="shared" si="10"/>
        <v>1012.8</v>
      </c>
      <c r="I547" s="3"/>
      <c r="J547" s="3">
        <v>9.18</v>
      </c>
    </row>
    <row r="548" customHeight="1" spans="1:10">
      <c r="A548" s="3">
        <v>594</v>
      </c>
      <c r="B548" s="3" t="s">
        <v>286</v>
      </c>
      <c r="C548" s="1" t="s">
        <v>177</v>
      </c>
      <c r="D548" s="3" t="s">
        <v>250</v>
      </c>
      <c r="E548" s="3" t="s">
        <v>22</v>
      </c>
      <c r="F548" s="3">
        <v>0.57</v>
      </c>
      <c r="G548" s="3">
        <v>480</v>
      </c>
      <c r="H548" s="3">
        <f t="shared" si="10"/>
        <v>273.6</v>
      </c>
      <c r="I548" s="3"/>
      <c r="J548" s="3">
        <v>9.18</v>
      </c>
    </row>
    <row r="549" customHeight="1" spans="1:10">
      <c r="A549" s="3">
        <v>595</v>
      </c>
      <c r="B549" s="3" t="s">
        <v>284</v>
      </c>
      <c r="C549" s="1" t="s">
        <v>177</v>
      </c>
      <c r="D549" s="3" t="s">
        <v>250</v>
      </c>
      <c r="E549" s="3" t="s">
        <v>22</v>
      </c>
      <c r="F549" s="3">
        <v>0.32</v>
      </c>
      <c r="G549" s="3">
        <v>480</v>
      </c>
      <c r="H549" s="3">
        <f t="shared" si="10"/>
        <v>153.6</v>
      </c>
      <c r="I549" s="3"/>
      <c r="J549" s="3">
        <v>9.18</v>
      </c>
    </row>
    <row r="550" customHeight="1" spans="1:10">
      <c r="A550" s="3">
        <v>596</v>
      </c>
      <c r="B550" s="3" t="s">
        <v>252</v>
      </c>
      <c r="C550" s="1" t="s">
        <v>177</v>
      </c>
      <c r="D550" s="3" t="s">
        <v>250</v>
      </c>
      <c r="E550" s="3" t="s">
        <v>22</v>
      </c>
      <c r="F550" s="3">
        <v>0.72</v>
      </c>
      <c r="G550" s="3">
        <v>480</v>
      </c>
      <c r="H550" s="3">
        <f t="shared" si="10"/>
        <v>345.6</v>
      </c>
      <c r="I550" s="3"/>
      <c r="J550" s="3">
        <v>9.18</v>
      </c>
    </row>
    <row r="551" customHeight="1" spans="1:10">
      <c r="A551" s="3">
        <v>597</v>
      </c>
      <c r="B551" s="3" t="s">
        <v>293</v>
      </c>
      <c r="C551" s="1" t="s">
        <v>177</v>
      </c>
      <c r="D551" s="3" t="s">
        <v>246</v>
      </c>
      <c r="E551" s="3" t="s">
        <v>22</v>
      </c>
      <c r="F551" s="3">
        <v>0.77</v>
      </c>
      <c r="G551" s="3">
        <v>480</v>
      </c>
      <c r="H551" s="3">
        <f t="shared" si="10"/>
        <v>369.6</v>
      </c>
      <c r="I551" s="3"/>
      <c r="J551" s="3">
        <v>9.18</v>
      </c>
    </row>
    <row r="552" customHeight="1" spans="1:10">
      <c r="A552" s="3">
        <v>598</v>
      </c>
      <c r="B552" s="3" t="s">
        <v>294</v>
      </c>
      <c r="C552" s="1" t="s">
        <v>177</v>
      </c>
      <c r="D552" s="3" t="s">
        <v>295</v>
      </c>
      <c r="E552" s="3" t="s">
        <v>22</v>
      </c>
      <c r="F552" s="3">
        <v>0.82</v>
      </c>
      <c r="G552" s="3">
        <v>480</v>
      </c>
      <c r="H552" s="3">
        <f t="shared" si="10"/>
        <v>393.6</v>
      </c>
      <c r="I552" s="3"/>
      <c r="J552" s="3">
        <v>9.18</v>
      </c>
    </row>
    <row r="553" customHeight="1" spans="1:10">
      <c r="A553" s="3">
        <v>599</v>
      </c>
      <c r="B553" s="3" t="s">
        <v>296</v>
      </c>
      <c r="C553" s="1" t="s">
        <v>177</v>
      </c>
      <c r="D553" s="3" t="s">
        <v>295</v>
      </c>
      <c r="E553" s="3" t="s">
        <v>22</v>
      </c>
      <c r="F553" s="3">
        <v>0.22</v>
      </c>
      <c r="G553" s="3">
        <v>480</v>
      </c>
      <c r="H553" s="3">
        <f t="shared" si="10"/>
        <v>105.6</v>
      </c>
      <c r="I553" s="3"/>
      <c r="J553" s="3">
        <v>9.18</v>
      </c>
    </row>
    <row r="554" customHeight="1" spans="1:10">
      <c r="A554" s="3">
        <v>600</v>
      </c>
      <c r="B554" s="3" t="s">
        <v>284</v>
      </c>
      <c r="C554" s="1" t="s">
        <v>177</v>
      </c>
      <c r="D554" s="3" t="s">
        <v>295</v>
      </c>
      <c r="E554" s="3" t="s">
        <v>22</v>
      </c>
      <c r="F554" s="3">
        <v>0.24</v>
      </c>
      <c r="G554" s="3">
        <v>480</v>
      </c>
      <c r="H554" s="3">
        <f t="shared" si="10"/>
        <v>115.2</v>
      </c>
      <c r="I554" s="3"/>
      <c r="J554" s="3">
        <v>9.18</v>
      </c>
    </row>
    <row r="555" customHeight="1" spans="1:10">
      <c r="A555" s="3">
        <v>601</v>
      </c>
      <c r="B555" s="3" t="s">
        <v>297</v>
      </c>
      <c r="C555" s="1" t="s">
        <v>177</v>
      </c>
      <c r="D555" s="3" t="s">
        <v>295</v>
      </c>
      <c r="E555" s="3" t="s">
        <v>22</v>
      </c>
      <c r="F555" s="3">
        <v>0.26</v>
      </c>
      <c r="G555" s="3">
        <v>480</v>
      </c>
      <c r="H555" s="3">
        <f t="shared" si="10"/>
        <v>124.8</v>
      </c>
      <c r="I555" s="3"/>
      <c r="J555" s="3">
        <v>9.18</v>
      </c>
    </row>
    <row r="556" customHeight="1" spans="1:10">
      <c r="A556" s="3">
        <v>602</v>
      </c>
      <c r="B556" s="3" t="s">
        <v>284</v>
      </c>
      <c r="C556" s="1" t="s">
        <v>177</v>
      </c>
      <c r="D556" s="3" t="s">
        <v>295</v>
      </c>
      <c r="E556" s="3" t="s">
        <v>22</v>
      </c>
      <c r="F556" s="3">
        <v>0.33</v>
      </c>
      <c r="G556" s="3">
        <v>480</v>
      </c>
      <c r="H556" s="3">
        <f t="shared" si="10"/>
        <v>158.4</v>
      </c>
      <c r="I556" s="3"/>
      <c r="J556" s="3">
        <v>9.18</v>
      </c>
    </row>
    <row r="557" customHeight="1" spans="1:10">
      <c r="A557" s="3">
        <v>603</v>
      </c>
      <c r="B557" s="3" t="s">
        <v>280</v>
      </c>
      <c r="C557" s="1" t="s">
        <v>177</v>
      </c>
      <c r="D557" s="3" t="s">
        <v>254</v>
      </c>
      <c r="E557" s="3" t="s">
        <v>22</v>
      </c>
      <c r="F557" s="3">
        <v>1.04</v>
      </c>
      <c r="G557" s="3">
        <v>480</v>
      </c>
      <c r="H557" s="3">
        <f t="shared" si="10"/>
        <v>499.2</v>
      </c>
      <c r="I557" s="3"/>
      <c r="J557" s="3">
        <v>9.18</v>
      </c>
    </row>
    <row r="558" customHeight="1" spans="1:10">
      <c r="A558" s="3">
        <v>604</v>
      </c>
      <c r="B558" s="3" t="s">
        <v>245</v>
      </c>
      <c r="C558" s="1" t="s">
        <v>177</v>
      </c>
      <c r="D558" s="3" t="s">
        <v>230</v>
      </c>
      <c r="E558" s="3" t="s">
        <v>22</v>
      </c>
      <c r="F558" s="3">
        <v>0.01</v>
      </c>
      <c r="G558" s="3">
        <v>480</v>
      </c>
      <c r="H558" s="3">
        <f t="shared" si="10"/>
        <v>4.8</v>
      </c>
      <c r="I558" s="3"/>
      <c r="J558" s="3">
        <v>9.18</v>
      </c>
    </row>
    <row r="559" customHeight="1" spans="1:10">
      <c r="A559" s="3">
        <v>605</v>
      </c>
      <c r="B559" s="3" t="s">
        <v>247</v>
      </c>
      <c r="C559" s="1" t="s">
        <v>177</v>
      </c>
      <c r="D559" s="3" t="s">
        <v>230</v>
      </c>
      <c r="E559" s="3" t="s">
        <v>22</v>
      </c>
      <c r="F559" s="3">
        <v>0.01</v>
      </c>
      <c r="G559" s="3">
        <v>480</v>
      </c>
      <c r="H559" s="3">
        <f t="shared" si="10"/>
        <v>4.8</v>
      </c>
      <c r="I559" s="3"/>
      <c r="J559" s="3">
        <v>9.18</v>
      </c>
    </row>
    <row r="560" customHeight="1" spans="1:10">
      <c r="A560" s="3">
        <v>606</v>
      </c>
      <c r="B560" s="3" t="s">
        <v>293</v>
      </c>
      <c r="C560" s="1" t="s">
        <v>177</v>
      </c>
      <c r="D560" s="3" t="s">
        <v>230</v>
      </c>
      <c r="E560" s="3" t="s">
        <v>22</v>
      </c>
      <c r="F560" s="3">
        <v>0.34</v>
      </c>
      <c r="G560" s="3">
        <v>480</v>
      </c>
      <c r="H560" s="3">
        <f t="shared" si="10"/>
        <v>163.2</v>
      </c>
      <c r="I560" s="3"/>
      <c r="J560" s="3">
        <v>9.18</v>
      </c>
    </row>
    <row r="561" customHeight="1" spans="1:10">
      <c r="A561" s="3">
        <v>607</v>
      </c>
      <c r="B561" s="3" t="s">
        <v>298</v>
      </c>
      <c r="C561" s="1" t="s">
        <v>177</v>
      </c>
      <c r="D561" s="3" t="s">
        <v>230</v>
      </c>
      <c r="E561" s="3" t="s">
        <v>22</v>
      </c>
      <c r="F561" s="3">
        <v>0.4</v>
      </c>
      <c r="G561" s="3">
        <v>480</v>
      </c>
      <c r="H561" s="3">
        <f t="shared" si="10"/>
        <v>192</v>
      </c>
      <c r="I561" s="3"/>
      <c r="J561" s="3">
        <v>9.18</v>
      </c>
    </row>
    <row r="562" customHeight="1" spans="1:10">
      <c r="A562" s="3">
        <v>608</v>
      </c>
      <c r="B562" s="3" t="s">
        <v>247</v>
      </c>
      <c r="C562" s="1" t="s">
        <v>177</v>
      </c>
      <c r="D562" s="3" t="s">
        <v>230</v>
      </c>
      <c r="E562" s="3" t="s">
        <v>22</v>
      </c>
      <c r="F562" s="3">
        <v>0.14</v>
      </c>
      <c r="G562" s="3">
        <v>480</v>
      </c>
      <c r="H562" s="3">
        <f t="shared" si="10"/>
        <v>67.2</v>
      </c>
      <c r="I562" s="3"/>
      <c r="J562" s="3">
        <v>9.18</v>
      </c>
    </row>
    <row r="563" customHeight="1" spans="1:10">
      <c r="A563" s="3">
        <v>609</v>
      </c>
      <c r="B563" s="3" t="s">
        <v>247</v>
      </c>
      <c r="C563" s="1" t="s">
        <v>177</v>
      </c>
      <c r="D563" s="3" t="s">
        <v>299</v>
      </c>
      <c r="E563" s="3" t="s">
        <v>22</v>
      </c>
      <c r="F563" s="3">
        <v>0.34</v>
      </c>
      <c r="G563" s="3">
        <v>480</v>
      </c>
      <c r="H563" s="3">
        <f t="shared" si="10"/>
        <v>163.2</v>
      </c>
      <c r="I563" s="3"/>
      <c r="J563" s="3">
        <v>9.18</v>
      </c>
    </row>
    <row r="564" customHeight="1" spans="1:10">
      <c r="A564" s="3">
        <v>610</v>
      </c>
      <c r="B564" s="3" t="s">
        <v>251</v>
      </c>
      <c r="C564" s="1" t="s">
        <v>177</v>
      </c>
      <c r="D564" s="3" t="s">
        <v>229</v>
      </c>
      <c r="E564" s="3" t="s">
        <v>22</v>
      </c>
      <c r="F564" s="3">
        <v>0.32</v>
      </c>
      <c r="G564" s="3">
        <v>480</v>
      </c>
      <c r="H564" s="3">
        <f t="shared" si="10"/>
        <v>153.6</v>
      </c>
      <c r="I564" s="3"/>
      <c r="J564" s="3">
        <v>9.18</v>
      </c>
    </row>
    <row r="565" customHeight="1" spans="1:10">
      <c r="A565" s="3">
        <v>611</v>
      </c>
      <c r="B565" s="3" t="s">
        <v>272</v>
      </c>
      <c r="C565" s="1" t="s">
        <v>177</v>
      </c>
      <c r="D565" s="3" t="s">
        <v>229</v>
      </c>
      <c r="E565" s="3" t="s">
        <v>22</v>
      </c>
      <c r="F565" s="3">
        <v>0.44</v>
      </c>
      <c r="G565" s="3">
        <v>480</v>
      </c>
      <c r="H565" s="3">
        <f t="shared" si="10"/>
        <v>211.2</v>
      </c>
      <c r="I565" s="3"/>
      <c r="J565" s="3">
        <v>9.18</v>
      </c>
    </row>
    <row r="566" customHeight="1" spans="1:10">
      <c r="A566" s="3">
        <v>612</v>
      </c>
      <c r="B566" s="3" t="s">
        <v>245</v>
      </c>
      <c r="C566" s="1" t="s">
        <v>177</v>
      </c>
      <c r="D566" s="3" t="s">
        <v>229</v>
      </c>
      <c r="E566" s="3" t="s">
        <v>22</v>
      </c>
      <c r="F566" s="3">
        <v>0.34</v>
      </c>
      <c r="G566" s="3">
        <v>480</v>
      </c>
      <c r="H566" s="3">
        <f t="shared" si="10"/>
        <v>163.2</v>
      </c>
      <c r="I566" s="3"/>
      <c r="J566" s="3">
        <v>9.18</v>
      </c>
    </row>
    <row r="567" customHeight="1" spans="1:10">
      <c r="A567" s="3">
        <v>613</v>
      </c>
      <c r="B567" s="3" t="s">
        <v>274</v>
      </c>
      <c r="C567" s="1" t="s">
        <v>177</v>
      </c>
      <c r="D567" s="3" t="s">
        <v>227</v>
      </c>
      <c r="E567" s="3" t="s">
        <v>22</v>
      </c>
      <c r="F567" s="3">
        <v>1.56</v>
      </c>
      <c r="G567" s="3">
        <v>480</v>
      </c>
      <c r="H567" s="3">
        <f t="shared" si="10"/>
        <v>748.8</v>
      </c>
      <c r="I567" s="3"/>
      <c r="J567" s="3">
        <v>9.18</v>
      </c>
    </row>
    <row r="568" customHeight="1" spans="1:10">
      <c r="A568" s="3">
        <v>614</v>
      </c>
      <c r="B568" s="3" t="s">
        <v>265</v>
      </c>
      <c r="C568" s="1" t="s">
        <v>177</v>
      </c>
      <c r="D568" s="3" t="s">
        <v>285</v>
      </c>
      <c r="E568" s="3" t="s">
        <v>22</v>
      </c>
      <c r="F568" s="3">
        <v>0.27</v>
      </c>
      <c r="G568" s="3">
        <v>480</v>
      </c>
      <c r="H568" s="3">
        <f t="shared" si="10"/>
        <v>129.6</v>
      </c>
      <c r="I568" s="3"/>
      <c r="J568" s="3">
        <v>9.18</v>
      </c>
    </row>
    <row r="569" customHeight="1" spans="1:10">
      <c r="A569" s="3">
        <v>615</v>
      </c>
      <c r="B569" s="3" t="s">
        <v>286</v>
      </c>
      <c r="C569" s="1" t="s">
        <v>177</v>
      </c>
      <c r="D569" s="3" t="s">
        <v>258</v>
      </c>
      <c r="E569" s="3" t="s">
        <v>22</v>
      </c>
      <c r="F569" s="3">
        <v>0.57</v>
      </c>
      <c r="G569" s="3">
        <v>480</v>
      </c>
      <c r="H569" s="3">
        <f t="shared" si="10"/>
        <v>273.6</v>
      </c>
      <c r="I569" s="3"/>
      <c r="J569" s="3">
        <v>9.18</v>
      </c>
    </row>
    <row r="570" customHeight="1" spans="1:10">
      <c r="A570" s="3">
        <v>616</v>
      </c>
      <c r="B570" s="3" t="s">
        <v>270</v>
      </c>
      <c r="C570" s="1" t="s">
        <v>177</v>
      </c>
      <c r="D570" s="3" t="s">
        <v>258</v>
      </c>
      <c r="E570" s="3" t="s">
        <v>22</v>
      </c>
      <c r="F570" s="3">
        <v>0.37</v>
      </c>
      <c r="G570" s="3">
        <v>480</v>
      </c>
      <c r="H570" s="3">
        <f t="shared" si="10"/>
        <v>177.6</v>
      </c>
      <c r="I570" s="3"/>
      <c r="J570" s="3">
        <v>9.18</v>
      </c>
    </row>
    <row r="571" customHeight="1" spans="1:10">
      <c r="A571" s="3">
        <v>617</v>
      </c>
      <c r="B571" s="3" t="s">
        <v>265</v>
      </c>
      <c r="C571" s="1" t="s">
        <v>177</v>
      </c>
      <c r="D571" s="3" t="s">
        <v>258</v>
      </c>
      <c r="E571" s="3" t="s">
        <v>22</v>
      </c>
      <c r="F571" s="3">
        <v>0.39</v>
      </c>
      <c r="G571" s="3">
        <v>480</v>
      </c>
      <c r="H571" s="3">
        <f t="shared" si="10"/>
        <v>187.2</v>
      </c>
      <c r="I571" s="3"/>
      <c r="J571" s="3">
        <v>9.18</v>
      </c>
    </row>
    <row r="572" customHeight="1" spans="1:10">
      <c r="A572" s="3">
        <v>618</v>
      </c>
      <c r="B572" s="3" t="s">
        <v>300</v>
      </c>
      <c r="C572" s="1" t="s">
        <v>177</v>
      </c>
      <c r="D572" s="3" t="s">
        <v>301</v>
      </c>
      <c r="E572" s="3" t="s">
        <v>22</v>
      </c>
      <c r="F572" s="3">
        <v>0.49</v>
      </c>
      <c r="G572" s="3">
        <v>480</v>
      </c>
      <c r="H572" s="3">
        <f t="shared" si="10"/>
        <v>235.2</v>
      </c>
      <c r="I572" s="3"/>
      <c r="J572" s="3">
        <v>9.18</v>
      </c>
    </row>
    <row r="573" customHeight="1" spans="1:10">
      <c r="A573" s="3">
        <v>619</v>
      </c>
      <c r="B573" s="3" t="s">
        <v>266</v>
      </c>
      <c r="C573" s="1" t="s">
        <v>177</v>
      </c>
      <c r="D573" s="3" t="s">
        <v>301</v>
      </c>
      <c r="E573" s="3" t="s">
        <v>22</v>
      </c>
      <c r="F573" s="3">
        <v>0.72</v>
      </c>
      <c r="G573" s="3">
        <v>480</v>
      </c>
      <c r="H573" s="3">
        <f t="shared" si="10"/>
        <v>345.6</v>
      </c>
      <c r="I573" s="3"/>
      <c r="J573" s="3">
        <v>9.18</v>
      </c>
    </row>
    <row r="574" customHeight="1" spans="1:10">
      <c r="A574" s="3">
        <v>620</v>
      </c>
      <c r="B574" s="3" t="s">
        <v>296</v>
      </c>
      <c r="C574" s="1" t="s">
        <v>177</v>
      </c>
      <c r="D574" s="3" t="s">
        <v>302</v>
      </c>
      <c r="E574" s="3" t="s">
        <v>22</v>
      </c>
      <c r="F574" s="3">
        <v>0.71</v>
      </c>
      <c r="G574" s="3">
        <v>480</v>
      </c>
      <c r="H574" s="3">
        <f t="shared" si="10"/>
        <v>340.8</v>
      </c>
      <c r="I574" s="3"/>
      <c r="J574" s="3">
        <v>9.18</v>
      </c>
    </row>
    <row r="575" customHeight="1" spans="1:10">
      <c r="A575" s="3">
        <v>621</v>
      </c>
      <c r="B575" s="3" t="s">
        <v>245</v>
      </c>
      <c r="C575" s="1" t="s">
        <v>177</v>
      </c>
      <c r="D575" s="3" t="s">
        <v>302</v>
      </c>
      <c r="E575" s="3" t="s">
        <v>22</v>
      </c>
      <c r="F575" s="3">
        <v>0.15</v>
      </c>
      <c r="G575" s="3">
        <v>480</v>
      </c>
      <c r="H575" s="3">
        <f t="shared" si="10"/>
        <v>72</v>
      </c>
      <c r="I575" s="3"/>
      <c r="J575" s="3">
        <v>9.18</v>
      </c>
    </row>
    <row r="576" customHeight="1" spans="1:10">
      <c r="A576" s="3">
        <v>622</v>
      </c>
      <c r="B576" s="3" t="s">
        <v>269</v>
      </c>
      <c r="C576" s="1" t="s">
        <v>177</v>
      </c>
      <c r="D576" s="3" t="s">
        <v>302</v>
      </c>
      <c r="E576" s="3" t="s">
        <v>22</v>
      </c>
      <c r="F576" s="3">
        <v>0.44</v>
      </c>
      <c r="G576" s="3">
        <v>480</v>
      </c>
      <c r="H576" s="3">
        <f t="shared" si="10"/>
        <v>211.2</v>
      </c>
      <c r="I576" s="3"/>
      <c r="J576" s="3">
        <v>9.18</v>
      </c>
    </row>
    <row r="577" customHeight="1" spans="1:10">
      <c r="A577" s="3">
        <v>623</v>
      </c>
      <c r="B577" s="3" t="s">
        <v>251</v>
      </c>
      <c r="C577" s="1" t="s">
        <v>177</v>
      </c>
      <c r="D577" s="3" t="s">
        <v>302</v>
      </c>
      <c r="E577" s="3" t="s">
        <v>22</v>
      </c>
      <c r="F577" s="3">
        <v>0.49</v>
      </c>
      <c r="G577" s="3">
        <v>480</v>
      </c>
      <c r="H577" s="3">
        <f t="shared" si="10"/>
        <v>235.2</v>
      </c>
      <c r="I577" s="3"/>
      <c r="J577" s="3">
        <v>9.18</v>
      </c>
    </row>
    <row r="578" customHeight="1" spans="1:10">
      <c r="A578" s="3">
        <v>624</v>
      </c>
      <c r="B578" s="3" t="s">
        <v>264</v>
      </c>
      <c r="C578" s="1" t="s">
        <v>177</v>
      </c>
      <c r="D578" s="3" t="s">
        <v>302</v>
      </c>
      <c r="E578" s="3" t="s">
        <v>22</v>
      </c>
      <c r="F578" s="3">
        <v>0.42</v>
      </c>
      <c r="G578" s="3">
        <v>480</v>
      </c>
      <c r="H578" s="3">
        <f t="shared" si="10"/>
        <v>201.6</v>
      </c>
      <c r="I578" s="3"/>
      <c r="J578" s="3">
        <v>9.18</v>
      </c>
    </row>
    <row r="579" customHeight="1" spans="1:10">
      <c r="A579" s="3">
        <v>625</v>
      </c>
      <c r="B579" s="3" t="s">
        <v>303</v>
      </c>
      <c r="C579" s="1" t="s">
        <v>177</v>
      </c>
      <c r="D579" s="3" t="s">
        <v>215</v>
      </c>
      <c r="E579" s="3" t="s">
        <v>22</v>
      </c>
      <c r="F579" s="3">
        <v>0.75</v>
      </c>
      <c r="G579" s="3">
        <v>480</v>
      </c>
      <c r="H579" s="3">
        <f t="shared" si="10"/>
        <v>360</v>
      </c>
      <c r="I579" s="3"/>
      <c r="J579" s="3">
        <v>9.18</v>
      </c>
    </row>
    <row r="580" customHeight="1" spans="1:10">
      <c r="A580" s="3">
        <v>626</v>
      </c>
      <c r="B580" s="3" t="s">
        <v>268</v>
      </c>
      <c r="C580" s="1" t="s">
        <v>177</v>
      </c>
      <c r="D580" s="3" t="s">
        <v>215</v>
      </c>
      <c r="E580" s="3" t="s">
        <v>22</v>
      </c>
      <c r="F580" s="3">
        <v>0.2</v>
      </c>
      <c r="G580" s="3">
        <v>480</v>
      </c>
      <c r="H580" s="3">
        <f t="shared" si="10"/>
        <v>96</v>
      </c>
      <c r="I580" s="3"/>
      <c r="J580" s="3">
        <v>9.18</v>
      </c>
    </row>
    <row r="581" customHeight="1" spans="1:10">
      <c r="A581" s="3">
        <v>627</v>
      </c>
      <c r="B581" s="3" t="s">
        <v>286</v>
      </c>
      <c r="C581" s="1" t="s">
        <v>177</v>
      </c>
      <c r="D581" s="3" t="s">
        <v>215</v>
      </c>
      <c r="E581" s="3" t="s">
        <v>22</v>
      </c>
      <c r="F581" s="3">
        <v>0.03</v>
      </c>
      <c r="G581" s="3">
        <v>480</v>
      </c>
      <c r="H581" s="3">
        <f t="shared" si="10"/>
        <v>14.4</v>
      </c>
      <c r="I581" s="3"/>
      <c r="J581" s="3">
        <v>9.18</v>
      </c>
    </row>
    <row r="582" customHeight="1" spans="1:10">
      <c r="A582" s="3">
        <v>628</v>
      </c>
      <c r="B582" s="3" t="s">
        <v>298</v>
      </c>
      <c r="C582" s="1" t="s">
        <v>177</v>
      </c>
      <c r="D582" s="3" t="s">
        <v>215</v>
      </c>
      <c r="E582" s="3" t="s">
        <v>22</v>
      </c>
      <c r="F582" s="3">
        <v>0.4</v>
      </c>
      <c r="G582" s="3">
        <v>480</v>
      </c>
      <c r="H582" s="3">
        <f t="shared" si="10"/>
        <v>192</v>
      </c>
      <c r="I582" s="3"/>
      <c r="J582" s="3">
        <v>9.18</v>
      </c>
    </row>
    <row r="583" customHeight="1" spans="1:10">
      <c r="A583" s="3">
        <v>629</v>
      </c>
      <c r="B583" s="3" t="s">
        <v>304</v>
      </c>
      <c r="C583" s="1" t="s">
        <v>177</v>
      </c>
      <c r="D583" s="3" t="s">
        <v>305</v>
      </c>
      <c r="E583" s="3" t="s">
        <v>22</v>
      </c>
      <c r="F583" s="3">
        <v>0.31</v>
      </c>
      <c r="G583" s="3">
        <v>480</v>
      </c>
      <c r="H583" s="3">
        <f t="shared" si="10"/>
        <v>148.8</v>
      </c>
      <c r="I583" s="3"/>
      <c r="J583" s="3">
        <v>9.18</v>
      </c>
    </row>
    <row r="584" customHeight="1" spans="1:10">
      <c r="A584" s="3">
        <v>630</v>
      </c>
      <c r="B584" s="3" t="s">
        <v>244</v>
      </c>
      <c r="C584" s="1" t="s">
        <v>177</v>
      </c>
      <c r="D584" s="3" t="s">
        <v>305</v>
      </c>
      <c r="E584" s="3" t="s">
        <v>22</v>
      </c>
      <c r="F584" s="3">
        <v>0.39</v>
      </c>
      <c r="G584" s="3">
        <v>480</v>
      </c>
      <c r="H584" s="3">
        <f t="shared" ref="H584:H647" si="11">G584*F584</f>
        <v>187.2</v>
      </c>
      <c r="I584" s="3"/>
      <c r="J584" s="3">
        <v>9.18</v>
      </c>
    </row>
    <row r="585" customHeight="1" spans="1:10">
      <c r="A585" s="3">
        <v>631</v>
      </c>
      <c r="B585" s="3" t="s">
        <v>288</v>
      </c>
      <c r="C585" s="1" t="s">
        <v>177</v>
      </c>
      <c r="D585" s="3" t="s">
        <v>305</v>
      </c>
      <c r="E585" s="3" t="s">
        <v>22</v>
      </c>
      <c r="F585" s="3">
        <v>0.98</v>
      </c>
      <c r="G585" s="3">
        <v>480</v>
      </c>
      <c r="H585" s="3">
        <f t="shared" si="11"/>
        <v>470.4</v>
      </c>
      <c r="I585" s="3"/>
      <c r="J585" s="3">
        <v>9.18</v>
      </c>
    </row>
    <row r="586" customHeight="1" spans="1:10">
      <c r="A586" s="3">
        <v>632</v>
      </c>
      <c r="B586" s="3" t="s">
        <v>251</v>
      </c>
      <c r="C586" s="1" t="s">
        <v>177</v>
      </c>
      <c r="D586" s="3" t="s">
        <v>299</v>
      </c>
      <c r="E586" s="3" t="s">
        <v>22</v>
      </c>
      <c r="F586" s="3">
        <v>0.23</v>
      </c>
      <c r="G586" s="3">
        <v>480</v>
      </c>
      <c r="H586" s="3">
        <f t="shared" si="11"/>
        <v>110.4</v>
      </c>
      <c r="I586" s="3"/>
      <c r="J586" s="3">
        <v>9.18</v>
      </c>
    </row>
    <row r="587" customHeight="1" spans="1:10">
      <c r="A587" s="3">
        <v>633</v>
      </c>
      <c r="B587" s="3" t="s">
        <v>272</v>
      </c>
      <c r="C587" s="1" t="s">
        <v>177</v>
      </c>
      <c r="D587" s="3" t="s">
        <v>299</v>
      </c>
      <c r="E587" s="3" t="s">
        <v>22</v>
      </c>
      <c r="F587" s="3">
        <v>0.28</v>
      </c>
      <c r="G587" s="3">
        <v>480</v>
      </c>
      <c r="H587" s="3">
        <f t="shared" si="11"/>
        <v>134.4</v>
      </c>
      <c r="I587" s="3"/>
      <c r="J587" s="3">
        <v>9.18</v>
      </c>
    </row>
    <row r="588" customHeight="1" spans="1:10">
      <c r="A588" s="3">
        <v>634</v>
      </c>
      <c r="B588" s="3" t="s">
        <v>255</v>
      </c>
      <c r="C588" s="1" t="s">
        <v>177</v>
      </c>
      <c r="D588" s="3" t="s">
        <v>299</v>
      </c>
      <c r="E588" s="3" t="s">
        <v>22</v>
      </c>
      <c r="F588" s="3">
        <v>0.26</v>
      </c>
      <c r="G588" s="3">
        <v>480</v>
      </c>
      <c r="H588" s="3">
        <f t="shared" si="11"/>
        <v>124.8</v>
      </c>
      <c r="I588" s="3"/>
      <c r="J588" s="3">
        <v>9.18</v>
      </c>
    </row>
    <row r="589" customHeight="1" spans="1:10">
      <c r="A589" s="3">
        <v>635</v>
      </c>
      <c r="B589" s="3" t="s">
        <v>284</v>
      </c>
      <c r="C589" s="1" t="s">
        <v>177</v>
      </c>
      <c r="D589" s="3" t="s">
        <v>299</v>
      </c>
      <c r="E589" s="3" t="s">
        <v>22</v>
      </c>
      <c r="F589" s="3">
        <v>0.51</v>
      </c>
      <c r="G589" s="3">
        <v>480</v>
      </c>
      <c r="H589" s="3">
        <f t="shared" si="11"/>
        <v>244.8</v>
      </c>
      <c r="I589" s="3"/>
      <c r="J589" s="3">
        <v>9.18</v>
      </c>
    </row>
    <row r="590" customHeight="1" spans="1:10">
      <c r="A590" s="3">
        <v>636</v>
      </c>
      <c r="B590" s="3" t="s">
        <v>242</v>
      </c>
      <c r="C590" s="1" t="s">
        <v>177</v>
      </c>
      <c r="D590" s="3" t="s">
        <v>185</v>
      </c>
      <c r="E590" s="3" t="s">
        <v>22</v>
      </c>
      <c r="F590" s="3">
        <v>0.24</v>
      </c>
      <c r="G590" s="3">
        <v>480</v>
      </c>
      <c r="H590" s="3">
        <f t="shared" si="11"/>
        <v>115.2</v>
      </c>
      <c r="I590" s="3"/>
      <c r="J590" s="3">
        <v>9.18</v>
      </c>
    </row>
    <row r="591" customHeight="1" spans="1:10">
      <c r="A591" s="3">
        <v>637</v>
      </c>
      <c r="B591" s="3" t="s">
        <v>284</v>
      </c>
      <c r="C591" s="1" t="s">
        <v>177</v>
      </c>
      <c r="D591" s="3" t="s">
        <v>306</v>
      </c>
      <c r="E591" s="3" t="s">
        <v>22</v>
      </c>
      <c r="F591" s="3">
        <v>0.64</v>
      </c>
      <c r="G591" s="3">
        <v>480</v>
      </c>
      <c r="H591" s="3">
        <f t="shared" si="11"/>
        <v>307.2</v>
      </c>
      <c r="I591" s="3"/>
      <c r="J591" s="3">
        <v>9.18</v>
      </c>
    </row>
    <row r="592" customHeight="1" spans="1:10">
      <c r="A592" s="3">
        <v>638</v>
      </c>
      <c r="B592" s="3" t="s">
        <v>247</v>
      </c>
      <c r="C592" s="1" t="s">
        <v>177</v>
      </c>
      <c r="D592" s="3" t="s">
        <v>283</v>
      </c>
      <c r="E592" s="3" t="s">
        <v>22</v>
      </c>
      <c r="F592" s="3">
        <v>0.2</v>
      </c>
      <c r="G592" s="3">
        <v>480</v>
      </c>
      <c r="H592" s="3">
        <f t="shared" si="11"/>
        <v>96</v>
      </c>
      <c r="I592" s="3"/>
      <c r="J592" s="3">
        <v>9.18</v>
      </c>
    </row>
    <row r="593" customHeight="1" spans="1:10">
      <c r="A593" s="3">
        <v>639</v>
      </c>
      <c r="B593" s="3" t="s">
        <v>255</v>
      </c>
      <c r="C593" s="1" t="s">
        <v>177</v>
      </c>
      <c r="D593" s="3" t="s">
        <v>283</v>
      </c>
      <c r="E593" s="3" t="s">
        <v>22</v>
      </c>
      <c r="F593" s="3">
        <v>0.25</v>
      </c>
      <c r="G593" s="3">
        <v>480</v>
      </c>
      <c r="H593" s="3">
        <f t="shared" si="11"/>
        <v>120</v>
      </c>
      <c r="I593" s="3"/>
      <c r="J593" s="3">
        <v>9.18</v>
      </c>
    </row>
    <row r="594" customHeight="1" spans="1:10">
      <c r="A594" s="3">
        <v>640</v>
      </c>
      <c r="B594" s="3" t="s">
        <v>245</v>
      </c>
      <c r="C594" s="1" t="s">
        <v>177</v>
      </c>
      <c r="D594" s="3" t="s">
        <v>307</v>
      </c>
      <c r="E594" s="3" t="s">
        <v>22</v>
      </c>
      <c r="F594" s="3">
        <v>0.34</v>
      </c>
      <c r="G594" s="3">
        <v>480</v>
      </c>
      <c r="H594" s="3">
        <f t="shared" si="11"/>
        <v>163.2</v>
      </c>
      <c r="I594" s="3"/>
      <c r="J594" s="3">
        <v>9.19</v>
      </c>
    </row>
    <row r="595" customHeight="1" spans="1:10">
      <c r="A595" s="3">
        <v>641</v>
      </c>
      <c r="B595" s="3" t="s">
        <v>249</v>
      </c>
      <c r="C595" s="1" t="s">
        <v>177</v>
      </c>
      <c r="D595" s="3" t="s">
        <v>308</v>
      </c>
      <c r="E595" s="3" t="s">
        <v>309</v>
      </c>
      <c r="F595" s="3">
        <v>0.5</v>
      </c>
      <c r="G595" s="3">
        <v>380</v>
      </c>
      <c r="H595" s="3">
        <f t="shared" si="11"/>
        <v>190</v>
      </c>
      <c r="I595" s="3"/>
      <c r="J595" s="3">
        <v>9.19</v>
      </c>
    </row>
    <row r="596" customHeight="1" spans="1:10">
      <c r="A596" s="3">
        <v>642</v>
      </c>
      <c r="B596" s="3" t="s">
        <v>265</v>
      </c>
      <c r="C596" s="1" t="s">
        <v>177</v>
      </c>
      <c r="D596" s="3" t="s">
        <v>308</v>
      </c>
      <c r="E596" s="3" t="s">
        <v>309</v>
      </c>
      <c r="F596" s="3">
        <v>0.32</v>
      </c>
      <c r="G596" s="3">
        <v>380</v>
      </c>
      <c r="H596" s="3">
        <f t="shared" si="11"/>
        <v>121.6</v>
      </c>
      <c r="I596" s="3"/>
      <c r="J596" s="3">
        <v>9.19</v>
      </c>
    </row>
    <row r="597" customHeight="1" spans="1:10">
      <c r="A597" s="3">
        <v>643</v>
      </c>
      <c r="B597" s="3" t="s">
        <v>297</v>
      </c>
      <c r="C597" s="1" t="s">
        <v>177</v>
      </c>
      <c r="D597" s="3" t="s">
        <v>310</v>
      </c>
      <c r="E597" s="3" t="s">
        <v>309</v>
      </c>
      <c r="F597" s="3">
        <v>0.25</v>
      </c>
      <c r="G597" s="3">
        <v>380</v>
      </c>
      <c r="H597" s="3">
        <f t="shared" si="11"/>
        <v>95</v>
      </c>
      <c r="I597" s="3"/>
      <c r="J597" s="3">
        <v>9.19</v>
      </c>
    </row>
    <row r="598" customHeight="1" spans="1:10">
      <c r="A598" s="3">
        <v>644</v>
      </c>
      <c r="B598" s="3" t="s">
        <v>289</v>
      </c>
      <c r="C598" s="1" t="s">
        <v>177</v>
      </c>
      <c r="D598" s="3" t="s">
        <v>310</v>
      </c>
      <c r="E598" s="3" t="s">
        <v>309</v>
      </c>
      <c r="F598" s="3">
        <v>0.18</v>
      </c>
      <c r="G598" s="3">
        <v>380</v>
      </c>
      <c r="H598" s="3">
        <f t="shared" si="11"/>
        <v>68.4</v>
      </c>
      <c r="I598" s="3"/>
      <c r="J598" s="3">
        <v>9.19</v>
      </c>
    </row>
    <row r="599" customHeight="1" spans="1:10">
      <c r="A599" s="3">
        <v>645</v>
      </c>
      <c r="B599" s="3" t="s">
        <v>311</v>
      </c>
      <c r="C599" s="1" t="s">
        <v>177</v>
      </c>
      <c r="D599" s="3" t="s">
        <v>310</v>
      </c>
      <c r="E599" s="3" t="s">
        <v>309</v>
      </c>
      <c r="F599" s="3">
        <v>0.18</v>
      </c>
      <c r="G599" s="3">
        <v>380</v>
      </c>
      <c r="H599" s="3">
        <f t="shared" si="11"/>
        <v>68.4</v>
      </c>
      <c r="I599" s="3"/>
      <c r="J599" s="3">
        <v>9.19</v>
      </c>
    </row>
    <row r="600" customHeight="1" spans="1:10">
      <c r="A600" s="3">
        <v>646</v>
      </c>
      <c r="B600" s="3" t="s">
        <v>297</v>
      </c>
      <c r="C600" s="1" t="s">
        <v>177</v>
      </c>
      <c r="D600" s="3" t="s">
        <v>312</v>
      </c>
      <c r="E600" s="3" t="s">
        <v>309</v>
      </c>
      <c r="F600" s="3">
        <v>0.52</v>
      </c>
      <c r="G600" s="3">
        <v>380</v>
      </c>
      <c r="H600" s="3">
        <f t="shared" si="11"/>
        <v>197.6</v>
      </c>
      <c r="I600" s="3"/>
      <c r="J600" s="3">
        <v>9.19</v>
      </c>
    </row>
    <row r="601" customHeight="1" spans="1:10">
      <c r="A601" s="3">
        <v>647</v>
      </c>
      <c r="B601" s="3" t="s">
        <v>270</v>
      </c>
      <c r="C601" s="1" t="s">
        <v>177</v>
      </c>
      <c r="D601" s="3" t="s">
        <v>312</v>
      </c>
      <c r="E601" s="3" t="s">
        <v>309</v>
      </c>
      <c r="F601" s="3">
        <v>1.58</v>
      </c>
      <c r="G601" s="3">
        <v>380</v>
      </c>
      <c r="H601" s="3">
        <f t="shared" si="11"/>
        <v>600.4</v>
      </c>
      <c r="I601" s="3"/>
      <c r="J601" s="3">
        <v>9.19</v>
      </c>
    </row>
    <row r="602" customHeight="1" spans="1:10">
      <c r="A602" s="3">
        <v>648</v>
      </c>
      <c r="B602" s="3" t="s">
        <v>255</v>
      </c>
      <c r="C602" s="1" t="s">
        <v>177</v>
      </c>
      <c r="D602" s="3" t="s">
        <v>313</v>
      </c>
      <c r="E602" s="3" t="s">
        <v>309</v>
      </c>
      <c r="F602" s="3">
        <v>1</v>
      </c>
      <c r="G602" s="3">
        <v>380</v>
      </c>
      <c r="H602" s="3">
        <f t="shared" si="11"/>
        <v>380</v>
      </c>
      <c r="I602" s="3"/>
      <c r="J602" s="3">
        <v>9.19</v>
      </c>
    </row>
    <row r="603" customHeight="1" spans="1:10">
      <c r="A603" s="3">
        <v>649</v>
      </c>
      <c r="B603" s="3" t="s">
        <v>255</v>
      </c>
      <c r="C603" s="1" t="s">
        <v>177</v>
      </c>
      <c r="D603" s="3" t="s">
        <v>314</v>
      </c>
      <c r="E603" s="3" t="s">
        <v>309</v>
      </c>
      <c r="F603" s="3">
        <v>0.45</v>
      </c>
      <c r="G603" s="3">
        <v>380</v>
      </c>
      <c r="H603" s="3">
        <f t="shared" si="11"/>
        <v>171</v>
      </c>
      <c r="I603" s="3"/>
      <c r="J603" s="3">
        <v>9.19</v>
      </c>
    </row>
    <row r="604" customHeight="1" spans="1:10">
      <c r="A604" s="3">
        <v>650</v>
      </c>
      <c r="B604" s="3" t="s">
        <v>297</v>
      </c>
      <c r="C604" s="1" t="s">
        <v>177</v>
      </c>
      <c r="D604" s="3" t="s">
        <v>314</v>
      </c>
      <c r="E604" s="3" t="s">
        <v>309</v>
      </c>
      <c r="F604" s="3">
        <v>0.24</v>
      </c>
      <c r="G604" s="3">
        <v>380</v>
      </c>
      <c r="H604" s="3">
        <f t="shared" si="11"/>
        <v>91.2</v>
      </c>
      <c r="I604" s="3"/>
      <c r="J604" s="3">
        <v>9.19</v>
      </c>
    </row>
    <row r="605" customHeight="1" spans="1:10">
      <c r="A605" s="3">
        <v>651</v>
      </c>
      <c r="B605" s="3" t="s">
        <v>284</v>
      </c>
      <c r="C605" s="1" t="s">
        <v>177</v>
      </c>
      <c r="D605" s="3" t="s">
        <v>315</v>
      </c>
      <c r="E605" s="3" t="s">
        <v>22</v>
      </c>
      <c r="F605" s="3">
        <v>0.19</v>
      </c>
      <c r="G605" s="3">
        <v>480</v>
      </c>
      <c r="H605" s="3">
        <f t="shared" si="11"/>
        <v>91.2</v>
      </c>
      <c r="I605" s="3"/>
      <c r="J605" s="3">
        <v>9.19</v>
      </c>
    </row>
    <row r="606" customHeight="1" spans="1:10">
      <c r="A606" s="3">
        <v>652</v>
      </c>
      <c r="B606" s="3" t="s">
        <v>288</v>
      </c>
      <c r="C606" s="1" t="s">
        <v>177</v>
      </c>
      <c r="D606" s="3" t="s">
        <v>315</v>
      </c>
      <c r="E606" s="3" t="s">
        <v>22</v>
      </c>
      <c r="F606" s="3">
        <v>0.83</v>
      </c>
      <c r="G606" s="3">
        <v>480</v>
      </c>
      <c r="H606" s="3">
        <f t="shared" si="11"/>
        <v>398.4</v>
      </c>
      <c r="I606" s="3"/>
      <c r="J606" s="3">
        <v>9.19</v>
      </c>
    </row>
    <row r="607" customHeight="1" spans="1:10">
      <c r="A607" s="3">
        <v>653</v>
      </c>
      <c r="B607" s="3" t="s">
        <v>297</v>
      </c>
      <c r="C607" s="1" t="s">
        <v>177</v>
      </c>
      <c r="D607" s="3" t="s">
        <v>316</v>
      </c>
      <c r="E607" s="3" t="s">
        <v>22</v>
      </c>
      <c r="F607" s="3">
        <v>0.54</v>
      </c>
      <c r="G607" s="3">
        <v>480</v>
      </c>
      <c r="H607" s="3">
        <f t="shared" si="11"/>
        <v>259.2</v>
      </c>
      <c r="I607" s="3"/>
      <c r="J607" s="3">
        <v>9.19</v>
      </c>
    </row>
    <row r="608" customHeight="1" spans="1:10">
      <c r="A608" s="3">
        <v>654</v>
      </c>
      <c r="B608" s="3" t="s">
        <v>262</v>
      </c>
      <c r="C608" s="1" t="s">
        <v>177</v>
      </c>
      <c r="D608" s="3" t="s">
        <v>316</v>
      </c>
      <c r="E608" s="3" t="s">
        <v>22</v>
      </c>
      <c r="F608" s="3">
        <v>0.82</v>
      </c>
      <c r="G608" s="3">
        <v>480</v>
      </c>
      <c r="H608" s="3">
        <f t="shared" si="11"/>
        <v>393.6</v>
      </c>
      <c r="I608" s="3"/>
      <c r="J608" s="3">
        <v>9.19</v>
      </c>
    </row>
    <row r="609" customHeight="1" spans="1:10">
      <c r="A609" s="3">
        <v>655</v>
      </c>
      <c r="B609" s="3" t="s">
        <v>303</v>
      </c>
      <c r="C609" s="1" t="s">
        <v>177</v>
      </c>
      <c r="D609" s="3" t="s">
        <v>316</v>
      </c>
      <c r="E609" s="3" t="s">
        <v>22</v>
      </c>
      <c r="F609" s="3">
        <v>0.46</v>
      </c>
      <c r="G609" s="3">
        <v>480</v>
      </c>
      <c r="H609" s="3">
        <f t="shared" si="11"/>
        <v>220.8</v>
      </c>
      <c r="I609" s="3"/>
      <c r="J609" s="3">
        <v>9.19</v>
      </c>
    </row>
    <row r="610" customHeight="1" spans="1:10">
      <c r="A610" s="3">
        <v>656</v>
      </c>
      <c r="B610" s="3" t="s">
        <v>268</v>
      </c>
      <c r="C610" s="1" t="s">
        <v>177</v>
      </c>
      <c r="D610" s="3" t="s">
        <v>316</v>
      </c>
      <c r="E610" s="3" t="s">
        <v>22</v>
      </c>
      <c r="F610" s="3">
        <v>0.14</v>
      </c>
      <c r="G610" s="3">
        <v>480</v>
      </c>
      <c r="H610" s="3">
        <f t="shared" si="11"/>
        <v>67.2</v>
      </c>
      <c r="I610" s="3"/>
      <c r="J610" s="3">
        <v>9.19</v>
      </c>
    </row>
    <row r="611" customHeight="1" spans="1:10">
      <c r="A611" s="3">
        <v>657</v>
      </c>
      <c r="B611" s="3" t="s">
        <v>247</v>
      </c>
      <c r="C611" s="1" t="s">
        <v>177</v>
      </c>
      <c r="D611" s="3" t="s">
        <v>317</v>
      </c>
      <c r="E611" s="3" t="s">
        <v>22</v>
      </c>
      <c r="F611" s="3">
        <v>0.28</v>
      </c>
      <c r="G611" s="3">
        <v>480</v>
      </c>
      <c r="H611" s="3">
        <f t="shared" si="11"/>
        <v>134.4</v>
      </c>
      <c r="I611" s="3"/>
      <c r="J611" s="3">
        <v>9.19</v>
      </c>
    </row>
    <row r="612" customHeight="1" spans="1:10">
      <c r="A612" s="3">
        <v>658</v>
      </c>
      <c r="B612" s="3" t="s">
        <v>262</v>
      </c>
      <c r="C612" s="1" t="s">
        <v>177</v>
      </c>
      <c r="D612" s="3" t="s">
        <v>318</v>
      </c>
      <c r="E612" s="3" t="s">
        <v>309</v>
      </c>
      <c r="F612" s="3">
        <v>0.27</v>
      </c>
      <c r="G612" s="3">
        <v>380</v>
      </c>
      <c r="H612" s="3">
        <f t="shared" si="11"/>
        <v>102.6</v>
      </c>
      <c r="I612" s="3"/>
      <c r="J612" s="3">
        <v>9.19</v>
      </c>
    </row>
    <row r="613" customHeight="1" spans="1:10">
      <c r="A613" s="3">
        <v>659</v>
      </c>
      <c r="B613" s="3" t="s">
        <v>252</v>
      </c>
      <c r="C613" s="1" t="s">
        <v>177</v>
      </c>
      <c r="D613" s="3" t="s">
        <v>318</v>
      </c>
      <c r="E613" s="3" t="s">
        <v>309</v>
      </c>
      <c r="F613" s="3">
        <v>0.29</v>
      </c>
      <c r="G613" s="3">
        <v>380</v>
      </c>
      <c r="H613" s="3">
        <f t="shared" si="11"/>
        <v>110.2</v>
      </c>
      <c r="I613" s="3"/>
      <c r="J613" s="3">
        <v>9.19</v>
      </c>
    </row>
    <row r="614" customHeight="1" spans="1:10">
      <c r="A614" s="3">
        <v>660</v>
      </c>
      <c r="B614" s="3" t="s">
        <v>266</v>
      </c>
      <c r="C614" s="1" t="s">
        <v>177</v>
      </c>
      <c r="D614" s="3" t="s">
        <v>318</v>
      </c>
      <c r="E614" s="3" t="s">
        <v>309</v>
      </c>
      <c r="F614" s="3">
        <v>0.7</v>
      </c>
      <c r="G614" s="3">
        <v>380</v>
      </c>
      <c r="H614" s="3">
        <f t="shared" si="11"/>
        <v>266</v>
      </c>
      <c r="I614" s="3"/>
      <c r="J614" s="3">
        <v>9.19</v>
      </c>
    </row>
    <row r="615" customHeight="1" spans="1:10">
      <c r="A615" s="3">
        <v>661</v>
      </c>
      <c r="B615" s="3" t="s">
        <v>264</v>
      </c>
      <c r="C615" s="1" t="s">
        <v>177</v>
      </c>
      <c r="D615" s="3" t="s">
        <v>318</v>
      </c>
      <c r="E615" s="3" t="s">
        <v>309</v>
      </c>
      <c r="F615" s="3">
        <v>0.87</v>
      </c>
      <c r="G615" s="3">
        <v>380</v>
      </c>
      <c r="H615" s="3">
        <f t="shared" si="11"/>
        <v>330.6</v>
      </c>
      <c r="I615" s="3"/>
      <c r="J615" s="3">
        <v>9.19</v>
      </c>
    </row>
    <row r="616" customHeight="1" spans="1:10">
      <c r="A616" s="3">
        <v>662</v>
      </c>
      <c r="B616" s="3" t="s">
        <v>247</v>
      </c>
      <c r="C616" s="1" t="s">
        <v>177</v>
      </c>
      <c r="D616" s="3" t="s">
        <v>318</v>
      </c>
      <c r="E616" s="3" t="s">
        <v>309</v>
      </c>
      <c r="F616" s="3">
        <v>0.43</v>
      </c>
      <c r="G616" s="3">
        <v>380</v>
      </c>
      <c r="H616" s="3">
        <f t="shared" si="11"/>
        <v>163.4</v>
      </c>
      <c r="I616" s="3"/>
      <c r="J616" s="3">
        <v>9.19</v>
      </c>
    </row>
    <row r="617" customHeight="1" spans="1:10">
      <c r="A617" s="3">
        <v>663</v>
      </c>
      <c r="B617" s="3" t="s">
        <v>268</v>
      </c>
      <c r="C617" s="1" t="s">
        <v>177</v>
      </c>
      <c r="D617" s="3" t="s">
        <v>318</v>
      </c>
      <c r="E617" s="3" t="s">
        <v>309</v>
      </c>
      <c r="F617" s="3">
        <v>0.6</v>
      </c>
      <c r="G617" s="3">
        <v>380</v>
      </c>
      <c r="H617" s="3">
        <f t="shared" si="11"/>
        <v>228</v>
      </c>
      <c r="I617" s="3"/>
      <c r="J617" s="3">
        <v>9.19</v>
      </c>
    </row>
    <row r="618" customHeight="1" spans="1:10">
      <c r="A618" s="3">
        <v>664</v>
      </c>
      <c r="B618" s="3" t="s">
        <v>280</v>
      </c>
      <c r="C618" s="1" t="s">
        <v>177</v>
      </c>
      <c r="D618" s="3" t="s">
        <v>318</v>
      </c>
      <c r="E618" s="3" t="s">
        <v>309</v>
      </c>
      <c r="F618" s="3">
        <v>1.1</v>
      </c>
      <c r="G618" s="3">
        <v>380</v>
      </c>
      <c r="H618" s="3">
        <f t="shared" si="11"/>
        <v>418</v>
      </c>
      <c r="I618" s="3"/>
      <c r="J618" s="3">
        <v>9.19</v>
      </c>
    </row>
    <row r="619" customHeight="1" spans="1:10">
      <c r="A619" s="3">
        <v>665</v>
      </c>
      <c r="B619" s="3" t="s">
        <v>269</v>
      </c>
      <c r="C619" s="1" t="s">
        <v>177</v>
      </c>
      <c r="D619" s="3" t="s">
        <v>318</v>
      </c>
      <c r="E619" s="3" t="s">
        <v>309</v>
      </c>
      <c r="F619" s="3">
        <v>0.8</v>
      </c>
      <c r="G619" s="3">
        <v>380</v>
      </c>
      <c r="H619" s="3">
        <f t="shared" si="11"/>
        <v>304</v>
      </c>
      <c r="I619" s="3"/>
      <c r="J619" s="3">
        <v>9.19</v>
      </c>
    </row>
    <row r="620" customHeight="1" spans="1:10">
      <c r="A620" s="3">
        <v>666</v>
      </c>
      <c r="B620" s="3" t="s">
        <v>245</v>
      </c>
      <c r="C620" s="1" t="s">
        <v>177</v>
      </c>
      <c r="D620" s="3" t="s">
        <v>318</v>
      </c>
      <c r="E620" s="3" t="s">
        <v>309</v>
      </c>
      <c r="F620" s="3">
        <v>0.15</v>
      </c>
      <c r="G620" s="3">
        <v>380</v>
      </c>
      <c r="H620" s="3">
        <f t="shared" si="11"/>
        <v>57</v>
      </c>
      <c r="I620" s="3"/>
      <c r="J620" s="3">
        <v>9.19</v>
      </c>
    </row>
    <row r="621" customHeight="1" spans="1:10">
      <c r="A621" s="3">
        <v>667</v>
      </c>
      <c r="B621" s="3" t="s">
        <v>251</v>
      </c>
      <c r="C621" s="1" t="s">
        <v>177</v>
      </c>
      <c r="D621" s="3" t="s">
        <v>318</v>
      </c>
      <c r="E621" s="3" t="s">
        <v>309</v>
      </c>
      <c r="F621" s="3">
        <v>0.8</v>
      </c>
      <c r="G621" s="3">
        <v>380</v>
      </c>
      <c r="H621" s="3">
        <f t="shared" si="11"/>
        <v>304</v>
      </c>
      <c r="I621" s="3"/>
      <c r="J621" s="3">
        <v>9.19</v>
      </c>
    </row>
    <row r="622" customHeight="1" spans="1:10">
      <c r="A622" s="3">
        <v>668</v>
      </c>
      <c r="B622" s="3" t="s">
        <v>249</v>
      </c>
      <c r="C622" s="1" t="s">
        <v>177</v>
      </c>
      <c r="D622" s="3" t="s">
        <v>318</v>
      </c>
      <c r="E622" s="3" t="s">
        <v>309</v>
      </c>
      <c r="F622" s="3">
        <v>0.56</v>
      </c>
      <c r="G622" s="3">
        <v>380</v>
      </c>
      <c r="H622" s="3">
        <f t="shared" si="11"/>
        <v>212.8</v>
      </c>
      <c r="I622" s="3"/>
      <c r="J622" s="3">
        <v>9.19</v>
      </c>
    </row>
    <row r="623" customHeight="1" spans="1:10">
      <c r="A623" s="3">
        <v>669</v>
      </c>
      <c r="B623" s="3" t="s">
        <v>249</v>
      </c>
      <c r="C623" s="1" t="s">
        <v>177</v>
      </c>
      <c r="D623" s="3" t="s">
        <v>318</v>
      </c>
      <c r="E623" s="3" t="s">
        <v>309</v>
      </c>
      <c r="F623" s="3">
        <v>0.1</v>
      </c>
      <c r="G623" s="3">
        <v>380</v>
      </c>
      <c r="H623" s="3">
        <f t="shared" si="11"/>
        <v>38</v>
      </c>
      <c r="I623" s="3"/>
      <c r="J623" s="3">
        <v>9.19</v>
      </c>
    </row>
    <row r="624" customHeight="1" spans="1:10">
      <c r="A624" s="3">
        <v>670</v>
      </c>
      <c r="B624" s="3" t="s">
        <v>298</v>
      </c>
      <c r="C624" s="1" t="s">
        <v>177</v>
      </c>
      <c r="D624" s="3" t="s">
        <v>318</v>
      </c>
      <c r="E624" s="3" t="s">
        <v>309</v>
      </c>
      <c r="F624" s="3">
        <v>0.17</v>
      </c>
      <c r="G624" s="3">
        <v>380</v>
      </c>
      <c r="H624" s="3">
        <f t="shared" si="11"/>
        <v>64.6</v>
      </c>
      <c r="I624" s="3"/>
      <c r="J624" s="3">
        <v>9.19</v>
      </c>
    </row>
    <row r="625" customHeight="1" spans="1:10">
      <c r="A625" s="3">
        <v>671</v>
      </c>
      <c r="B625" s="3" t="s">
        <v>245</v>
      </c>
      <c r="C625" s="1" t="s">
        <v>177</v>
      </c>
      <c r="D625" s="3" t="s">
        <v>319</v>
      </c>
      <c r="E625" s="3" t="s">
        <v>309</v>
      </c>
      <c r="F625" s="3">
        <v>0.68</v>
      </c>
      <c r="G625" s="3">
        <v>380</v>
      </c>
      <c r="H625" s="3">
        <f t="shared" si="11"/>
        <v>258.4</v>
      </c>
      <c r="I625" s="3"/>
      <c r="J625" s="3">
        <v>9.19</v>
      </c>
    </row>
    <row r="626" customHeight="1" spans="1:10">
      <c r="A626" s="3">
        <v>672</v>
      </c>
      <c r="B626" s="3" t="s">
        <v>280</v>
      </c>
      <c r="C626" s="1" t="s">
        <v>177</v>
      </c>
      <c r="D626" s="3" t="s">
        <v>319</v>
      </c>
      <c r="E626" s="3" t="s">
        <v>309</v>
      </c>
      <c r="F626" s="3">
        <v>2.09</v>
      </c>
      <c r="G626" s="3">
        <v>380</v>
      </c>
      <c r="H626" s="3">
        <f t="shared" si="11"/>
        <v>794.2</v>
      </c>
      <c r="I626" s="3"/>
      <c r="J626" s="3">
        <v>9.19</v>
      </c>
    </row>
    <row r="627" customHeight="1" spans="1:10">
      <c r="A627" s="3">
        <v>673</v>
      </c>
      <c r="B627" s="3" t="s">
        <v>244</v>
      </c>
      <c r="C627" s="1" t="s">
        <v>177</v>
      </c>
      <c r="D627" s="3" t="s">
        <v>319</v>
      </c>
      <c r="E627" s="3" t="s">
        <v>309</v>
      </c>
      <c r="F627" s="3">
        <v>0.51</v>
      </c>
      <c r="G627" s="3">
        <v>380</v>
      </c>
      <c r="H627" s="3">
        <f t="shared" si="11"/>
        <v>193.8</v>
      </c>
      <c r="I627" s="3"/>
      <c r="J627" s="3">
        <v>9.19</v>
      </c>
    </row>
    <row r="628" customHeight="1" spans="1:10">
      <c r="A628" s="3">
        <v>674</v>
      </c>
      <c r="B628" s="3" t="s">
        <v>298</v>
      </c>
      <c r="C628" s="1" t="s">
        <v>177</v>
      </c>
      <c r="D628" s="3" t="s">
        <v>319</v>
      </c>
      <c r="E628" s="3" t="s">
        <v>309</v>
      </c>
      <c r="F628" s="3">
        <v>0.26</v>
      </c>
      <c r="G628" s="3">
        <v>380</v>
      </c>
      <c r="H628" s="3">
        <f t="shared" si="11"/>
        <v>98.8</v>
      </c>
      <c r="I628" s="3"/>
      <c r="J628" s="3">
        <v>9.19</v>
      </c>
    </row>
    <row r="629" customHeight="1" spans="1:10">
      <c r="A629" s="3">
        <v>675</v>
      </c>
      <c r="B629" s="3" t="s">
        <v>264</v>
      </c>
      <c r="C629" s="1" t="s">
        <v>177</v>
      </c>
      <c r="D629" s="3" t="s">
        <v>320</v>
      </c>
      <c r="E629" s="3" t="s">
        <v>309</v>
      </c>
      <c r="F629" s="3">
        <v>0.29</v>
      </c>
      <c r="G629" s="3">
        <v>380</v>
      </c>
      <c r="H629" s="3">
        <f t="shared" si="11"/>
        <v>110.2</v>
      </c>
      <c r="I629" s="3"/>
      <c r="J629" s="3">
        <v>9.19</v>
      </c>
    </row>
    <row r="630" customHeight="1" spans="1:10">
      <c r="A630" s="3">
        <v>676</v>
      </c>
      <c r="B630" s="3" t="s">
        <v>264</v>
      </c>
      <c r="C630" s="1" t="s">
        <v>177</v>
      </c>
      <c r="D630" s="3" t="s">
        <v>321</v>
      </c>
      <c r="E630" s="3" t="s">
        <v>309</v>
      </c>
      <c r="F630" s="3">
        <v>0.21</v>
      </c>
      <c r="G630" s="3">
        <v>380</v>
      </c>
      <c r="H630" s="3">
        <f t="shared" si="11"/>
        <v>79.8</v>
      </c>
      <c r="I630" s="3"/>
      <c r="J630" s="3">
        <v>9.19</v>
      </c>
    </row>
    <row r="631" customHeight="1" spans="1:10">
      <c r="A631" s="3">
        <v>677</v>
      </c>
      <c r="B631" s="3" t="s">
        <v>270</v>
      </c>
      <c r="C631" s="1" t="s">
        <v>177</v>
      </c>
      <c r="D631" s="3" t="s">
        <v>322</v>
      </c>
      <c r="E631" s="3" t="s">
        <v>309</v>
      </c>
      <c r="F631" s="3">
        <v>0.03</v>
      </c>
      <c r="G631" s="3">
        <v>380</v>
      </c>
      <c r="H631" s="3">
        <f t="shared" si="11"/>
        <v>11.4</v>
      </c>
      <c r="I631" s="3"/>
      <c r="J631" s="3">
        <v>9.19</v>
      </c>
    </row>
    <row r="632" customHeight="1" spans="1:10">
      <c r="A632" s="3">
        <v>678</v>
      </c>
      <c r="B632" s="3" t="s">
        <v>311</v>
      </c>
      <c r="C632" s="1" t="s">
        <v>177</v>
      </c>
      <c r="D632" s="3" t="s">
        <v>322</v>
      </c>
      <c r="E632" s="3" t="s">
        <v>309</v>
      </c>
      <c r="F632" s="3">
        <v>0.82</v>
      </c>
      <c r="G632" s="3">
        <v>380</v>
      </c>
      <c r="H632" s="3">
        <f t="shared" si="11"/>
        <v>311.6</v>
      </c>
      <c r="I632" s="3"/>
      <c r="J632" s="3">
        <v>9.19</v>
      </c>
    </row>
    <row r="633" customHeight="1" spans="1:10">
      <c r="A633" s="3">
        <v>679</v>
      </c>
      <c r="B633" s="3" t="s">
        <v>284</v>
      </c>
      <c r="C633" s="1" t="s">
        <v>177</v>
      </c>
      <c r="D633" s="3" t="s">
        <v>323</v>
      </c>
      <c r="E633" s="3" t="s">
        <v>309</v>
      </c>
      <c r="F633" s="3">
        <v>0.63</v>
      </c>
      <c r="G633" s="3">
        <v>380</v>
      </c>
      <c r="H633" s="3">
        <f t="shared" si="11"/>
        <v>239.4</v>
      </c>
      <c r="I633" s="3"/>
      <c r="J633" s="3">
        <v>9.19</v>
      </c>
    </row>
    <row r="634" customHeight="1" spans="1:10">
      <c r="A634" s="3">
        <v>680</v>
      </c>
      <c r="B634" s="3" t="s">
        <v>280</v>
      </c>
      <c r="C634" s="1" t="s">
        <v>177</v>
      </c>
      <c r="D634" s="3" t="s">
        <v>324</v>
      </c>
      <c r="E634" s="3" t="s">
        <v>309</v>
      </c>
      <c r="F634" s="3">
        <v>0.49</v>
      </c>
      <c r="G634" s="3">
        <v>380</v>
      </c>
      <c r="H634" s="3">
        <f t="shared" si="11"/>
        <v>186.2</v>
      </c>
      <c r="I634" s="3"/>
      <c r="J634" s="3">
        <v>9.19</v>
      </c>
    </row>
    <row r="635" customHeight="1" spans="1:10">
      <c r="A635" s="3">
        <v>681</v>
      </c>
      <c r="B635" s="3" t="s">
        <v>284</v>
      </c>
      <c r="C635" s="1" t="s">
        <v>177</v>
      </c>
      <c r="D635" s="3" t="s">
        <v>324</v>
      </c>
      <c r="E635" s="3" t="s">
        <v>309</v>
      </c>
      <c r="F635" s="3">
        <v>0.1</v>
      </c>
      <c r="G635" s="3">
        <v>380</v>
      </c>
      <c r="H635" s="3">
        <f t="shared" si="11"/>
        <v>38</v>
      </c>
      <c r="I635" s="3"/>
      <c r="J635" s="3">
        <v>9.19</v>
      </c>
    </row>
    <row r="636" customHeight="1" spans="1:10">
      <c r="A636" s="3">
        <v>682</v>
      </c>
      <c r="B636" s="3" t="s">
        <v>303</v>
      </c>
      <c r="C636" s="1" t="s">
        <v>177</v>
      </c>
      <c r="D636" s="3" t="s">
        <v>324</v>
      </c>
      <c r="E636" s="3" t="s">
        <v>309</v>
      </c>
      <c r="F636" s="3">
        <v>0.48</v>
      </c>
      <c r="G636" s="3">
        <v>380</v>
      </c>
      <c r="H636" s="3">
        <f t="shared" si="11"/>
        <v>182.4</v>
      </c>
      <c r="I636" s="3"/>
      <c r="J636" s="3">
        <v>9.19</v>
      </c>
    </row>
    <row r="637" customHeight="1" spans="1:10">
      <c r="A637" s="3">
        <v>683</v>
      </c>
      <c r="B637" s="3" t="s">
        <v>270</v>
      </c>
      <c r="C637" s="1" t="s">
        <v>177</v>
      </c>
      <c r="D637" s="3" t="s">
        <v>322</v>
      </c>
      <c r="E637" s="3" t="s">
        <v>309</v>
      </c>
      <c r="F637" s="3">
        <v>0.58</v>
      </c>
      <c r="G637" s="3">
        <v>380</v>
      </c>
      <c r="H637" s="3">
        <f t="shared" si="11"/>
        <v>220.4</v>
      </c>
      <c r="I637" s="3"/>
      <c r="J637" s="3">
        <v>9.19</v>
      </c>
    </row>
    <row r="638" customHeight="1" spans="1:10">
      <c r="A638" s="3">
        <v>684</v>
      </c>
      <c r="B638" s="3" t="s">
        <v>289</v>
      </c>
      <c r="C638" s="1" t="s">
        <v>177</v>
      </c>
      <c r="D638" s="3" t="s">
        <v>322</v>
      </c>
      <c r="E638" s="3" t="s">
        <v>309</v>
      </c>
      <c r="F638" s="3">
        <v>0.61</v>
      </c>
      <c r="G638" s="3">
        <v>380</v>
      </c>
      <c r="H638" s="3">
        <f t="shared" si="11"/>
        <v>231.8</v>
      </c>
      <c r="I638" s="3"/>
      <c r="J638" s="3">
        <v>9.19</v>
      </c>
    </row>
    <row r="639" customHeight="1" spans="1:10">
      <c r="A639" s="3">
        <v>685</v>
      </c>
      <c r="B639" s="3" t="s">
        <v>311</v>
      </c>
      <c r="C639" s="1" t="s">
        <v>177</v>
      </c>
      <c r="D639" s="3" t="s">
        <v>322</v>
      </c>
      <c r="E639" s="3" t="s">
        <v>309</v>
      </c>
      <c r="F639" s="3">
        <v>0.22</v>
      </c>
      <c r="G639" s="3">
        <v>380</v>
      </c>
      <c r="H639" s="3">
        <f t="shared" si="11"/>
        <v>83.6</v>
      </c>
      <c r="I639" s="3"/>
      <c r="J639" s="3">
        <v>9.19</v>
      </c>
    </row>
    <row r="640" customHeight="1" spans="1:10">
      <c r="A640" s="3">
        <v>686</v>
      </c>
      <c r="B640" s="3" t="s">
        <v>247</v>
      </c>
      <c r="C640" s="1" t="s">
        <v>177</v>
      </c>
      <c r="D640" s="3" t="s">
        <v>322</v>
      </c>
      <c r="E640" s="3" t="s">
        <v>309</v>
      </c>
      <c r="F640" s="3">
        <v>0.19</v>
      </c>
      <c r="G640" s="3">
        <v>380</v>
      </c>
      <c r="H640" s="3">
        <f t="shared" si="11"/>
        <v>72.2</v>
      </c>
      <c r="I640" s="3"/>
      <c r="J640" s="3">
        <v>9.19</v>
      </c>
    </row>
    <row r="641" customHeight="1" spans="1:10">
      <c r="A641" s="3">
        <v>687</v>
      </c>
      <c r="B641" s="3" t="s">
        <v>284</v>
      </c>
      <c r="C641" s="1" t="s">
        <v>177</v>
      </c>
      <c r="D641" s="3" t="s">
        <v>322</v>
      </c>
      <c r="E641" s="3" t="s">
        <v>309</v>
      </c>
      <c r="F641" s="3">
        <v>0.19</v>
      </c>
      <c r="G641" s="3">
        <v>380</v>
      </c>
      <c r="H641" s="3">
        <f t="shared" si="11"/>
        <v>72.2</v>
      </c>
      <c r="I641" s="3"/>
      <c r="J641" s="3">
        <v>9.19</v>
      </c>
    </row>
    <row r="642" customHeight="1" spans="1:10">
      <c r="A642" s="3">
        <v>688</v>
      </c>
      <c r="B642" s="3" t="s">
        <v>297</v>
      </c>
      <c r="C642" s="1" t="s">
        <v>177</v>
      </c>
      <c r="D642" s="3" t="s">
        <v>322</v>
      </c>
      <c r="E642" s="3" t="s">
        <v>309</v>
      </c>
      <c r="F642" s="3">
        <v>0.19</v>
      </c>
      <c r="G642" s="3">
        <v>380</v>
      </c>
      <c r="H642" s="3">
        <f t="shared" si="11"/>
        <v>72.2</v>
      </c>
      <c r="I642" s="3"/>
      <c r="J642" s="3">
        <v>9.19</v>
      </c>
    </row>
    <row r="643" customHeight="1" spans="1:10">
      <c r="A643" s="3">
        <v>689</v>
      </c>
      <c r="B643" s="3" t="s">
        <v>265</v>
      </c>
      <c r="C643" s="1" t="s">
        <v>177</v>
      </c>
      <c r="D643" s="3" t="s">
        <v>322</v>
      </c>
      <c r="E643" s="3" t="s">
        <v>309</v>
      </c>
      <c r="F643" s="3">
        <v>0.1</v>
      </c>
      <c r="G643" s="3">
        <v>380</v>
      </c>
      <c r="H643" s="3">
        <f t="shared" si="11"/>
        <v>38</v>
      </c>
      <c r="I643" s="3"/>
      <c r="J643" s="3">
        <v>9.19</v>
      </c>
    </row>
    <row r="644" customHeight="1" spans="1:10">
      <c r="A644" s="3">
        <v>690</v>
      </c>
      <c r="B644" s="3" t="s">
        <v>325</v>
      </c>
      <c r="C644" s="1" t="s">
        <v>177</v>
      </c>
      <c r="D644" s="3" t="s">
        <v>322</v>
      </c>
      <c r="E644" s="3" t="s">
        <v>309</v>
      </c>
      <c r="F644" s="3">
        <v>0.06</v>
      </c>
      <c r="G644" s="3">
        <v>380</v>
      </c>
      <c r="H644" s="3">
        <f t="shared" si="11"/>
        <v>22.8</v>
      </c>
      <c r="I644" s="3"/>
      <c r="J644" s="3">
        <v>9.19</v>
      </c>
    </row>
    <row r="645" customHeight="1" spans="1:10">
      <c r="A645" s="3">
        <v>691</v>
      </c>
      <c r="B645" s="3" t="s">
        <v>244</v>
      </c>
      <c r="C645" s="1" t="s">
        <v>177</v>
      </c>
      <c r="D645" s="3" t="s">
        <v>154</v>
      </c>
      <c r="E645" s="3" t="s">
        <v>309</v>
      </c>
      <c r="F645" s="3">
        <v>0.4</v>
      </c>
      <c r="G645" s="3">
        <v>380</v>
      </c>
      <c r="H645" s="3">
        <f t="shared" si="11"/>
        <v>152</v>
      </c>
      <c r="I645" s="3"/>
      <c r="J645" s="3">
        <v>9.19</v>
      </c>
    </row>
    <row r="646" customHeight="1" spans="1:10">
      <c r="A646" s="3">
        <v>692</v>
      </c>
      <c r="B646" s="3" t="s">
        <v>265</v>
      </c>
      <c r="C646" s="1" t="s">
        <v>177</v>
      </c>
      <c r="D646" s="3" t="s">
        <v>326</v>
      </c>
      <c r="E646" s="3" t="s">
        <v>309</v>
      </c>
      <c r="F646" s="3">
        <v>0.11</v>
      </c>
      <c r="G646" s="3">
        <v>380</v>
      </c>
      <c r="H646" s="3">
        <f t="shared" si="11"/>
        <v>41.8</v>
      </c>
      <c r="I646" s="3"/>
      <c r="J646" s="3">
        <v>9.19</v>
      </c>
    </row>
    <row r="647" customHeight="1" spans="1:10">
      <c r="A647" s="3">
        <v>693</v>
      </c>
      <c r="B647" s="3" t="s">
        <v>268</v>
      </c>
      <c r="C647" s="1" t="s">
        <v>177</v>
      </c>
      <c r="D647" s="3" t="s">
        <v>326</v>
      </c>
      <c r="E647" s="3" t="s">
        <v>309</v>
      </c>
      <c r="F647" s="3">
        <v>0.25</v>
      </c>
      <c r="G647" s="3">
        <v>380</v>
      </c>
      <c r="H647" s="3">
        <f t="shared" si="11"/>
        <v>95</v>
      </c>
      <c r="I647" s="3"/>
      <c r="J647" s="3">
        <v>9.19</v>
      </c>
    </row>
    <row r="648" customHeight="1" spans="1:10">
      <c r="A648" s="3">
        <v>694</v>
      </c>
      <c r="B648" s="3" t="s">
        <v>289</v>
      </c>
      <c r="C648" s="1" t="s">
        <v>177</v>
      </c>
      <c r="D648" s="3" t="s">
        <v>226</v>
      </c>
      <c r="E648" s="3" t="s">
        <v>22</v>
      </c>
      <c r="F648" s="3">
        <v>0.71</v>
      </c>
      <c r="G648" s="3">
        <v>480</v>
      </c>
      <c r="H648" s="3">
        <f t="shared" ref="H648:H711" si="12">G648*F648</f>
        <v>340.8</v>
      </c>
      <c r="I648" s="3"/>
      <c r="J648" s="3">
        <v>9.19</v>
      </c>
    </row>
    <row r="649" customHeight="1" spans="1:10">
      <c r="A649" s="3">
        <v>695</v>
      </c>
      <c r="B649" s="3" t="s">
        <v>311</v>
      </c>
      <c r="C649" s="1" t="s">
        <v>177</v>
      </c>
      <c r="D649" s="3" t="s">
        <v>307</v>
      </c>
      <c r="E649" s="3" t="s">
        <v>22</v>
      </c>
      <c r="F649" s="3">
        <v>0.29</v>
      </c>
      <c r="G649" s="3">
        <v>480</v>
      </c>
      <c r="H649" s="3">
        <f t="shared" si="12"/>
        <v>139.2</v>
      </c>
      <c r="I649" s="3"/>
      <c r="J649" s="3">
        <v>9.19</v>
      </c>
    </row>
    <row r="650" customHeight="1" spans="1:10">
      <c r="A650" s="3">
        <v>696</v>
      </c>
      <c r="B650" s="3" t="s">
        <v>264</v>
      </c>
      <c r="C650" s="1" t="s">
        <v>177</v>
      </c>
      <c r="D650" s="3" t="s">
        <v>307</v>
      </c>
      <c r="E650" s="3" t="s">
        <v>22</v>
      </c>
      <c r="F650" s="3">
        <v>0.29</v>
      </c>
      <c r="G650" s="3">
        <v>480</v>
      </c>
      <c r="H650" s="3">
        <f t="shared" si="12"/>
        <v>139.2</v>
      </c>
      <c r="I650" s="3"/>
      <c r="J650" s="3">
        <v>9.19</v>
      </c>
    </row>
    <row r="651" customHeight="1" spans="1:10">
      <c r="A651" s="3">
        <v>697</v>
      </c>
      <c r="B651" s="3" t="s">
        <v>252</v>
      </c>
      <c r="C651" s="1" t="s">
        <v>177</v>
      </c>
      <c r="D651" s="3" t="s">
        <v>327</v>
      </c>
      <c r="E651" s="3" t="s">
        <v>309</v>
      </c>
      <c r="F651" s="3">
        <v>1.13</v>
      </c>
      <c r="G651" s="3">
        <v>380</v>
      </c>
      <c r="H651" s="3">
        <f t="shared" si="12"/>
        <v>429.4</v>
      </c>
      <c r="I651" s="3"/>
      <c r="J651" s="3">
        <v>9.19</v>
      </c>
    </row>
    <row r="652" customHeight="1" spans="1:10">
      <c r="A652" s="3">
        <v>698</v>
      </c>
      <c r="B652" s="3" t="s">
        <v>268</v>
      </c>
      <c r="C652" s="1" t="s">
        <v>177</v>
      </c>
      <c r="D652" s="3" t="s">
        <v>327</v>
      </c>
      <c r="E652" s="3" t="s">
        <v>309</v>
      </c>
      <c r="F652" s="3">
        <v>1.03</v>
      </c>
      <c r="G652" s="3">
        <v>380</v>
      </c>
      <c r="H652" s="3">
        <f t="shared" si="12"/>
        <v>391.4</v>
      </c>
      <c r="I652" s="3"/>
      <c r="J652" s="3">
        <v>9.19</v>
      </c>
    </row>
    <row r="653" customHeight="1" spans="1:10">
      <c r="A653" s="3">
        <v>699</v>
      </c>
      <c r="B653" s="3" t="s">
        <v>244</v>
      </c>
      <c r="C653" s="1" t="s">
        <v>177</v>
      </c>
      <c r="D653" s="3" t="s">
        <v>328</v>
      </c>
      <c r="E653" s="3" t="s">
        <v>309</v>
      </c>
      <c r="F653" s="3">
        <v>0.09</v>
      </c>
      <c r="G653" s="3">
        <v>380</v>
      </c>
      <c r="H653" s="3">
        <f t="shared" si="12"/>
        <v>34.2</v>
      </c>
      <c r="I653" s="3"/>
      <c r="J653" s="3">
        <v>9.19</v>
      </c>
    </row>
    <row r="654" customHeight="1" spans="1:10">
      <c r="A654" s="3">
        <v>700</v>
      </c>
      <c r="B654" s="3" t="s">
        <v>269</v>
      </c>
      <c r="C654" s="1" t="s">
        <v>177</v>
      </c>
      <c r="D654" s="3" t="s">
        <v>328</v>
      </c>
      <c r="E654" s="3" t="s">
        <v>309</v>
      </c>
      <c r="F654" s="3">
        <v>0.34</v>
      </c>
      <c r="G654" s="3">
        <v>380</v>
      </c>
      <c r="H654" s="3">
        <f t="shared" si="12"/>
        <v>129.2</v>
      </c>
      <c r="I654" s="3"/>
      <c r="J654" s="3">
        <v>9.19</v>
      </c>
    </row>
    <row r="655" customHeight="1" spans="1:10">
      <c r="A655" s="3">
        <v>701</v>
      </c>
      <c r="B655" s="3" t="s">
        <v>266</v>
      </c>
      <c r="C655" s="1" t="s">
        <v>177</v>
      </c>
      <c r="D655" s="3" t="s">
        <v>328</v>
      </c>
      <c r="E655" s="3" t="s">
        <v>309</v>
      </c>
      <c r="F655" s="3">
        <v>0.65</v>
      </c>
      <c r="G655" s="3">
        <v>380</v>
      </c>
      <c r="H655" s="3">
        <f t="shared" si="12"/>
        <v>247</v>
      </c>
      <c r="I655" s="3"/>
      <c r="J655" s="3">
        <v>9.19</v>
      </c>
    </row>
    <row r="656" customHeight="1" spans="1:10">
      <c r="A656" s="3">
        <v>702</v>
      </c>
      <c r="B656" s="3" t="s">
        <v>244</v>
      </c>
      <c r="C656" s="1" t="s">
        <v>177</v>
      </c>
      <c r="D656" s="3" t="s">
        <v>328</v>
      </c>
      <c r="E656" s="3" t="s">
        <v>309</v>
      </c>
      <c r="F656" s="3">
        <v>0.1</v>
      </c>
      <c r="G656" s="3">
        <v>380</v>
      </c>
      <c r="H656" s="3">
        <f t="shared" si="12"/>
        <v>38</v>
      </c>
      <c r="I656" s="3"/>
      <c r="J656" s="3">
        <v>9.19</v>
      </c>
    </row>
    <row r="657" customHeight="1" spans="1:10">
      <c r="A657" s="3">
        <v>703</v>
      </c>
      <c r="B657" s="3" t="s">
        <v>269</v>
      </c>
      <c r="C657" s="1" t="s">
        <v>177</v>
      </c>
      <c r="D657" s="3" t="s">
        <v>329</v>
      </c>
      <c r="E657" s="3" t="s">
        <v>309</v>
      </c>
      <c r="F657" s="3">
        <v>0.04</v>
      </c>
      <c r="G657" s="3">
        <v>380</v>
      </c>
      <c r="H657" s="3">
        <f t="shared" si="12"/>
        <v>15.2</v>
      </c>
      <c r="I657" s="3"/>
      <c r="J657" s="3">
        <v>9.19</v>
      </c>
    </row>
    <row r="658" customHeight="1" spans="1:10">
      <c r="A658" s="3">
        <v>704</v>
      </c>
      <c r="B658" s="3" t="s">
        <v>262</v>
      </c>
      <c r="C658" s="1" t="s">
        <v>177</v>
      </c>
      <c r="D658" s="3" t="s">
        <v>329</v>
      </c>
      <c r="E658" s="3" t="s">
        <v>309</v>
      </c>
      <c r="F658" s="3">
        <v>0.09</v>
      </c>
      <c r="G658" s="3">
        <v>380</v>
      </c>
      <c r="H658" s="3">
        <f t="shared" si="12"/>
        <v>34.2</v>
      </c>
      <c r="I658" s="3"/>
      <c r="J658" s="3">
        <v>9.19</v>
      </c>
    </row>
    <row r="659" customHeight="1" spans="1:10">
      <c r="A659" s="3">
        <v>705</v>
      </c>
      <c r="B659" s="3" t="s">
        <v>252</v>
      </c>
      <c r="C659" s="1" t="s">
        <v>177</v>
      </c>
      <c r="D659" s="3" t="s">
        <v>329</v>
      </c>
      <c r="E659" s="3" t="s">
        <v>309</v>
      </c>
      <c r="F659" s="3">
        <v>0.4</v>
      </c>
      <c r="G659" s="3">
        <v>380</v>
      </c>
      <c r="H659" s="3">
        <f t="shared" si="12"/>
        <v>152</v>
      </c>
      <c r="I659" s="3"/>
      <c r="J659" s="3">
        <v>9.19</v>
      </c>
    </row>
    <row r="660" customHeight="1" spans="1:10">
      <c r="A660" s="3">
        <v>706</v>
      </c>
      <c r="B660" s="3" t="s">
        <v>265</v>
      </c>
      <c r="C660" s="1" t="s">
        <v>177</v>
      </c>
      <c r="D660" s="3" t="s">
        <v>329</v>
      </c>
      <c r="E660" s="3" t="s">
        <v>309</v>
      </c>
      <c r="F660" s="3">
        <v>0.25</v>
      </c>
      <c r="G660" s="3">
        <v>380</v>
      </c>
      <c r="H660" s="3">
        <f t="shared" si="12"/>
        <v>95</v>
      </c>
      <c r="I660" s="3"/>
      <c r="J660" s="3">
        <v>9.19</v>
      </c>
    </row>
    <row r="661" customHeight="1" spans="1:10">
      <c r="A661" s="3">
        <v>707</v>
      </c>
      <c r="B661" s="3" t="s">
        <v>265</v>
      </c>
      <c r="C661" s="1" t="s">
        <v>177</v>
      </c>
      <c r="D661" s="3" t="s">
        <v>330</v>
      </c>
      <c r="E661" s="3" t="s">
        <v>309</v>
      </c>
      <c r="F661" s="3">
        <v>0.72</v>
      </c>
      <c r="G661" s="3">
        <v>380</v>
      </c>
      <c r="H661" s="3">
        <f t="shared" si="12"/>
        <v>273.6</v>
      </c>
      <c r="I661" s="3"/>
      <c r="J661" s="3">
        <v>9.19</v>
      </c>
    </row>
    <row r="662" customHeight="1" spans="1:10">
      <c r="A662" s="3">
        <v>708</v>
      </c>
      <c r="B662" s="3" t="s">
        <v>269</v>
      </c>
      <c r="C662" s="1" t="s">
        <v>177</v>
      </c>
      <c r="D662" s="3" t="s">
        <v>330</v>
      </c>
      <c r="E662" s="3" t="s">
        <v>309</v>
      </c>
      <c r="F662" s="3">
        <v>0.83</v>
      </c>
      <c r="G662" s="3">
        <v>380</v>
      </c>
      <c r="H662" s="3">
        <f t="shared" si="12"/>
        <v>315.4</v>
      </c>
      <c r="I662" s="3"/>
      <c r="J662" s="3">
        <v>9.19</v>
      </c>
    </row>
    <row r="663" customHeight="1" spans="1:10">
      <c r="A663" s="3">
        <v>709</v>
      </c>
      <c r="B663" s="3" t="s">
        <v>325</v>
      </c>
      <c r="C663" s="1" t="s">
        <v>177</v>
      </c>
      <c r="D663" s="3" t="s">
        <v>204</v>
      </c>
      <c r="E663" s="3" t="s">
        <v>22</v>
      </c>
      <c r="F663" s="3">
        <v>24</v>
      </c>
      <c r="G663" s="3">
        <v>480</v>
      </c>
      <c r="H663" s="3">
        <f t="shared" si="12"/>
        <v>11520</v>
      </c>
      <c r="I663" s="3"/>
      <c r="J663" s="3">
        <v>9.19</v>
      </c>
    </row>
    <row r="664" customHeight="1" spans="1:10">
      <c r="A664" s="3">
        <v>710</v>
      </c>
      <c r="B664" s="3" t="s">
        <v>293</v>
      </c>
      <c r="C664" s="1" t="s">
        <v>177</v>
      </c>
      <c r="D664" s="3" t="s">
        <v>204</v>
      </c>
      <c r="E664" s="3" t="s">
        <v>22</v>
      </c>
      <c r="F664" s="3">
        <v>0.32</v>
      </c>
      <c r="G664" s="3">
        <v>480</v>
      </c>
      <c r="H664" s="3">
        <f t="shared" si="12"/>
        <v>153.6</v>
      </c>
      <c r="I664" s="3"/>
      <c r="J664" s="3">
        <v>9.19</v>
      </c>
    </row>
    <row r="665" customHeight="1" spans="1:10">
      <c r="A665" s="3">
        <v>711</v>
      </c>
      <c r="B665" s="3" t="s">
        <v>262</v>
      </c>
      <c r="C665" s="1" t="s">
        <v>177</v>
      </c>
      <c r="D665" s="3" t="s">
        <v>204</v>
      </c>
      <c r="E665" s="3" t="s">
        <v>22</v>
      </c>
      <c r="F665" s="3">
        <v>0.34</v>
      </c>
      <c r="G665" s="3">
        <v>480</v>
      </c>
      <c r="H665" s="3">
        <f t="shared" si="12"/>
        <v>163.2</v>
      </c>
      <c r="I665" s="3"/>
      <c r="J665" s="3">
        <v>9.19</v>
      </c>
    </row>
    <row r="666" customHeight="1" spans="1:10">
      <c r="A666" s="3">
        <v>712</v>
      </c>
      <c r="B666" s="3" t="s">
        <v>269</v>
      </c>
      <c r="C666" s="1" t="s">
        <v>177</v>
      </c>
      <c r="D666" s="3" t="s">
        <v>204</v>
      </c>
      <c r="E666" s="3" t="s">
        <v>22</v>
      </c>
      <c r="F666" s="3">
        <v>0.55</v>
      </c>
      <c r="G666" s="3">
        <v>480</v>
      </c>
      <c r="H666" s="3">
        <f t="shared" si="12"/>
        <v>264</v>
      </c>
      <c r="I666" s="3"/>
      <c r="J666" s="3">
        <v>9.19</v>
      </c>
    </row>
    <row r="667" customHeight="1" spans="1:10">
      <c r="A667" s="3">
        <v>713</v>
      </c>
      <c r="B667" s="3" t="s">
        <v>255</v>
      </c>
      <c r="C667" s="1" t="s">
        <v>177</v>
      </c>
      <c r="D667" s="3" t="s">
        <v>204</v>
      </c>
      <c r="E667" s="3" t="s">
        <v>22</v>
      </c>
      <c r="F667" s="3">
        <v>0.26</v>
      </c>
      <c r="G667" s="3">
        <v>480</v>
      </c>
      <c r="H667" s="3">
        <f t="shared" si="12"/>
        <v>124.8</v>
      </c>
      <c r="I667" s="3"/>
      <c r="J667" s="3">
        <v>9.19</v>
      </c>
    </row>
    <row r="668" customHeight="1" spans="1:10">
      <c r="A668" s="3">
        <v>714</v>
      </c>
      <c r="B668" s="3" t="s">
        <v>279</v>
      </c>
      <c r="C668" s="1" t="s">
        <v>177</v>
      </c>
      <c r="D668" s="3" t="s">
        <v>204</v>
      </c>
      <c r="E668" s="3" t="s">
        <v>22</v>
      </c>
      <c r="F668" s="3"/>
      <c r="G668" s="3">
        <v>480</v>
      </c>
      <c r="H668" s="3">
        <f t="shared" si="12"/>
        <v>0</v>
      </c>
      <c r="I668" s="3"/>
      <c r="J668" s="3">
        <v>9.19</v>
      </c>
    </row>
    <row r="669" customHeight="1" spans="1:10">
      <c r="A669" s="3">
        <v>715</v>
      </c>
      <c r="B669" s="3" t="s">
        <v>244</v>
      </c>
      <c r="C669" s="1" t="s">
        <v>177</v>
      </c>
      <c r="D669" s="3" t="s">
        <v>331</v>
      </c>
      <c r="E669" s="3" t="s">
        <v>22</v>
      </c>
      <c r="F669" s="3">
        <v>0.25</v>
      </c>
      <c r="G669" s="3">
        <v>480</v>
      </c>
      <c r="H669" s="3">
        <f t="shared" si="12"/>
        <v>120</v>
      </c>
      <c r="I669" s="3"/>
      <c r="J669" s="3">
        <v>9.19</v>
      </c>
    </row>
    <row r="670" customHeight="1" spans="1:10">
      <c r="A670" s="3">
        <v>716</v>
      </c>
      <c r="B670" s="3" t="s">
        <v>244</v>
      </c>
      <c r="C670" s="1" t="s">
        <v>177</v>
      </c>
      <c r="D670" s="3" t="s">
        <v>331</v>
      </c>
      <c r="E670" s="3" t="s">
        <v>22</v>
      </c>
      <c r="F670" s="3">
        <v>0.41</v>
      </c>
      <c r="G670" s="3">
        <v>480</v>
      </c>
      <c r="H670" s="3">
        <f t="shared" si="12"/>
        <v>196.8</v>
      </c>
      <c r="I670" s="3"/>
      <c r="J670" s="3">
        <v>9.19</v>
      </c>
    </row>
    <row r="671" customHeight="1" spans="1:10">
      <c r="A671" s="3">
        <v>717</v>
      </c>
      <c r="B671" s="3" t="s">
        <v>332</v>
      </c>
      <c r="C671" s="1" t="s">
        <v>177</v>
      </c>
      <c r="D671" s="3" t="s">
        <v>331</v>
      </c>
      <c r="E671" s="3" t="s">
        <v>22</v>
      </c>
      <c r="F671" s="3">
        <v>0.7</v>
      </c>
      <c r="G671" s="3">
        <v>480</v>
      </c>
      <c r="H671" s="3">
        <f t="shared" si="12"/>
        <v>336</v>
      </c>
      <c r="I671" s="3"/>
      <c r="J671" s="3">
        <v>9.19</v>
      </c>
    </row>
    <row r="672" customHeight="1" spans="1:10">
      <c r="A672" s="3">
        <v>718</v>
      </c>
      <c r="B672" s="3" t="s">
        <v>245</v>
      </c>
      <c r="C672" s="1" t="s">
        <v>177</v>
      </c>
      <c r="D672" s="3" t="s">
        <v>246</v>
      </c>
      <c r="E672" s="3" t="s">
        <v>22</v>
      </c>
      <c r="F672" s="3">
        <v>0.49</v>
      </c>
      <c r="G672" s="3">
        <v>480</v>
      </c>
      <c r="H672" s="3">
        <f t="shared" si="12"/>
        <v>235.2</v>
      </c>
      <c r="I672" s="3"/>
      <c r="J672" s="3">
        <v>9.19</v>
      </c>
    </row>
    <row r="673" customHeight="1" spans="1:10">
      <c r="A673" s="3">
        <v>719</v>
      </c>
      <c r="B673" s="3" t="s">
        <v>280</v>
      </c>
      <c r="C673" s="1" t="s">
        <v>177</v>
      </c>
      <c r="D673" s="3" t="s">
        <v>246</v>
      </c>
      <c r="E673" s="3" t="s">
        <v>22</v>
      </c>
      <c r="F673" s="3">
        <v>0.2</v>
      </c>
      <c r="G673" s="3">
        <v>480</v>
      </c>
      <c r="H673" s="3">
        <f t="shared" si="12"/>
        <v>96</v>
      </c>
      <c r="I673" s="3"/>
      <c r="J673" s="3">
        <v>9.19</v>
      </c>
    </row>
    <row r="674" customHeight="1" spans="1:10">
      <c r="A674" s="3">
        <v>720</v>
      </c>
      <c r="B674" s="3" t="s">
        <v>270</v>
      </c>
      <c r="C674" s="1" t="s">
        <v>177</v>
      </c>
      <c r="D674" s="3" t="s">
        <v>246</v>
      </c>
      <c r="E674" s="3" t="s">
        <v>22</v>
      </c>
      <c r="F674" s="3">
        <v>0.43</v>
      </c>
      <c r="G674" s="3">
        <v>480</v>
      </c>
      <c r="H674" s="3">
        <f t="shared" si="12"/>
        <v>206.4</v>
      </c>
      <c r="I674" s="3"/>
      <c r="J674" s="3">
        <v>9.19</v>
      </c>
    </row>
    <row r="675" customHeight="1" spans="1:10">
      <c r="A675" s="3">
        <v>721</v>
      </c>
      <c r="B675" s="3" t="s">
        <v>252</v>
      </c>
      <c r="C675" s="1" t="s">
        <v>177</v>
      </c>
      <c r="D675" s="3" t="s">
        <v>246</v>
      </c>
      <c r="E675" s="3" t="s">
        <v>22</v>
      </c>
      <c r="F675" s="3">
        <v>0.47</v>
      </c>
      <c r="G675" s="3">
        <v>480</v>
      </c>
      <c r="H675" s="3">
        <f t="shared" si="12"/>
        <v>225.6</v>
      </c>
      <c r="I675" s="3"/>
      <c r="J675" s="3">
        <v>9.19</v>
      </c>
    </row>
    <row r="676" customHeight="1" spans="1:10">
      <c r="A676" s="3">
        <v>722</v>
      </c>
      <c r="B676" s="3" t="s">
        <v>257</v>
      </c>
      <c r="C676" s="1" t="s">
        <v>177</v>
      </c>
      <c r="D676" s="3" t="s">
        <v>333</v>
      </c>
      <c r="E676" s="3" t="s">
        <v>22</v>
      </c>
      <c r="F676" s="3">
        <v>0.2</v>
      </c>
      <c r="G676" s="3">
        <v>480</v>
      </c>
      <c r="H676" s="3">
        <f t="shared" si="12"/>
        <v>96</v>
      </c>
      <c r="I676" s="3"/>
      <c r="J676" s="3">
        <v>9.19</v>
      </c>
    </row>
    <row r="677" customHeight="1" spans="1:10">
      <c r="A677" s="3">
        <v>723</v>
      </c>
      <c r="B677" s="3" t="s">
        <v>266</v>
      </c>
      <c r="C677" s="1" t="s">
        <v>177</v>
      </c>
      <c r="D677" s="3" t="s">
        <v>333</v>
      </c>
      <c r="E677" s="3" t="s">
        <v>22</v>
      </c>
      <c r="F677" s="3">
        <v>0.46</v>
      </c>
      <c r="G677" s="3">
        <v>480</v>
      </c>
      <c r="H677" s="3">
        <f t="shared" si="12"/>
        <v>220.8</v>
      </c>
      <c r="I677" s="3"/>
      <c r="J677" s="3">
        <v>9.19</v>
      </c>
    </row>
    <row r="678" customHeight="1" spans="1:10">
      <c r="A678" s="3">
        <v>724</v>
      </c>
      <c r="B678" s="3" t="s">
        <v>334</v>
      </c>
      <c r="C678" s="1" t="s">
        <v>177</v>
      </c>
      <c r="D678" s="3" t="s">
        <v>335</v>
      </c>
      <c r="E678" s="3" t="s">
        <v>22</v>
      </c>
      <c r="F678" s="3">
        <v>1.1</v>
      </c>
      <c r="G678" s="3">
        <v>480</v>
      </c>
      <c r="H678" s="3">
        <f t="shared" si="12"/>
        <v>528</v>
      </c>
      <c r="I678" s="3"/>
      <c r="J678" s="3">
        <v>9.19</v>
      </c>
    </row>
    <row r="679" customHeight="1" spans="1:10">
      <c r="A679" s="3">
        <v>725</v>
      </c>
      <c r="B679" s="3" t="s">
        <v>262</v>
      </c>
      <c r="C679" s="1" t="s">
        <v>177</v>
      </c>
      <c r="D679" s="3" t="s">
        <v>336</v>
      </c>
      <c r="E679" s="3" t="s">
        <v>13</v>
      </c>
      <c r="F679" s="3">
        <v>0.14</v>
      </c>
      <c r="G679" s="3">
        <v>380</v>
      </c>
      <c r="H679" s="3">
        <f t="shared" si="12"/>
        <v>53.2</v>
      </c>
      <c r="I679" s="3"/>
      <c r="J679" s="3">
        <v>9.19</v>
      </c>
    </row>
    <row r="680" customHeight="1" spans="1:10">
      <c r="A680" s="3">
        <v>726</v>
      </c>
      <c r="B680" s="3" t="s">
        <v>337</v>
      </c>
      <c r="C680" s="1" t="s">
        <v>177</v>
      </c>
      <c r="D680" s="3" t="s">
        <v>301</v>
      </c>
      <c r="E680" s="3" t="s">
        <v>22</v>
      </c>
      <c r="F680" s="3">
        <v>0.57</v>
      </c>
      <c r="G680" s="3">
        <v>480</v>
      </c>
      <c r="H680" s="3">
        <f t="shared" si="12"/>
        <v>273.6</v>
      </c>
      <c r="I680" s="3"/>
      <c r="J680" s="3">
        <v>9.19</v>
      </c>
    </row>
    <row r="681" customHeight="1" spans="1:10">
      <c r="A681" s="3">
        <v>727</v>
      </c>
      <c r="B681" s="3" t="s">
        <v>255</v>
      </c>
      <c r="C681" s="1" t="s">
        <v>177</v>
      </c>
      <c r="D681" s="3" t="s">
        <v>333</v>
      </c>
      <c r="E681" s="3" t="s">
        <v>22</v>
      </c>
      <c r="F681" s="3">
        <v>0.18</v>
      </c>
      <c r="G681" s="3">
        <v>480</v>
      </c>
      <c r="H681" s="3">
        <f t="shared" si="12"/>
        <v>86.4</v>
      </c>
      <c r="I681" s="3"/>
      <c r="J681" s="3">
        <v>9.19</v>
      </c>
    </row>
    <row r="682" customHeight="1" spans="1:10">
      <c r="A682" s="3">
        <v>728</v>
      </c>
      <c r="B682" s="3" t="s">
        <v>284</v>
      </c>
      <c r="C682" s="1" t="s">
        <v>177</v>
      </c>
      <c r="D682" s="3" t="s">
        <v>333</v>
      </c>
      <c r="E682" s="3" t="s">
        <v>22</v>
      </c>
      <c r="F682" s="3">
        <v>0.75</v>
      </c>
      <c r="G682" s="3">
        <v>480</v>
      </c>
      <c r="H682" s="3">
        <f t="shared" si="12"/>
        <v>360</v>
      </c>
      <c r="I682" s="3"/>
      <c r="J682" s="3">
        <v>9.19</v>
      </c>
    </row>
    <row r="683" customHeight="1" spans="1:10">
      <c r="A683" s="3">
        <v>729</v>
      </c>
      <c r="B683" s="3" t="s">
        <v>262</v>
      </c>
      <c r="C683" s="1" t="s">
        <v>177</v>
      </c>
      <c r="D683" s="3" t="s">
        <v>326</v>
      </c>
      <c r="E683" s="3" t="s">
        <v>13</v>
      </c>
      <c r="F683" s="3">
        <v>0.25</v>
      </c>
      <c r="G683" s="3">
        <v>380</v>
      </c>
      <c r="H683" s="3">
        <f t="shared" si="12"/>
        <v>95</v>
      </c>
      <c r="I683" s="3"/>
      <c r="J683" s="3">
        <v>9.19</v>
      </c>
    </row>
    <row r="684" customHeight="1" spans="1:10">
      <c r="A684" s="3">
        <v>730</v>
      </c>
      <c r="B684" s="3" t="s">
        <v>264</v>
      </c>
      <c r="C684" s="1" t="s">
        <v>177</v>
      </c>
      <c r="D684" s="3" t="s">
        <v>326</v>
      </c>
      <c r="E684" s="3" t="s">
        <v>13</v>
      </c>
      <c r="F684" s="3">
        <v>0.15</v>
      </c>
      <c r="G684" s="3">
        <v>380</v>
      </c>
      <c r="H684" s="3">
        <f t="shared" si="12"/>
        <v>57</v>
      </c>
      <c r="I684" s="3"/>
      <c r="J684" s="3">
        <v>9.19</v>
      </c>
    </row>
    <row r="685" customHeight="1" spans="1:10">
      <c r="A685" s="3">
        <v>731</v>
      </c>
      <c r="B685" s="3" t="s">
        <v>252</v>
      </c>
      <c r="C685" s="1" t="s">
        <v>177</v>
      </c>
      <c r="D685" s="3" t="s">
        <v>154</v>
      </c>
      <c r="E685" s="3" t="s">
        <v>13</v>
      </c>
      <c r="F685" s="3">
        <v>0.58</v>
      </c>
      <c r="G685" s="3">
        <v>380</v>
      </c>
      <c r="H685" s="3">
        <f t="shared" si="12"/>
        <v>220.4</v>
      </c>
      <c r="I685" s="3"/>
      <c r="J685" s="3">
        <v>9.19</v>
      </c>
    </row>
    <row r="686" customHeight="1" spans="1:10">
      <c r="A686" s="3">
        <v>732</v>
      </c>
      <c r="B686" s="3" t="s">
        <v>303</v>
      </c>
      <c r="C686" s="1" t="s">
        <v>177</v>
      </c>
      <c r="D686" s="3" t="s">
        <v>154</v>
      </c>
      <c r="E686" s="3" t="s">
        <v>13</v>
      </c>
      <c r="F686" s="3">
        <v>1.47</v>
      </c>
      <c r="G686" s="3">
        <v>380</v>
      </c>
      <c r="H686" s="3">
        <f t="shared" si="12"/>
        <v>558.6</v>
      </c>
      <c r="I686" s="3"/>
      <c r="J686" s="3">
        <v>9.19</v>
      </c>
    </row>
    <row r="687" customHeight="1" spans="1:10">
      <c r="A687" s="3">
        <v>733</v>
      </c>
      <c r="B687" s="3" t="s">
        <v>289</v>
      </c>
      <c r="C687" s="1" t="s">
        <v>177</v>
      </c>
      <c r="D687" s="3" t="s">
        <v>338</v>
      </c>
      <c r="E687" s="3" t="s">
        <v>22</v>
      </c>
      <c r="F687" s="3">
        <v>0.28</v>
      </c>
      <c r="G687" s="3">
        <v>480</v>
      </c>
      <c r="H687" s="3">
        <f t="shared" si="12"/>
        <v>134.4</v>
      </c>
      <c r="I687" s="3"/>
      <c r="J687" s="3">
        <v>9.19</v>
      </c>
    </row>
    <row r="688" customHeight="1" spans="1:10">
      <c r="A688" s="3">
        <v>734</v>
      </c>
      <c r="B688" s="3" t="s">
        <v>274</v>
      </c>
      <c r="C688" s="1" t="s">
        <v>177</v>
      </c>
      <c r="D688" s="3" t="s">
        <v>338</v>
      </c>
      <c r="E688" s="3" t="s">
        <v>22</v>
      </c>
      <c r="F688" s="3">
        <v>0.38</v>
      </c>
      <c r="G688" s="3">
        <v>480</v>
      </c>
      <c r="H688" s="3">
        <f t="shared" si="12"/>
        <v>182.4</v>
      </c>
      <c r="I688" s="3"/>
      <c r="J688" s="3">
        <v>9.19</v>
      </c>
    </row>
    <row r="689" customHeight="1" spans="1:10">
      <c r="A689" s="3">
        <v>735</v>
      </c>
      <c r="B689" s="3" t="s">
        <v>268</v>
      </c>
      <c r="C689" s="1" t="s">
        <v>177</v>
      </c>
      <c r="D689" s="3" t="s">
        <v>338</v>
      </c>
      <c r="E689" s="3" t="s">
        <v>22</v>
      </c>
      <c r="F689" s="3">
        <v>0.28</v>
      </c>
      <c r="G689" s="3">
        <v>480</v>
      </c>
      <c r="H689" s="3">
        <f t="shared" si="12"/>
        <v>134.4</v>
      </c>
      <c r="I689" s="3"/>
      <c r="J689" s="3">
        <v>9.19</v>
      </c>
    </row>
    <row r="690" customHeight="1" spans="1:10">
      <c r="A690" s="3">
        <v>736</v>
      </c>
      <c r="B690" s="3" t="s">
        <v>242</v>
      </c>
      <c r="C690" s="1" t="s">
        <v>177</v>
      </c>
      <c r="D690" s="3" t="s">
        <v>338</v>
      </c>
      <c r="E690" s="3" t="s">
        <v>22</v>
      </c>
      <c r="F690" s="3">
        <v>0.16</v>
      </c>
      <c r="G690" s="3">
        <v>480</v>
      </c>
      <c r="H690" s="3">
        <f t="shared" si="12"/>
        <v>76.8</v>
      </c>
      <c r="I690" s="3"/>
      <c r="J690" s="3">
        <v>9.19</v>
      </c>
    </row>
    <row r="691" customHeight="1" spans="1:10">
      <c r="A691" s="3">
        <v>737</v>
      </c>
      <c r="B691" s="3" t="s">
        <v>252</v>
      </c>
      <c r="C691" s="1" t="s">
        <v>177</v>
      </c>
      <c r="D691" s="3" t="s">
        <v>338</v>
      </c>
      <c r="E691" s="3" t="s">
        <v>22</v>
      </c>
      <c r="F691" s="3">
        <v>0.39</v>
      </c>
      <c r="G691" s="3">
        <v>480</v>
      </c>
      <c r="H691" s="3">
        <f t="shared" si="12"/>
        <v>187.2</v>
      </c>
      <c r="I691" s="3"/>
      <c r="J691" s="3">
        <v>9.19</v>
      </c>
    </row>
    <row r="692" customHeight="1" spans="1:10">
      <c r="A692" s="3">
        <v>738</v>
      </c>
      <c r="B692" s="3" t="s">
        <v>294</v>
      </c>
      <c r="C692" s="1" t="s">
        <v>177</v>
      </c>
      <c r="D692" s="3" t="s">
        <v>338</v>
      </c>
      <c r="E692" s="3" t="s">
        <v>22</v>
      </c>
      <c r="F692" s="3">
        <v>0.2</v>
      </c>
      <c r="G692" s="3">
        <v>480</v>
      </c>
      <c r="H692" s="3">
        <f t="shared" si="12"/>
        <v>96</v>
      </c>
      <c r="I692" s="3"/>
      <c r="J692" s="3">
        <v>9.19</v>
      </c>
    </row>
    <row r="693" customHeight="1" spans="1:10">
      <c r="A693" s="3">
        <v>739</v>
      </c>
      <c r="B693" s="3" t="s">
        <v>297</v>
      </c>
      <c r="C693" s="1" t="s">
        <v>177</v>
      </c>
      <c r="D693" s="3" t="s">
        <v>338</v>
      </c>
      <c r="E693" s="3" t="s">
        <v>22</v>
      </c>
      <c r="F693" s="3">
        <v>0.24</v>
      </c>
      <c r="G693" s="3">
        <v>480</v>
      </c>
      <c r="H693" s="3">
        <f t="shared" si="12"/>
        <v>115.2</v>
      </c>
      <c r="I693" s="3"/>
      <c r="J693" s="3">
        <v>9.19</v>
      </c>
    </row>
    <row r="694" customHeight="1" spans="1:10">
      <c r="A694" s="3">
        <v>740</v>
      </c>
      <c r="B694" s="3" t="s">
        <v>268</v>
      </c>
      <c r="C694" s="1" t="s">
        <v>177</v>
      </c>
      <c r="D694" s="3" t="s">
        <v>328</v>
      </c>
      <c r="E694" s="3" t="s">
        <v>13</v>
      </c>
      <c r="F694" s="3">
        <v>0.23</v>
      </c>
      <c r="G694" s="3">
        <v>380</v>
      </c>
      <c r="H694" s="3">
        <f t="shared" si="12"/>
        <v>87.4</v>
      </c>
      <c r="I694" s="3"/>
      <c r="J694" s="3">
        <v>9.19</v>
      </c>
    </row>
    <row r="695" customHeight="1" spans="1:10">
      <c r="A695" s="3">
        <v>741</v>
      </c>
      <c r="B695" s="3" t="s">
        <v>270</v>
      </c>
      <c r="C695" s="1" t="s">
        <v>177</v>
      </c>
      <c r="D695" s="3" t="s">
        <v>339</v>
      </c>
      <c r="E695" s="3" t="s">
        <v>13</v>
      </c>
      <c r="F695" s="3">
        <v>0.22</v>
      </c>
      <c r="G695" s="3">
        <v>380</v>
      </c>
      <c r="H695" s="3">
        <f t="shared" si="12"/>
        <v>83.6</v>
      </c>
      <c r="I695" s="3"/>
      <c r="J695" s="3">
        <v>9.19</v>
      </c>
    </row>
    <row r="696" customHeight="1" spans="1:10">
      <c r="A696" s="3">
        <v>742</v>
      </c>
      <c r="B696" s="3" t="s">
        <v>268</v>
      </c>
      <c r="C696" s="1" t="s">
        <v>177</v>
      </c>
      <c r="D696" s="3" t="s">
        <v>339</v>
      </c>
      <c r="E696" s="3" t="s">
        <v>13</v>
      </c>
      <c r="F696" s="3">
        <v>0.23</v>
      </c>
      <c r="G696" s="3">
        <v>380</v>
      </c>
      <c r="H696" s="3">
        <f t="shared" si="12"/>
        <v>87.4</v>
      </c>
      <c r="I696" s="3"/>
      <c r="J696" s="3">
        <v>9.19</v>
      </c>
    </row>
    <row r="697" customHeight="1" spans="1:10">
      <c r="A697" s="3">
        <v>743</v>
      </c>
      <c r="B697" s="3" t="s">
        <v>265</v>
      </c>
      <c r="C697" s="1" t="s">
        <v>177</v>
      </c>
      <c r="D697" s="3" t="s">
        <v>339</v>
      </c>
      <c r="E697" s="3" t="s">
        <v>13</v>
      </c>
      <c r="F697" s="3">
        <v>0.54</v>
      </c>
      <c r="G697" s="3">
        <v>380</v>
      </c>
      <c r="H697" s="3">
        <f t="shared" si="12"/>
        <v>205.2</v>
      </c>
      <c r="I697" s="3"/>
      <c r="J697" s="3">
        <v>9.19</v>
      </c>
    </row>
    <row r="698" customHeight="1" spans="1:10">
      <c r="A698" s="3">
        <v>744</v>
      </c>
      <c r="B698" s="3" t="s">
        <v>268</v>
      </c>
      <c r="C698" s="1" t="s">
        <v>177</v>
      </c>
      <c r="D698" s="3" t="s">
        <v>329</v>
      </c>
      <c r="E698" s="3" t="s">
        <v>13</v>
      </c>
      <c r="F698" s="3">
        <v>0.36</v>
      </c>
      <c r="G698" s="3">
        <v>380</v>
      </c>
      <c r="H698" s="3">
        <f t="shared" si="12"/>
        <v>136.8</v>
      </c>
      <c r="I698" s="3"/>
      <c r="J698" s="3">
        <v>9.19</v>
      </c>
    </row>
    <row r="699" customHeight="1" spans="1:10">
      <c r="A699" s="3">
        <v>745</v>
      </c>
      <c r="B699" s="3" t="s">
        <v>303</v>
      </c>
      <c r="C699" s="1" t="s">
        <v>177</v>
      </c>
      <c r="D699" s="3" t="s">
        <v>329</v>
      </c>
      <c r="E699" s="3" t="s">
        <v>13</v>
      </c>
      <c r="F699" s="3">
        <v>0.3</v>
      </c>
      <c r="G699" s="3">
        <v>380</v>
      </c>
      <c r="H699" s="3">
        <f t="shared" si="12"/>
        <v>114</v>
      </c>
      <c r="I699" s="3"/>
      <c r="J699" s="3">
        <v>9.19</v>
      </c>
    </row>
    <row r="700" customHeight="1" spans="1:10">
      <c r="A700" s="3">
        <v>746</v>
      </c>
      <c r="B700" s="3" t="s">
        <v>294</v>
      </c>
      <c r="C700" s="1" t="s">
        <v>177</v>
      </c>
      <c r="D700" s="3" t="s">
        <v>329</v>
      </c>
      <c r="E700" s="3" t="s">
        <v>13</v>
      </c>
      <c r="F700" s="3">
        <v>0.82</v>
      </c>
      <c r="G700" s="3">
        <v>380</v>
      </c>
      <c r="H700" s="3">
        <f t="shared" si="12"/>
        <v>311.6</v>
      </c>
      <c r="I700" s="3"/>
      <c r="J700" s="3">
        <v>9.19</v>
      </c>
    </row>
    <row r="701" customHeight="1" spans="1:10">
      <c r="A701" s="3">
        <v>747</v>
      </c>
      <c r="B701" s="3" t="s">
        <v>294</v>
      </c>
      <c r="C701" s="1" t="s">
        <v>177</v>
      </c>
      <c r="D701" s="3" t="s">
        <v>340</v>
      </c>
      <c r="E701" s="3" t="s">
        <v>13</v>
      </c>
      <c r="F701" s="3">
        <v>0.98</v>
      </c>
      <c r="G701" s="3">
        <v>380</v>
      </c>
      <c r="H701" s="3">
        <f t="shared" si="12"/>
        <v>372.4</v>
      </c>
      <c r="I701" s="3"/>
      <c r="J701" s="3">
        <v>9.19</v>
      </c>
    </row>
    <row r="702" customHeight="1" spans="1:10">
      <c r="A702" s="3">
        <v>748</v>
      </c>
      <c r="B702" s="3" t="s">
        <v>262</v>
      </c>
      <c r="C702" s="1" t="s">
        <v>177</v>
      </c>
      <c r="D702" s="3" t="s">
        <v>340</v>
      </c>
      <c r="E702" s="3" t="s">
        <v>13</v>
      </c>
      <c r="F702" s="3">
        <v>0.68</v>
      </c>
      <c r="G702" s="3">
        <v>380</v>
      </c>
      <c r="H702" s="3">
        <f t="shared" si="12"/>
        <v>258.4</v>
      </c>
      <c r="I702" s="3"/>
      <c r="J702" s="3">
        <v>9.19</v>
      </c>
    </row>
    <row r="703" customHeight="1" spans="1:10">
      <c r="A703" s="3">
        <v>749</v>
      </c>
      <c r="B703" s="3" t="s">
        <v>300</v>
      </c>
      <c r="C703" s="1" t="s">
        <v>177</v>
      </c>
      <c r="D703" s="3" t="s">
        <v>340</v>
      </c>
      <c r="E703" s="3" t="s">
        <v>13</v>
      </c>
      <c r="F703" s="3">
        <v>0.37</v>
      </c>
      <c r="G703" s="3">
        <v>380</v>
      </c>
      <c r="H703" s="3">
        <f t="shared" si="12"/>
        <v>140.6</v>
      </c>
      <c r="I703" s="3"/>
      <c r="J703" s="3">
        <v>9.19</v>
      </c>
    </row>
    <row r="704" customHeight="1" spans="1:10">
      <c r="A704" s="3">
        <v>750</v>
      </c>
      <c r="B704" s="3" t="s">
        <v>270</v>
      </c>
      <c r="C704" s="1" t="s">
        <v>177</v>
      </c>
      <c r="D704" s="3" t="s">
        <v>341</v>
      </c>
      <c r="E704" s="3" t="s">
        <v>13</v>
      </c>
      <c r="F704" s="3">
        <v>0.34</v>
      </c>
      <c r="G704" s="3">
        <v>380</v>
      </c>
      <c r="H704" s="3">
        <f t="shared" si="12"/>
        <v>129.2</v>
      </c>
      <c r="I704" s="3"/>
      <c r="J704" s="3">
        <v>9.19</v>
      </c>
    </row>
    <row r="705" customHeight="1" spans="1:10">
      <c r="A705" s="3">
        <v>751</v>
      </c>
      <c r="B705" s="3" t="s">
        <v>284</v>
      </c>
      <c r="C705" s="1" t="s">
        <v>177</v>
      </c>
      <c r="D705" s="3" t="s">
        <v>320</v>
      </c>
      <c r="E705" s="3" t="s">
        <v>13</v>
      </c>
      <c r="F705" s="3">
        <v>1.41</v>
      </c>
      <c r="G705" s="3">
        <v>380</v>
      </c>
      <c r="H705" s="3">
        <f t="shared" si="12"/>
        <v>535.8</v>
      </c>
      <c r="I705" s="3"/>
      <c r="J705" s="3">
        <v>9.19</v>
      </c>
    </row>
    <row r="706" customHeight="1" spans="1:10">
      <c r="A706" s="3">
        <v>752</v>
      </c>
      <c r="B706" s="3" t="s">
        <v>251</v>
      </c>
      <c r="C706" s="1" t="s">
        <v>177</v>
      </c>
      <c r="D706" s="3" t="s">
        <v>341</v>
      </c>
      <c r="E706" s="3" t="s">
        <v>13</v>
      </c>
      <c r="F706" s="3">
        <v>0.22</v>
      </c>
      <c r="G706" s="3">
        <v>380</v>
      </c>
      <c r="H706" s="3">
        <f t="shared" si="12"/>
        <v>83.6</v>
      </c>
      <c r="I706" s="3"/>
      <c r="J706" s="3">
        <v>9.19</v>
      </c>
    </row>
    <row r="707" customHeight="1" spans="1:10">
      <c r="A707" s="3">
        <v>753</v>
      </c>
      <c r="B707" s="3" t="s">
        <v>268</v>
      </c>
      <c r="C707" s="1" t="s">
        <v>177</v>
      </c>
      <c r="D707" s="3" t="s">
        <v>342</v>
      </c>
      <c r="E707" s="3" t="s">
        <v>13</v>
      </c>
      <c r="F707" s="3">
        <v>0.1</v>
      </c>
      <c r="G707" s="3">
        <v>380</v>
      </c>
      <c r="H707" s="3">
        <f t="shared" si="12"/>
        <v>38</v>
      </c>
      <c r="I707" s="3"/>
      <c r="J707" s="3">
        <v>9.19</v>
      </c>
    </row>
    <row r="708" customHeight="1" spans="1:10">
      <c r="A708" s="3">
        <v>754</v>
      </c>
      <c r="B708" s="3" t="s">
        <v>251</v>
      </c>
      <c r="C708" s="1" t="s">
        <v>177</v>
      </c>
      <c r="D708" s="3" t="s">
        <v>342</v>
      </c>
      <c r="E708" s="3" t="s">
        <v>13</v>
      </c>
      <c r="F708" s="3">
        <v>0.34</v>
      </c>
      <c r="G708" s="3">
        <v>380</v>
      </c>
      <c r="H708" s="3">
        <f t="shared" si="12"/>
        <v>129.2</v>
      </c>
      <c r="I708" s="3"/>
      <c r="J708" s="3">
        <v>9.19</v>
      </c>
    </row>
    <row r="709" customHeight="1" spans="1:10">
      <c r="A709" s="3">
        <v>755</v>
      </c>
      <c r="B709" s="3" t="s">
        <v>247</v>
      </c>
      <c r="C709" s="1" t="s">
        <v>177</v>
      </c>
      <c r="D709" s="3" t="s">
        <v>342</v>
      </c>
      <c r="E709" s="3" t="s">
        <v>13</v>
      </c>
      <c r="F709" s="3">
        <v>0.56</v>
      </c>
      <c r="G709" s="3">
        <v>380</v>
      </c>
      <c r="H709" s="3">
        <f t="shared" si="12"/>
        <v>212.8</v>
      </c>
      <c r="I709" s="3"/>
      <c r="J709" s="3">
        <v>9.19</v>
      </c>
    </row>
    <row r="710" customHeight="1" spans="1:10">
      <c r="A710" s="3">
        <v>756</v>
      </c>
      <c r="B710" s="3" t="s">
        <v>272</v>
      </c>
      <c r="C710" s="1" t="s">
        <v>177</v>
      </c>
      <c r="D710" s="3" t="s">
        <v>318</v>
      </c>
      <c r="E710" s="3" t="s">
        <v>13</v>
      </c>
      <c r="F710" s="3">
        <v>0.52</v>
      </c>
      <c r="G710" s="3">
        <v>380</v>
      </c>
      <c r="H710" s="3">
        <f t="shared" si="12"/>
        <v>197.6</v>
      </c>
      <c r="I710" s="3"/>
      <c r="J710" s="3">
        <v>9.19</v>
      </c>
    </row>
    <row r="711" customHeight="1" spans="1:10">
      <c r="A711" s="3">
        <v>757</v>
      </c>
      <c r="B711" s="3" t="s">
        <v>249</v>
      </c>
      <c r="C711" s="1" t="s">
        <v>177</v>
      </c>
      <c r="D711" s="3" t="s">
        <v>318</v>
      </c>
      <c r="E711" s="3" t="s">
        <v>13</v>
      </c>
      <c r="F711" s="3">
        <v>0.15</v>
      </c>
      <c r="G711" s="3">
        <v>380</v>
      </c>
      <c r="H711" s="3">
        <f t="shared" si="12"/>
        <v>57</v>
      </c>
      <c r="I711" s="3"/>
      <c r="J711" s="3">
        <v>9.19</v>
      </c>
    </row>
    <row r="712" customHeight="1" spans="1:10">
      <c r="A712" s="3">
        <v>758</v>
      </c>
      <c r="B712" s="3" t="s">
        <v>265</v>
      </c>
      <c r="C712" s="1" t="s">
        <v>177</v>
      </c>
      <c r="D712" s="3" t="s">
        <v>318</v>
      </c>
      <c r="E712" s="3" t="s">
        <v>13</v>
      </c>
      <c r="F712" s="3">
        <v>0.4</v>
      </c>
      <c r="G712" s="3">
        <v>380</v>
      </c>
      <c r="H712" s="3">
        <f t="shared" ref="H712:H775" si="13">G712*F712</f>
        <v>152</v>
      </c>
      <c r="I712" s="3"/>
      <c r="J712" s="3">
        <v>9.19</v>
      </c>
    </row>
    <row r="713" customHeight="1" spans="1:10">
      <c r="A713" s="3">
        <v>759</v>
      </c>
      <c r="B713" s="3" t="s">
        <v>256</v>
      </c>
      <c r="C713" s="1" t="s">
        <v>177</v>
      </c>
      <c r="D713" s="3" t="s">
        <v>318</v>
      </c>
      <c r="E713" s="3" t="s">
        <v>13</v>
      </c>
      <c r="F713" s="3">
        <v>0.45</v>
      </c>
      <c r="G713" s="3">
        <v>380</v>
      </c>
      <c r="H713" s="3">
        <f t="shared" si="13"/>
        <v>171</v>
      </c>
      <c r="I713" s="3"/>
      <c r="J713" s="3">
        <v>9.19</v>
      </c>
    </row>
    <row r="714" customHeight="1" spans="1:10">
      <c r="A714" s="3">
        <v>760</v>
      </c>
      <c r="B714" s="3" t="s">
        <v>270</v>
      </c>
      <c r="C714" s="1" t="s">
        <v>177</v>
      </c>
      <c r="D714" s="3" t="s">
        <v>318</v>
      </c>
      <c r="E714" s="3" t="s">
        <v>13</v>
      </c>
      <c r="F714" s="3">
        <v>0.07</v>
      </c>
      <c r="G714" s="3">
        <v>380</v>
      </c>
      <c r="H714" s="3">
        <f t="shared" si="13"/>
        <v>26.6</v>
      </c>
      <c r="I714" s="3"/>
      <c r="J714" s="3">
        <v>9.19</v>
      </c>
    </row>
    <row r="715" customHeight="1" spans="1:10">
      <c r="A715" s="3">
        <v>761</v>
      </c>
      <c r="B715" s="3" t="s">
        <v>304</v>
      </c>
      <c r="C715" s="1" t="s">
        <v>177</v>
      </c>
      <c r="D715" s="3" t="s">
        <v>318</v>
      </c>
      <c r="E715" s="3" t="s">
        <v>22</v>
      </c>
      <c r="F715" s="3">
        <v>0.23</v>
      </c>
      <c r="G715" s="3">
        <v>480</v>
      </c>
      <c r="H715" s="3">
        <f t="shared" si="13"/>
        <v>110.4</v>
      </c>
      <c r="I715" s="3"/>
      <c r="J715" s="3">
        <v>9.19</v>
      </c>
    </row>
    <row r="716" customHeight="1" spans="1:10">
      <c r="A716" s="3">
        <v>762</v>
      </c>
      <c r="B716" s="3" t="s">
        <v>268</v>
      </c>
      <c r="C716" s="1" t="s">
        <v>177</v>
      </c>
      <c r="D716" s="3" t="s">
        <v>318</v>
      </c>
      <c r="E716" s="3" t="s">
        <v>22</v>
      </c>
      <c r="F716" s="3">
        <v>0.22</v>
      </c>
      <c r="G716" s="3">
        <v>480</v>
      </c>
      <c r="H716" s="3">
        <f t="shared" si="13"/>
        <v>105.6</v>
      </c>
      <c r="I716" s="3"/>
      <c r="J716" s="3">
        <v>9.19</v>
      </c>
    </row>
    <row r="717" customHeight="1" spans="1:10">
      <c r="A717" s="3">
        <v>763</v>
      </c>
      <c r="B717" s="3" t="s">
        <v>249</v>
      </c>
      <c r="C717" s="1" t="s">
        <v>177</v>
      </c>
      <c r="D717" s="3" t="s">
        <v>322</v>
      </c>
      <c r="E717" s="3" t="s">
        <v>13</v>
      </c>
      <c r="F717" s="3">
        <v>2.22</v>
      </c>
      <c r="G717" s="3">
        <v>380</v>
      </c>
      <c r="H717" s="3">
        <f t="shared" si="13"/>
        <v>843.6</v>
      </c>
      <c r="I717" s="3"/>
      <c r="J717" s="3">
        <v>9.19</v>
      </c>
    </row>
    <row r="718" customHeight="1" spans="1:10">
      <c r="A718" s="3">
        <v>764</v>
      </c>
      <c r="B718" s="3" t="s">
        <v>244</v>
      </c>
      <c r="C718" s="1" t="s">
        <v>177</v>
      </c>
      <c r="D718" s="3" t="s">
        <v>343</v>
      </c>
      <c r="E718" s="3" t="s">
        <v>13</v>
      </c>
      <c r="F718" s="3">
        <v>0.82</v>
      </c>
      <c r="G718" s="3">
        <v>380</v>
      </c>
      <c r="H718" s="3">
        <f t="shared" si="13"/>
        <v>311.6</v>
      </c>
      <c r="I718" s="3"/>
      <c r="J718" s="3">
        <v>9.19</v>
      </c>
    </row>
    <row r="719" customHeight="1" spans="1:10">
      <c r="A719" s="3">
        <v>765</v>
      </c>
      <c r="B719" s="3" t="s">
        <v>293</v>
      </c>
      <c r="C719" s="1" t="s">
        <v>177</v>
      </c>
      <c r="D719" s="3" t="s">
        <v>343</v>
      </c>
      <c r="E719" s="3" t="s">
        <v>13</v>
      </c>
      <c r="F719" s="3">
        <v>0.66</v>
      </c>
      <c r="G719" s="3">
        <v>380</v>
      </c>
      <c r="H719" s="3">
        <f t="shared" si="13"/>
        <v>250.8</v>
      </c>
      <c r="I719" s="3"/>
      <c r="J719" s="3">
        <v>9.19</v>
      </c>
    </row>
    <row r="720" customHeight="1" spans="1:10">
      <c r="A720" s="3">
        <v>766</v>
      </c>
      <c r="B720" s="3" t="s">
        <v>311</v>
      </c>
      <c r="C720" s="1" t="s">
        <v>177</v>
      </c>
      <c r="D720" s="3" t="s">
        <v>343</v>
      </c>
      <c r="E720" s="3" t="s">
        <v>13</v>
      </c>
      <c r="F720" s="3">
        <v>0.21</v>
      </c>
      <c r="G720" s="3">
        <v>380</v>
      </c>
      <c r="H720" s="3">
        <f t="shared" si="13"/>
        <v>79.8</v>
      </c>
      <c r="I720" s="3"/>
      <c r="J720" s="3">
        <v>9.19</v>
      </c>
    </row>
    <row r="721" customHeight="1" spans="1:10">
      <c r="A721" s="3">
        <v>767</v>
      </c>
      <c r="B721" s="3" t="s">
        <v>297</v>
      </c>
      <c r="C721" s="1" t="s">
        <v>177</v>
      </c>
      <c r="D721" s="3" t="s">
        <v>343</v>
      </c>
      <c r="E721" s="3" t="s">
        <v>13</v>
      </c>
      <c r="F721" s="3">
        <v>0.1</v>
      </c>
      <c r="G721" s="3">
        <v>380</v>
      </c>
      <c r="H721" s="3">
        <f t="shared" si="13"/>
        <v>38</v>
      </c>
      <c r="I721" s="3"/>
      <c r="J721" s="3">
        <v>9.19</v>
      </c>
    </row>
    <row r="722" customHeight="1" spans="1:10">
      <c r="A722" s="3">
        <v>768</v>
      </c>
      <c r="B722" s="3" t="s">
        <v>297</v>
      </c>
      <c r="C722" s="1" t="s">
        <v>177</v>
      </c>
      <c r="D722" s="3" t="s">
        <v>326</v>
      </c>
      <c r="E722" s="3" t="s">
        <v>13</v>
      </c>
      <c r="F722" s="3">
        <v>0.29</v>
      </c>
      <c r="G722" s="3">
        <v>380</v>
      </c>
      <c r="H722" s="3">
        <f t="shared" si="13"/>
        <v>110.2</v>
      </c>
      <c r="I722" s="3"/>
      <c r="J722" s="3">
        <v>9.19</v>
      </c>
    </row>
    <row r="723" customHeight="1" spans="1:10">
      <c r="A723" s="3">
        <v>769</v>
      </c>
      <c r="B723" s="3" t="s">
        <v>262</v>
      </c>
      <c r="C723" s="1" t="s">
        <v>177</v>
      </c>
      <c r="D723" s="3" t="s">
        <v>326</v>
      </c>
      <c r="E723" s="3" t="s">
        <v>13</v>
      </c>
      <c r="F723" s="3">
        <v>0.47</v>
      </c>
      <c r="G723" s="3">
        <v>380</v>
      </c>
      <c r="H723" s="3">
        <f t="shared" si="13"/>
        <v>178.6</v>
      </c>
      <c r="I723" s="3"/>
      <c r="J723" s="3">
        <v>9.19</v>
      </c>
    </row>
    <row r="724" customHeight="1" spans="1:10">
      <c r="A724" s="3">
        <v>770</v>
      </c>
      <c r="B724" s="3" t="s">
        <v>269</v>
      </c>
      <c r="C724" s="1" t="s">
        <v>177</v>
      </c>
      <c r="D724" s="3" t="s">
        <v>319</v>
      </c>
      <c r="E724" s="3" t="s">
        <v>13</v>
      </c>
      <c r="F724" s="3">
        <v>0.28</v>
      </c>
      <c r="G724" s="3">
        <v>380</v>
      </c>
      <c r="H724" s="3">
        <f t="shared" si="13"/>
        <v>106.4</v>
      </c>
      <c r="I724" s="3"/>
      <c r="J724" s="3">
        <v>9.19</v>
      </c>
    </row>
    <row r="725" customHeight="1" spans="1:10">
      <c r="A725" s="3">
        <v>771</v>
      </c>
      <c r="B725" s="3" t="s">
        <v>303</v>
      </c>
      <c r="C725" s="1" t="s">
        <v>177</v>
      </c>
      <c r="D725" s="3" t="s">
        <v>344</v>
      </c>
      <c r="E725" s="3" t="s">
        <v>22</v>
      </c>
      <c r="F725" s="3">
        <v>0.37</v>
      </c>
      <c r="G725" s="3">
        <v>480</v>
      </c>
      <c r="H725" s="3">
        <f t="shared" si="13"/>
        <v>177.6</v>
      </c>
      <c r="I725" s="3"/>
      <c r="J725" s="3">
        <v>9.19</v>
      </c>
    </row>
    <row r="726" customHeight="1" spans="1:10">
      <c r="A726" s="3">
        <v>772</v>
      </c>
      <c r="B726" s="3" t="s">
        <v>265</v>
      </c>
      <c r="C726" s="1" t="s">
        <v>177</v>
      </c>
      <c r="D726" s="3" t="s">
        <v>344</v>
      </c>
      <c r="E726" s="3" t="s">
        <v>22</v>
      </c>
      <c r="F726" s="3">
        <v>0.41</v>
      </c>
      <c r="G726" s="3">
        <v>480</v>
      </c>
      <c r="H726" s="3">
        <f t="shared" si="13"/>
        <v>196.8</v>
      </c>
      <c r="I726" s="3"/>
      <c r="J726" s="3">
        <v>9.19</v>
      </c>
    </row>
    <row r="727" customHeight="1" spans="1:10">
      <c r="A727" s="3">
        <v>773</v>
      </c>
      <c r="B727" s="3" t="s">
        <v>247</v>
      </c>
      <c r="C727" s="1" t="s">
        <v>177</v>
      </c>
      <c r="D727" s="3" t="s">
        <v>315</v>
      </c>
      <c r="E727" s="3" t="s">
        <v>22</v>
      </c>
      <c r="F727" s="3">
        <v>0.11</v>
      </c>
      <c r="G727" s="3">
        <v>480</v>
      </c>
      <c r="H727" s="3">
        <f t="shared" si="13"/>
        <v>52.8</v>
      </c>
      <c r="I727" s="3"/>
      <c r="J727" s="3">
        <v>9.19</v>
      </c>
    </row>
    <row r="728" customHeight="1" spans="1:10">
      <c r="A728" s="3">
        <v>774</v>
      </c>
      <c r="B728" s="3" t="s">
        <v>247</v>
      </c>
      <c r="C728" s="1" t="s">
        <v>177</v>
      </c>
      <c r="D728" s="3" t="s">
        <v>315</v>
      </c>
      <c r="E728" s="3" t="s">
        <v>22</v>
      </c>
      <c r="F728" s="3">
        <v>0.19</v>
      </c>
      <c r="G728" s="3">
        <v>480</v>
      </c>
      <c r="H728" s="3">
        <f t="shared" si="13"/>
        <v>91.2</v>
      </c>
      <c r="I728" s="3"/>
      <c r="J728" s="3">
        <v>9.19</v>
      </c>
    </row>
    <row r="729" customHeight="1" spans="1:10">
      <c r="A729" s="3">
        <v>775</v>
      </c>
      <c r="B729" s="3" t="s">
        <v>259</v>
      </c>
      <c r="C729" s="1" t="s">
        <v>177</v>
      </c>
      <c r="D729" s="3" t="s">
        <v>315</v>
      </c>
      <c r="E729" s="3" t="s">
        <v>22</v>
      </c>
      <c r="F729" s="3">
        <v>0.27</v>
      </c>
      <c r="G729" s="3">
        <v>480</v>
      </c>
      <c r="H729" s="3">
        <f t="shared" si="13"/>
        <v>129.6</v>
      </c>
      <c r="I729" s="3"/>
      <c r="J729" s="3">
        <v>9.19</v>
      </c>
    </row>
    <row r="730" customHeight="1" spans="1:10">
      <c r="A730" s="3">
        <v>776</v>
      </c>
      <c r="B730" s="3" t="s">
        <v>280</v>
      </c>
      <c r="C730" s="1" t="s">
        <v>177</v>
      </c>
      <c r="D730" s="3" t="s">
        <v>345</v>
      </c>
      <c r="E730" s="3" t="s">
        <v>22</v>
      </c>
      <c r="F730" s="3">
        <v>0.36</v>
      </c>
      <c r="G730" s="3">
        <v>480</v>
      </c>
      <c r="H730" s="3">
        <f t="shared" si="13"/>
        <v>172.8</v>
      </c>
      <c r="I730" s="3"/>
      <c r="J730" s="3">
        <v>9.19</v>
      </c>
    </row>
    <row r="731" customHeight="1" spans="1:10">
      <c r="A731" s="3">
        <v>777</v>
      </c>
      <c r="B731" s="3" t="s">
        <v>325</v>
      </c>
      <c r="C731" s="1" t="s">
        <v>177</v>
      </c>
      <c r="D731" s="3" t="s">
        <v>316</v>
      </c>
      <c r="E731" s="3" t="s">
        <v>22</v>
      </c>
      <c r="F731" s="3">
        <v>0.11</v>
      </c>
      <c r="G731" s="3">
        <v>480</v>
      </c>
      <c r="H731" s="3">
        <f t="shared" si="13"/>
        <v>52.8</v>
      </c>
      <c r="I731" s="3"/>
      <c r="J731" s="3">
        <v>9.19</v>
      </c>
    </row>
    <row r="732" customHeight="1" spans="1:10">
      <c r="A732" s="3">
        <v>778</v>
      </c>
      <c r="B732" s="3" t="s">
        <v>293</v>
      </c>
      <c r="C732" s="1" t="s">
        <v>177</v>
      </c>
      <c r="D732" s="3" t="s">
        <v>316</v>
      </c>
      <c r="E732" s="3" t="s">
        <v>22</v>
      </c>
      <c r="F732" s="3">
        <v>0.16</v>
      </c>
      <c r="G732" s="3">
        <v>480</v>
      </c>
      <c r="H732" s="3">
        <f t="shared" si="13"/>
        <v>76.8</v>
      </c>
      <c r="I732" s="3"/>
      <c r="J732" s="3">
        <v>9.19</v>
      </c>
    </row>
    <row r="733" customHeight="1" spans="1:10">
      <c r="A733" s="3">
        <v>779</v>
      </c>
      <c r="B733" s="3" t="s">
        <v>244</v>
      </c>
      <c r="C733" s="1" t="s">
        <v>177</v>
      </c>
      <c r="D733" s="3" t="s">
        <v>316</v>
      </c>
      <c r="E733" s="3" t="s">
        <v>22</v>
      </c>
      <c r="F733" s="3">
        <v>0.67</v>
      </c>
      <c r="G733" s="3">
        <v>480</v>
      </c>
      <c r="H733" s="3">
        <f t="shared" si="13"/>
        <v>321.6</v>
      </c>
      <c r="I733" s="3"/>
      <c r="J733" s="3">
        <v>9.19</v>
      </c>
    </row>
    <row r="734" customHeight="1" spans="1:10">
      <c r="A734" s="3">
        <v>780</v>
      </c>
      <c r="B734" s="3" t="s">
        <v>303</v>
      </c>
      <c r="C734" s="1" t="s">
        <v>177</v>
      </c>
      <c r="D734" s="3" t="s">
        <v>227</v>
      </c>
      <c r="E734" s="3" t="s">
        <v>22</v>
      </c>
      <c r="F734" s="3">
        <v>0.1</v>
      </c>
      <c r="G734" s="3">
        <v>480</v>
      </c>
      <c r="H734" s="3">
        <f t="shared" si="13"/>
        <v>48</v>
      </c>
      <c r="I734" s="3"/>
      <c r="J734" s="3">
        <v>9.19</v>
      </c>
    </row>
    <row r="735" customHeight="1" spans="1:10">
      <c r="A735" s="3">
        <v>781</v>
      </c>
      <c r="B735" s="3" t="s">
        <v>279</v>
      </c>
      <c r="C735" s="1" t="s">
        <v>177</v>
      </c>
      <c r="D735" s="3" t="s">
        <v>346</v>
      </c>
      <c r="E735" s="3" t="s">
        <v>22</v>
      </c>
      <c r="F735" s="3">
        <v>0.07</v>
      </c>
      <c r="G735" s="3">
        <v>480</v>
      </c>
      <c r="H735" s="3">
        <f t="shared" si="13"/>
        <v>33.6</v>
      </c>
      <c r="I735" s="3"/>
      <c r="J735" s="3">
        <v>9.19</v>
      </c>
    </row>
    <row r="736" customHeight="1" spans="1:10">
      <c r="A736" s="3">
        <v>782</v>
      </c>
      <c r="B736" s="3" t="s">
        <v>257</v>
      </c>
      <c r="C736" s="1" t="s">
        <v>177</v>
      </c>
      <c r="D736" s="3" t="s">
        <v>346</v>
      </c>
      <c r="E736" s="3" t="s">
        <v>22</v>
      </c>
      <c r="F736" s="3">
        <v>0.47</v>
      </c>
      <c r="G736" s="3">
        <v>480</v>
      </c>
      <c r="H736" s="3">
        <f t="shared" si="13"/>
        <v>225.6</v>
      </c>
      <c r="I736" s="3"/>
      <c r="J736" s="3">
        <v>9.19</v>
      </c>
    </row>
    <row r="737" customHeight="1" spans="1:10">
      <c r="A737" s="3">
        <v>783</v>
      </c>
      <c r="B737" s="3" t="s">
        <v>288</v>
      </c>
      <c r="C737" s="1" t="s">
        <v>177</v>
      </c>
      <c r="D737" s="3" t="s">
        <v>347</v>
      </c>
      <c r="E737" s="3" t="s">
        <v>22</v>
      </c>
      <c r="F737" s="3">
        <v>0.2</v>
      </c>
      <c r="G737" s="3">
        <v>480</v>
      </c>
      <c r="H737" s="3">
        <f t="shared" si="13"/>
        <v>96</v>
      </c>
      <c r="I737" s="3"/>
      <c r="J737" s="3">
        <v>9.19</v>
      </c>
    </row>
    <row r="738" customHeight="1" spans="1:10">
      <c r="A738" s="3">
        <v>784</v>
      </c>
      <c r="B738" s="3" t="s">
        <v>293</v>
      </c>
      <c r="C738" s="1" t="s">
        <v>177</v>
      </c>
      <c r="D738" s="3" t="s">
        <v>348</v>
      </c>
      <c r="E738" s="3" t="s">
        <v>22</v>
      </c>
      <c r="F738" s="3">
        <v>0.96</v>
      </c>
      <c r="G738" s="3">
        <v>480</v>
      </c>
      <c r="H738" s="3">
        <f t="shared" si="13"/>
        <v>460.8</v>
      </c>
      <c r="I738" s="3"/>
      <c r="J738" s="3">
        <v>9.19</v>
      </c>
    </row>
    <row r="739" customHeight="1" spans="1:10">
      <c r="A739" s="3">
        <v>785</v>
      </c>
      <c r="B739" s="3" t="s">
        <v>245</v>
      </c>
      <c r="C739" s="1" t="s">
        <v>177</v>
      </c>
      <c r="D739" s="3" t="s">
        <v>348</v>
      </c>
      <c r="E739" s="3" t="s">
        <v>22</v>
      </c>
      <c r="F739" s="3">
        <v>0.21</v>
      </c>
      <c r="G739" s="3">
        <v>480</v>
      </c>
      <c r="H739" s="3">
        <f t="shared" si="13"/>
        <v>100.8</v>
      </c>
      <c r="I739" s="3"/>
      <c r="J739" s="3">
        <v>9.19</v>
      </c>
    </row>
    <row r="740" customHeight="1" spans="1:10">
      <c r="A740" s="3">
        <v>786</v>
      </c>
      <c r="B740" s="3" t="s">
        <v>268</v>
      </c>
      <c r="C740" s="1" t="s">
        <v>177</v>
      </c>
      <c r="D740" s="3" t="s">
        <v>246</v>
      </c>
      <c r="E740" s="3" t="s">
        <v>22</v>
      </c>
      <c r="F740" s="3">
        <v>0.05</v>
      </c>
      <c r="G740" s="3">
        <v>480</v>
      </c>
      <c r="H740" s="3">
        <f t="shared" si="13"/>
        <v>24</v>
      </c>
      <c r="I740" s="3"/>
      <c r="J740" s="3">
        <v>9.19</v>
      </c>
    </row>
    <row r="741" customHeight="1" spans="1:10">
      <c r="A741" s="3">
        <v>787</v>
      </c>
      <c r="B741" s="3" t="s">
        <v>247</v>
      </c>
      <c r="C741" s="1" t="s">
        <v>177</v>
      </c>
      <c r="D741" s="3" t="s">
        <v>246</v>
      </c>
      <c r="E741" s="3" t="s">
        <v>22</v>
      </c>
      <c r="F741" s="3">
        <v>0.13</v>
      </c>
      <c r="G741" s="3">
        <v>480</v>
      </c>
      <c r="H741" s="3">
        <f t="shared" si="13"/>
        <v>62.4</v>
      </c>
      <c r="I741" s="3"/>
      <c r="J741" s="3">
        <v>9.19</v>
      </c>
    </row>
    <row r="742" customHeight="1" spans="1:10">
      <c r="A742" s="3">
        <v>788</v>
      </c>
      <c r="B742" s="3" t="s">
        <v>272</v>
      </c>
      <c r="C742" s="1" t="s">
        <v>177</v>
      </c>
      <c r="D742" s="3" t="s">
        <v>227</v>
      </c>
      <c r="E742" s="3" t="s">
        <v>22</v>
      </c>
      <c r="F742" s="3">
        <v>0.14</v>
      </c>
      <c r="G742" s="3">
        <v>480</v>
      </c>
      <c r="H742" s="3">
        <f t="shared" si="13"/>
        <v>67.2</v>
      </c>
      <c r="I742" s="3"/>
      <c r="J742" s="3">
        <v>9.19</v>
      </c>
    </row>
    <row r="743" customHeight="1" spans="1:10">
      <c r="A743" s="3">
        <v>789</v>
      </c>
      <c r="B743" s="3" t="s">
        <v>244</v>
      </c>
      <c r="C743" s="1" t="s">
        <v>177</v>
      </c>
      <c r="D743" s="3" t="s">
        <v>227</v>
      </c>
      <c r="E743" s="3" t="s">
        <v>22</v>
      </c>
      <c r="F743" s="3">
        <v>0.06</v>
      </c>
      <c r="G743" s="3">
        <v>480</v>
      </c>
      <c r="H743" s="3">
        <f t="shared" si="13"/>
        <v>28.8</v>
      </c>
      <c r="I743" s="3"/>
      <c r="J743" s="3">
        <v>9.19</v>
      </c>
    </row>
    <row r="744" customHeight="1" spans="1:10">
      <c r="A744" s="3">
        <v>790</v>
      </c>
      <c r="B744" s="3" t="s">
        <v>300</v>
      </c>
      <c r="C744" s="1" t="s">
        <v>177</v>
      </c>
      <c r="D744" s="3" t="s">
        <v>227</v>
      </c>
      <c r="E744" s="3" t="s">
        <v>22</v>
      </c>
      <c r="F744" s="3">
        <v>0.07</v>
      </c>
      <c r="G744" s="3">
        <v>480</v>
      </c>
      <c r="H744" s="3">
        <f t="shared" si="13"/>
        <v>33.6</v>
      </c>
      <c r="I744" s="3"/>
      <c r="J744" s="3">
        <v>9.19</v>
      </c>
    </row>
    <row r="745" customHeight="1" spans="1:10">
      <c r="A745" s="3">
        <v>791</v>
      </c>
      <c r="B745" s="3" t="s">
        <v>270</v>
      </c>
      <c r="C745" s="1" t="s">
        <v>177</v>
      </c>
      <c r="D745" s="3" t="s">
        <v>227</v>
      </c>
      <c r="E745" s="3" t="s">
        <v>22</v>
      </c>
      <c r="F745" s="3">
        <v>0.03</v>
      </c>
      <c r="G745" s="3">
        <v>480</v>
      </c>
      <c r="H745" s="3">
        <f t="shared" si="13"/>
        <v>14.4</v>
      </c>
      <c r="I745" s="3"/>
      <c r="J745" s="3">
        <v>9.19</v>
      </c>
    </row>
    <row r="746" customHeight="1" spans="1:10">
      <c r="A746" s="3">
        <v>792</v>
      </c>
      <c r="B746" s="3" t="s">
        <v>252</v>
      </c>
      <c r="C746" s="1" t="s">
        <v>177</v>
      </c>
      <c r="D746" s="3" t="s">
        <v>227</v>
      </c>
      <c r="E746" s="3" t="s">
        <v>22</v>
      </c>
      <c r="F746" s="3">
        <v>0.09</v>
      </c>
      <c r="G746" s="3">
        <v>480</v>
      </c>
      <c r="H746" s="3">
        <f t="shared" si="13"/>
        <v>43.2</v>
      </c>
      <c r="I746" s="3"/>
      <c r="J746" s="3">
        <v>9.19</v>
      </c>
    </row>
    <row r="747" customHeight="1" spans="1:10">
      <c r="A747" s="3">
        <v>793</v>
      </c>
      <c r="B747" s="3" t="s">
        <v>244</v>
      </c>
      <c r="C747" s="1" t="s">
        <v>177</v>
      </c>
      <c r="D747" s="3" t="s">
        <v>341</v>
      </c>
      <c r="E747" s="3" t="s">
        <v>13</v>
      </c>
      <c r="F747" s="3">
        <v>0.26</v>
      </c>
      <c r="G747" s="3">
        <v>380</v>
      </c>
      <c r="H747" s="3">
        <f t="shared" si="13"/>
        <v>98.8</v>
      </c>
      <c r="I747" s="3"/>
      <c r="J747" s="3">
        <v>9.19</v>
      </c>
    </row>
    <row r="748" customHeight="1" spans="1:10">
      <c r="A748" s="3">
        <v>794</v>
      </c>
      <c r="B748" s="3" t="s">
        <v>262</v>
      </c>
      <c r="C748" s="1" t="s">
        <v>177</v>
      </c>
      <c r="D748" s="3" t="s">
        <v>349</v>
      </c>
      <c r="E748" s="3" t="s">
        <v>13</v>
      </c>
      <c r="F748" s="3">
        <v>0.4</v>
      </c>
      <c r="G748" s="3">
        <v>380</v>
      </c>
      <c r="H748" s="3">
        <f t="shared" si="13"/>
        <v>152</v>
      </c>
      <c r="I748" s="3"/>
      <c r="J748" s="3">
        <v>9.19</v>
      </c>
    </row>
    <row r="749" customHeight="1" spans="1:10">
      <c r="A749" s="3">
        <v>795</v>
      </c>
      <c r="B749" s="3" t="s">
        <v>266</v>
      </c>
      <c r="C749" s="1" t="s">
        <v>177</v>
      </c>
      <c r="D749" s="3" t="s">
        <v>349</v>
      </c>
      <c r="E749" s="3" t="s">
        <v>13</v>
      </c>
      <c r="F749" s="3">
        <v>1.11</v>
      </c>
      <c r="G749" s="3">
        <v>380</v>
      </c>
      <c r="H749" s="3">
        <f t="shared" si="13"/>
        <v>421.8</v>
      </c>
      <c r="I749" s="3"/>
      <c r="J749" s="3">
        <v>9.19</v>
      </c>
    </row>
    <row r="750" customHeight="1" spans="1:10">
      <c r="A750" s="3">
        <v>796</v>
      </c>
      <c r="B750" s="3" t="s">
        <v>298</v>
      </c>
      <c r="C750" s="1" t="s">
        <v>177</v>
      </c>
      <c r="D750" s="3" t="s">
        <v>349</v>
      </c>
      <c r="E750" s="3" t="s">
        <v>13</v>
      </c>
      <c r="F750" s="3">
        <v>0.14</v>
      </c>
      <c r="G750" s="3">
        <v>380</v>
      </c>
      <c r="H750" s="3">
        <f t="shared" si="13"/>
        <v>53.2</v>
      </c>
      <c r="I750" s="3"/>
      <c r="J750" s="3">
        <v>9.19</v>
      </c>
    </row>
    <row r="751" customHeight="1" spans="1:10">
      <c r="A751" s="3">
        <v>797</v>
      </c>
      <c r="B751" s="3" t="s">
        <v>293</v>
      </c>
      <c r="C751" s="1" t="s">
        <v>177</v>
      </c>
      <c r="D751" s="3" t="s">
        <v>349</v>
      </c>
      <c r="E751" s="3" t="s">
        <v>13</v>
      </c>
      <c r="F751" s="3">
        <v>0.78</v>
      </c>
      <c r="G751" s="3">
        <v>380</v>
      </c>
      <c r="H751" s="3">
        <f t="shared" si="13"/>
        <v>296.4</v>
      </c>
      <c r="I751" s="3"/>
      <c r="J751" s="3">
        <v>9.19</v>
      </c>
    </row>
    <row r="752" customHeight="1" spans="1:10">
      <c r="A752" s="3">
        <v>798</v>
      </c>
      <c r="B752" s="3" t="s">
        <v>265</v>
      </c>
      <c r="C752" s="1" t="s">
        <v>177</v>
      </c>
      <c r="D752" s="3" t="s">
        <v>350</v>
      </c>
      <c r="E752" s="3" t="s">
        <v>13</v>
      </c>
      <c r="F752" s="3">
        <v>0.2</v>
      </c>
      <c r="G752" s="3">
        <v>380</v>
      </c>
      <c r="H752" s="3">
        <f t="shared" si="13"/>
        <v>76</v>
      </c>
      <c r="I752" s="3"/>
      <c r="J752" s="3">
        <v>9.19</v>
      </c>
    </row>
    <row r="753" customHeight="1" spans="1:10">
      <c r="A753" s="3">
        <v>799</v>
      </c>
      <c r="B753" s="3" t="s">
        <v>255</v>
      </c>
      <c r="C753" s="1" t="s">
        <v>177</v>
      </c>
      <c r="D753" s="3" t="s">
        <v>350</v>
      </c>
      <c r="E753" s="3" t="s">
        <v>13</v>
      </c>
      <c r="F753" s="3">
        <v>0.45</v>
      </c>
      <c r="G753" s="3">
        <v>380</v>
      </c>
      <c r="H753" s="3">
        <f t="shared" si="13"/>
        <v>171</v>
      </c>
      <c r="I753" s="3"/>
      <c r="J753" s="3">
        <v>9.19</v>
      </c>
    </row>
    <row r="754" customHeight="1" spans="1:10">
      <c r="A754" s="3">
        <v>800</v>
      </c>
      <c r="B754" s="3" t="s">
        <v>252</v>
      </c>
      <c r="C754" s="1" t="s">
        <v>177</v>
      </c>
      <c r="D754" s="3" t="s">
        <v>350</v>
      </c>
      <c r="E754" s="3" t="s">
        <v>13</v>
      </c>
      <c r="F754" s="3">
        <v>0.05</v>
      </c>
      <c r="G754" s="3">
        <v>380</v>
      </c>
      <c r="H754" s="3">
        <f t="shared" si="13"/>
        <v>19</v>
      </c>
      <c r="I754" s="3"/>
      <c r="J754" s="3">
        <v>9.19</v>
      </c>
    </row>
    <row r="755" customHeight="1" spans="1:10">
      <c r="A755" s="3">
        <v>801</v>
      </c>
      <c r="B755" s="3" t="s">
        <v>247</v>
      </c>
      <c r="C755" s="1" t="s">
        <v>177</v>
      </c>
      <c r="D755" s="3" t="s">
        <v>350</v>
      </c>
      <c r="E755" s="3" t="s">
        <v>13</v>
      </c>
      <c r="F755" s="3">
        <v>0.22</v>
      </c>
      <c r="G755" s="3">
        <v>380</v>
      </c>
      <c r="H755" s="3">
        <f t="shared" si="13"/>
        <v>83.6</v>
      </c>
      <c r="I755" s="3"/>
      <c r="J755" s="3">
        <v>9.19</v>
      </c>
    </row>
    <row r="756" customHeight="1" spans="1:10">
      <c r="A756" s="3">
        <v>802</v>
      </c>
      <c r="B756" s="3" t="s">
        <v>265</v>
      </c>
      <c r="C756" s="1" t="s">
        <v>177</v>
      </c>
      <c r="D756" s="3" t="s">
        <v>350</v>
      </c>
      <c r="E756" s="3" t="s">
        <v>13</v>
      </c>
      <c r="F756" s="3">
        <v>0.25</v>
      </c>
      <c r="G756" s="3">
        <v>380</v>
      </c>
      <c r="H756" s="3">
        <f t="shared" si="13"/>
        <v>95</v>
      </c>
      <c r="I756" s="3"/>
      <c r="J756" s="3">
        <v>9.19</v>
      </c>
    </row>
    <row r="757" customHeight="1" spans="1:10">
      <c r="A757" s="3">
        <v>803</v>
      </c>
      <c r="B757" s="3" t="s">
        <v>300</v>
      </c>
      <c r="C757" s="1" t="s">
        <v>177</v>
      </c>
      <c r="D757" s="3" t="s">
        <v>351</v>
      </c>
      <c r="E757" s="3" t="s">
        <v>13</v>
      </c>
      <c r="F757" s="3">
        <v>0.05</v>
      </c>
      <c r="G757" s="3">
        <v>380</v>
      </c>
      <c r="H757" s="3">
        <f t="shared" si="13"/>
        <v>19</v>
      </c>
      <c r="I757" s="3"/>
      <c r="J757" s="3">
        <v>9.19</v>
      </c>
    </row>
    <row r="758" customHeight="1" spans="1:10">
      <c r="A758" s="3">
        <v>804</v>
      </c>
      <c r="B758" s="3" t="s">
        <v>257</v>
      </c>
      <c r="C758" s="1" t="s">
        <v>177</v>
      </c>
      <c r="D758" s="3" t="s">
        <v>351</v>
      </c>
      <c r="E758" s="3" t="s">
        <v>13</v>
      </c>
      <c r="F758" s="3">
        <v>0.54</v>
      </c>
      <c r="G758" s="3">
        <v>380</v>
      </c>
      <c r="H758" s="3">
        <f t="shared" si="13"/>
        <v>205.2</v>
      </c>
      <c r="I758" s="3"/>
      <c r="J758" s="3">
        <v>9.19</v>
      </c>
    </row>
    <row r="759" customHeight="1" spans="1:10">
      <c r="A759" s="3">
        <v>805</v>
      </c>
      <c r="B759" s="3" t="s">
        <v>265</v>
      </c>
      <c r="C759" s="1" t="s">
        <v>177</v>
      </c>
      <c r="D759" s="3" t="s">
        <v>351</v>
      </c>
      <c r="E759" s="3" t="s">
        <v>13</v>
      </c>
      <c r="F759" s="3">
        <v>0.3</v>
      </c>
      <c r="G759" s="3">
        <v>380</v>
      </c>
      <c r="H759" s="3">
        <f t="shared" si="13"/>
        <v>114</v>
      </c>
      <c r="I759" s="3"/>
      <c r="J759" s="3">
        <v>9.19</v>
      </c>
    </row>
    <row r="760" customHeight="1" spans="1:10">
      <c r="A760" s="3">
        <v>806</v>
      </c>
      <c r="B760" s="3" t="s">
        <v>262</v>
      </c>
      <c r="C760" s="1" t="s">
        <v>177</v>
      </c>
      <c r="D760" s="3" t="s">
        <v>351</v>
      </c>
      <c r="E760" s="3" t="s">
        <v>13</v>
      </c>
      <c r="F760" s="3">
        <v>0.21</v>
      </c>
      <c r="G760" s="3">
        <v>380</v>
      </c>
      <c r="H760" s="3">
        <f t="shared" si="13"/>
        <v>79.8</v>
      </c>
      <c r="I760" s="3"/>
      <c r="J760" s="3">
        <v>9.19</v>
      </c>
    </row>
    <row r="761" customHeight="1" spans="1:10">
      <c r="A761" s="3">
        <v>807</v>
      </c>
      <c r="B761" s="3" t="s">
        <v>284</v>
      </c>
      <c r="C761" s="1" t="s">
        <v>177</v>
      </c>
      <c r="D761" s="3" t="s">
        <v>351</v>
      </c>
      <c r="E761" s="3" t="s">
        <v>13</v>
      </c>
      <c r="F761" s="3">
        <v>0.14</v>
      </c>
      <c r="G761" s="3">
        <v>380</v>
      </c>
      <c r="H761" s="3">
        <f t="shared" si="13"/>
        <v>53.2</v>
      </c>
      <c r="I761" s="3"/>
      <c r="J761" s="3">
        <v>9.19</v>
      </c>
    </row>
    <row r="762" customHeight="1" spans="1:10">
      <c r="A762" s="3">
        <v>808</v>
      </c>
      <c r="B762" s="3" t="s">
        <v>289</v>
      </c>
      <c r="C762" s="1" t="s">
        <v>177</v>
      </c>
      <c r="D762" s="3" t="s">
        <v>351</v>
      </c>
      <c r="E762" s="3" t="s">
        <v>13</v>
      </c>
      <c r="F762" s="3">
        <v>0.1</v>
      </c>
      <c r="G762" s="3">
        <v>380</v>
      </c>
      <c r="H762" s="3">
        <f t="shared" si="13"/>
        <v>38</v>
      </c>
      <c r="I762" s="3"/>
      <c r="J762" s="3">
        <v>9.19</v>
      </c>
    </row>
    <row r="763" customHeight="1" spans="1:10">
      <c r="A763" s="3">
        <v>809</v>
      </c>
      <c r="B763" s="3" t="s">
        <v>262</v>
      </c>
      <c r="C763" s="1" t="s">
        <v>177</v>
      </c>
      <c r="D763" s="3" t="s">
        <v>351</v>
      </c>
      <c r="E763" s="3" t="s">
        <v>13</v>
      </c>
      <c r="F763" s="3">
        <v>0.07</v>
      </c>
      <c r="G763" s="3">
        <v>380</v>
      </c>
      <c r="H763" s="3">
        <f t="shared" si="13"/>
        <v>26.6</v>
      </c>
      <c r="I763" s="3"/>
      <c r="J763" s="3">
        <v>9.19</v>
      </c>
    </row>
    <row r="764" customHeight="1" spans="1:10">
      <c r="A764" s="3">
        <v>810</v>
      </c>
      <c r="B764" s="3" t="s">
        <v>270</v>
      </c>
      <c r="C764" s="1" t="s">
        <v>177</v>
      </c>
      <c r="D764" s="3" t="s">
        <v>351</v>
      </c>
      <c r="E764" s="3" t="s">
        <v>13</v>
      </c>
      <c r="F764" s="3">
        <v>0.14</v>
      </c>
      <c r="G764" s="3">
        <v>380</v>
      </c>
      <c r="H764" s="3">
        <f t="shared" si="13"/>
        <v>53.2</v>
      </c>
      <c r="I764" s="3"/>
      <c r="J764" s="3">
        <v>9.19</v>
      </c>
    </row>
    <row r="765" customHeight="1" spans="1:10">
      <c r="A765" s="3">
        <v>811</v>
      </c>
      <c r="B765" s="3" t="s">
        <v>269</v>
      </c>
      <c r="C765" s="1" t="s">
        <v>177</v>
      </c>
      <c r="D765" s="3" t="s">
        <v>351</v>
      </c>
      <c r="E765" s="3" t="s">
        <v>13</v>
      </c>
      <c r="F765" s="3">
        <v>1.2</v>
      </c>
      <c r="G765" s="3">
        <v>380</v>
      </c>
      <c r="H765" s="3">
        <f t="shared" si="13"/>
        <v>456</v>
      </c>
      <c r="I765" s="3"/>
      <c r="J765" s="3">
        <v>9.19</v>
      </c>
    </row>
    <row r="766" customHeight="1" spans="1:10">
      <c r="A766" s="3">
        <v>812</v>
      </c>
      <c r="B766" s="3" t="s">
        <v>293</v>
      </c>
      <c r="C766" s="1" t="s">
        <v>177</v>
      </c>
      <c r="D766" s="3" t="s">
        <v>352</v>
      </c>
      <c r="E766" s="3" t="s">
        <v>13</v>
      </c>
      <c r="F766" s="3">
        <v>0.1</v>
      </c>
      <c r="G766" s="3">
        <v>380</v>
      </c>
      <c r="H766" s="3">
        <f t="shared" si="13"/>
        <v>38</v>
      </c>
      <c r="I766" s="3"/>
      <c r="J766" s="3">
        <v>9.19</v>
      </c>
    </row>
    <row r="767" customHeight="1" spans="1:10">
      <c r="A767" s="3">
        <v>813</v>
      </c>
      <c r="B767" s="3" t="s">
        <v>257</v>
      </c>
      <c r="C767" s="1" t="s">
        <v>177</v>
      </c>
      <c r="D767" s="3" t="s">
        <v>352</v>
      </c>
      <c r="E767" s="3" t="s">
        <v>13</v>
      </c>
      <c r="F767" s="3">
        <v>0.07</v>
      </c>
      <c r="G767" s="3">
        <v>380</v>
      </c>
      <c r="H767" s="3">
        <f t="shared" si="13"/>
        <v>26.6</v>
      </c>
      <c r="I767" s="3"/>
      <c r="J767" s="3">
        <v>9.19</v>
      </c>
    </row>
    <row r="768" customHeight="1" spans="1:10">
      <c r="A768" s="3">
        <v>814</v>
      </c>
      <c r="B768" s="3" t="s">
        <v>255</v>
      </c>
      <c r="C768" s="1" t="s">
        <v>177</v>
      </c>
      <c r="D768" s="3" t="s">
        <v>327</v>
      </c>
      <c r="E768" s="3" t="s">
        <v>13</v>
      </c>
      <c r="F768" s="3">
        <v>0.08</v>
      </c>
      <c r="G768" s="3">
        <v>380</v>
      </c>
      <c r="H768" s="3">
        <f t="shared" si="13"/>
        <v>30.4</v>
      </c>
      <c r="I768" s="3"/>
      <c r="J768" s="3">
        <v>9.19</v>
      </c>
    </row>
    <row r="769" customHeight="1" spans="1:10">
      <c r="A769" s="3">
        <v>815</v>
      </c>
      <c r="B769" s="3" t="s">
        <v>269</v>
      </c>
      <c r="C769" s="1" t="s">
        <v>177</v>
      </c>
      <c r="D769" s="3" t="s">
        <v>327</v>
      </c>
      <c r="E769" s="3" t="s">
        <v>13</v>
      </c>
      <c r="F769" s="3">
        <v>0.52</v>
      </c>
      <c r="G769" s="3">
        <v>380</v>
      </c>
      <c r="H769" s="3">
        <f t="shared" si="13"/>
        <v>197.6</v>
      </c>
      <c r="I769" s="3"/>
      <c r="J769" s="3">
        <v>9.19</v>
      </c>
    </row>
    <row r="770" customHeight="1" spans="1:10">
      <c r="A770" s="3">
        <v>816</v>
      </c>
      <c r="B770" s="3" t="s">
        <v>284</v>
      </c>
      <c r="C770" s="1" t="s">
        <v>177</v>
      </c>
      <c r="D770" s="3" t="s">
        <v>227</v>
      </c>
      <c r="E770" s="3" t="s">
        <v>22</v>
      </c>
      <c r="F770" s="3"/>
      <c r="G770" s="3"/>
      <c r="H770" s="3">
        <f t="shared" si="13"/>
        <v>0</v>
      </c>
      <c r="I770" s="3"/>
      <c r="J770" s="3">
        <v>9.19</v>
      </c>
    </row>
    <row r="771" customHeight="1" spans="1:10">
      <c r="A771" s="3">
        <v>817</v>
      </c>
      <c r="B771" s="3" t="s">
        <v>257</v>
      </c>
      <c r="C771" s="1" t="s">
        <v>177</v>
      </c>
      <c r="D771" s="3" t="s">
        <v>227</v>
      </c>
      <c r="E771" s="3" t="s">
        <v>22</v>
      </c>
      <c r="F771" s="3">
        <v>0.36</v>
      </c>
      <c r="G771" s="3">
        <v>480</v>
      </c>
      <c r="H771" s="3">
        <f t="shared" si="13"/>
        <v>172.8</v>
      </c>
      <c r="I771" s="3"/>
      <c r="J771" s="3">
        <v>9.19</v>
      </c>
    </row>
    <row r="772" customHeight="1" spans="1:10">
      <c r="A772" s="3">
        <v>818</v>
      </c>
      <c r="B772" s="3" t="s">
        <v>270</v>
      </c>
      <c r="C772" s="1" t="s">
        <v>177</v>
      </c>
      <c r="D772" s="3" t="s">
        <v>227</v>
      </c>
      <c r="E772" s="3" t="s">
        <v>22</v>
      </c>
      <c r="F772" s="3">
        <v>0.07</v>
      </c>
      <c r="G772" s="3">
        <v>480</v>
      </c>
      <c r="H772" s="3">
        <f t="shared" si="13"/>
        <v>33.6</v>
      </c>
      <c r="I772" s="3"/>
      <c r="J772" s="3">
        <v>9.19</v>
      </c>
    </row>
    <row r="773" customHeight="1" spans="1:10">
      <c r="A773" s="3">
        <v>819</v>
      </c>
      <c r="B773" s="3" t="s">
        <v>257</v>
      </c>
      <c r="C773" s="1" t="s">
        <v>177</v>
      </c>
      <c r="D773" s="3" t="s">
        <v>353</v>
      </c>
      <c r="E773" s="3" t="s">
        <v>22</v>
      </c>
      <c r="F773" s="3">
        <v>0.6</v>
      </c>
      <c r="G773" s="3">
        <v>480</v>
      </c>
      <c r="H773" s="3">
        <f t="shared" si="13"/>
        <v>288</v>
      </c>
      <c r="I773" s="3"/>
      <c r="J773" s="3">
        <v>9.19</v>
      </c>
    </row>
    <row r="774" customHeight="1" spans="1:10">
      <c r="A774" s="3">
        <v>820</v>
      </c>
      <c r="B774" s="3" t="s">
        <v>280</v>
      </c>
      <c r="C774" s="1" t="s">
        <v>177</v>
      </c>
      <c r="D774" s="3" t="s">
        <v>227</v>
      </c>
      <c r="E774" s="3" t="s">
        <v>22</v>
      </c>
      <c r="F774" s="3">
        <v>0.15</v>
      </c>
      <c r="G774" s="3">
        <v>480</v>
      </c>
      <c r="H774" s="3">
        <f t="shared" si="13"/>
        <v>72</v>
      </c>
      <c r="I774" s="3"/>
      <c r="J774" s="3">
        <v>9.19</v>
      </c>
    </row>
    <row r="775" customHeight="1" spans="1:10">
      <c r="A775" s="3">
        <v>821</v>
      </c>
      <c r="B775" s="3" t="s">
        <v>264</v>
      </c>
      <c r="C775" s="1" t="s">
        <v>177</v>
      </c>
      <c r="D775" s="3" t="s">
        <v>227</v>
      </c>
      <c r="E775" s="3" t="s">
        <v>22</v>
      </c>
      <c r="F775" s="3">
        <v>0.39</v>
      </c>
      <c r="G775" s="3">
        <v>480</v>
      </c>
      <c r="H775" s="3">
        <f t="shared" si="13"/>
        <v>187.2</v>
      </c>
      <c r="I775" s="3"/>
      <c r="J775" s="3">
        <v>9.19</v>
      </c>
    </row>
    <row r="776" customHeight="1" spans="1:10">
      <c r="A776" s="3">
        <v>822</v>
      </c>
      <c r="B776" s="3" t="s">
        <v>311</v>
      </c>
      <c r="C776" s="1" t="s">
        <v>177</v>
      </c>
      <c r="D776" s="3" t="s">
        <v>246</v>
      </c>
      <c r="E776" s="3" t="s">
        <v>22</v>
      </c>
      <c r="F776" s="3">
        <v>0.14</v>
      </c>
      <c r="G776" s="3">
        <v>480</v>
      </c>
      <c r="H776" s="3">
        <f t="shared" ref="H776:H839" si="14">G776*F776</f>
        <v>67.2</v>
      </c>
      <c r="I776" s="3"/>
      <c r="J776" s="3">
        <v>9.19</v>
      </c>
    </row>
    <row r="777" customHeight="1" spans="1:10">
      <c r="A777" s="3">
        <v>823</v>
      </c>
      <c r="B777" s="3" t="s">
        <v>251</v>
      </c>
      <c r="C777" s="1" t="s">
        <v>177</v>
      </c>
      <c r="D777" s="3" t="s">
        <v>354</v>
      </c>
      <c r="E777" s="3" t="s">
        <v>22</v>
      </c>
      <c r="F777" s="3">
        <v>0.21</v>
      </c>
      <c r="G777" s="3">
        <v>480</v>
      </c>
      <c r="H777" s="3">
        <f t="shared" si="14"/>
        <v>100.8</v>
      </c>
      <c r="I777" s="3"/>
      <c r="J777" s="3">
        <v>9.19</v>
      </c>
    </row>
    <row r="778" customHeight="1" spans="1:10">
      <c r="A778" s="3">
        <v>824</v>
      </c>
      <c r="B778" s="3" t="s">
        <v>332</v>
      </c>
      <c r="C778" s="1" t="s">
        <v>177</v>
      </c>
      <c r="D778" s="3" t="s">
        <v>315</v>
      </c>
      <c r="E778" s="3" t="s">
        <v>22</v>
      </c>
      <c r="F778" s="3">
        <v>0.1</v>
      </c>
      <c r="G778" s="3">
        <v>480</v>
      </c>
      <c r="H778" s="3">
        <f t="shared" si="14"/>
        <v>48</v>
      </c>
      <c r="I778" s="3"/>
      <c r="J778" s="3">
        <v>9.19</v>
      </c>
    </row>
    <row r="779" customHeight="1" spans="1:10">
      <c r="A779" s="3">
        <v>825</v>
      </c>
      <c r="B779" s="3" t="s">
        <v>355</v>
      </c>
      <c r="C779" s="1" t="s">
        <v>177</v>
      </c>
      <c r="D779" s="3" t="s">
        <v>315</v>
      </c>
      <c r="E779" s="3" t="s">
        <v>22</v>
      </c>
      <c r="F779" s="3">
        <v>0.28</v>
      </c>
      <c r="G779" s="3">
        <v>480</v>
      </c>
      <c r="H779" s="3">
        <f t="shared" si="14"/>
        <v>134.4</v>
      </c>
      <c r="I779" s="3"/>
      <c r="J779" s="3">
        <v>9.19</v>
      </c>
    </row>
    <row r="780" customHeight="1" spans="1:10">
      <c r="A780" s="3">
        <v>826</v>
      </c>
      <c r="B780" s="3" t="s">
        <v>356</v>
      </c>
      <c r="C780" s="3" t="s">
        <v>177</v>
      </c>
      <c r="D780" s="3" t="s">
        <v>357</v>
      </c>
      <c r="E780" s="3" t="s">
        <v>13</v>
      </c>
      <c r="F780" s="3">
        <v>0.32</v>
      </c>
      <c r="G780" s="3">
        <v>380</v>
      </c>
      <c r="H780" s="3">
        <f t="shared" si="14"/>
        <v>121.6</v>
      </c>
      <c r="I780" s="3"/>
      <c r="J780" s="3">
        <v>9.12</v>
      </c>
    </row>
    <row r="781" customHeight="1" spans="1:10">
      <c r="A781" s="3">
        <v>827</v>
      </c>
      <c r="B781" s="3" t="s">
        <v>358</v>
      </c>
      <c r="C781" s="3" t="s">
        <v>177</v>
      </c>
      <c r="D781" s="3" t="s">
        <v>359</v>
      </c>
      <c r="E781" s="3" t="s">
        <v>13</v>
      </c>
      <c r="F781" s="3">
        <v>0.02</v>
      </c>
      <c r="G781" s="3">
        <v>380</v>
      </c>
      <c r="H781" s="3">
        <f t="shared" si="14"/>
        <v>7.6</v>
      </c>
      <c r="I781" s="3"/>
      <c r="J781" s="3">
        <v>9.12</v>
      </c>
    </row>
    <row r="782" customHeight="1" spans="1:10">
      <c r="A782" s="3">
        <v>828</v>
      </c>
      <c r="B782" s="3" t="s">
        <v>107</v>
      </c>
      <c r="C782" s="3" t="s">
        <v>177</v>
      </c>
      <c r="D782" s="3" t="s">
        <v>359</v>
      </c>
      <c r="E782" s="3" t="s">
        <v>13</v>
      </c>
      <c r="F782" s="3">
        <v>0.2</v>
      </c>
      <c r="G782" s="3">
        <v>380</v>
      </c>
      <c r="H782" s="3">
        <f t="shared" si="14"/>
        <v>76</v>
      </c>
      <c r="I782" s="3"/>
      <c r="J782" s="3">
        <v>9.12</v>
      </c>
    </row>
    <row r="783" customHeight="1" spans="1:10">
      <c r="A783" s="3">
        <v>829</v>
      </c>
      <c r="B783" s="3" t="s">
        <v>360</v>
      </c>
      <c r="C783" s="3" t="s">
        <v>177</v>
      </c>
      <c r="D783" s="3" t="s">
        <v>150</v>
      </c>
      <c r="E783" s="3" t="s">
        <v>13</v>
      </c>
      <c r="F783" s="3">
        <v>0.88</v>
      </c>
      <c r="G783" s="3">
        <v>380</v>
      </c>
      <c r="H783" s="3">
        <f t="shared" si="14"/>
        <v>334.4</v>
      </c>
      <c r="I783" s="3"/>
      <c r="J783" s="3">
        <v>9.12</v>
      </c>
    </row>
    <row r="784" customHeight="1" spans="1:10">
      <c r="A784" s="3">
        <v>830</v>
      </c>
      <c r="B784" s="3" t="s">
        <v>234</v>
      </c>
      <c r="C784" s="3" t="s">
        <v>177</v>
      </c>
      <c r="D784" s="3" t="s">
        <v>150</v>
      </c>
      <c r="E784" s="3" t="s">
        <v>13</v>
      </c>
      <c r="F784" s="3">
        <v>0.47</v>
      </c>
      <c r="G784" s="3">
        <v>380</v>
      </c>
      <c r="H784" s="3">
        <f t="shared" si="14"/>
        <v>178.6</v>
      </c>
      <c r="I784" s="3"/>
      <c r="J784" s="3">
        <v>9.12</v>
      </c>
    </row>
    <row r="785" customHeight="1" spans="1:10">
      <c r="A785" s="3">
        <v>831</v>
      </c>
      <c r="B785" s="3" t="s">
        <v>361</v>
      </c>
      <c r="C785" s="3" t="s">
        <v>177</v>
      </c>
      <c r="D785" s="3" t="s">
        <v>362</v>
      </c>
      <c r="E785" s="3" t="s">
        <v>13</v>
      </c>
      <c r="F785" s="3">
        <v>0.11</v>
      </c>
      <c r="G785" s="3">
        <v>380</v>
      </c>
      <c r="H785" s="3">
        <f t="shared" si="14"/>
        <v>41.8</v>
      </c>
      <c r="I785" s="3"/>
      <c r="J785" s="3">
        <v>9.12</v>
      </c>
    </row>
    <row r="786" customHeight="1" spans="1:10">
      <c r="A786" s="3">
        <v>832</v>
      </c>
      <c r="B786" s="3" t="s">
        <v>356</v>
      </c>
      <c r="C786" s="3" t="s">
        <v>177</v>
      </c>
      <c r="D786" s="3" t="s">
        <v>362</v>
      </c>
      <c r="E786" s="3" t="s">
        <v>13</v>
      </c>
      <c r="F786" s="3">
        <v>0.73</v>
      </c>
      <c r="G786" s="3">
        <v>380</v>
      </c>
      <c r="H786" s="3">
        <f t="shared" si="14"/>
        <v>277.4</v>
      </c>
      <c r="I786" s="3"/>
      <c r="J786" s="3">
        <v>9.12</v>
      </c>
    </row>
    <row r="787" customHeight="1" spans="1:10">
      <c r="A787" s="3">
        <v>833</v>
      </c>
      <c r="B787" s="3" t="s">
        <v>255</v>
      </c>
      <c r="C787" s="3" t="s">
        <v>177</v>
      </c>
      <c r="D787" s="3" t="s">
        <v>363</v>
      </c>
      <c r="E787" s="3" t="s">
        <v>13</v>
      </c>
      <c r="F787" s="3">
        <v>1.02</v>
      </c>
      <c r="G787" s="3">
        <v>380</v>
      </c>
      <c r="H787" s="3">
        <f t="shared" si="14"/>
        <v>387.6</v>
      </c>
      <c r="I787" s="3"/>
      <c r="J787" s="3">
        <v>9.12</v>
      </c>
    </row>
    <row r="788" customHeight="1" spans="1:10">
      <c r="A788" s="3">
        <v>834</v>
      </c>
      <c r="B788" s="3" t="s">
        <v>107</v>
      </c>
      <c r="C788" s="3" t="s">
        <v>177</v>
      </c>
      <c r="D788" s="3" t="s">
        <v>363</v>
      </c>
      <c r="E788" s="3" t="s">
        <v>13</v>
      </c>
      <c r="F788" s="3">
        <v>1.02</v>
      </c>
      <c r="G788" s="3">
        <v>380</v>
      </c>
      <c r="H788" s="3">
        <f t="shared" si="14"/>
        <v>387.6</v>
      </c>
      <c r="I788" s="3"/>
      <c r="J788" s="3">
        <v>9.12</v>
      </c>
    </row>
    <row r="789" customHeight="1" spans="1:10">
      <c r="A789" s="3">
        <v>835</v>
      </c>
      <c r="B789" s="3" t="s">
        <v>107</v>
      </c>
      <c r="C789" s="3" t="s">
        <v>177</v>
      </c>
      <c r="D789" s="3" t="s">
        <v>364</v>
      </c>
      <c r="E789" s="3" t="s">
        <v>13</v>
      </c>
      <c r="F789" s="3">
        <v>0.24</v>
      </c>
      <c r="G789" s="3">
        <v>380</v>
      </c>
      <c r="H789" s="3">
        <f t="shared" si="14"/>
        <v>91.2</v>
      </c>
      <c r="I789" s="3"/>
      <c r="J789" s="3">
        <v>9.12</v>
      </c>
    </row>
    <row r="790" customHeight="1" spans="1:10">
      <c r="A790" s="3">
        <v>836</v>
      </c>
      <c r="B790" s="3" t="s">
        <v>356</v>
      </c>
      <c r="C790" s="3" t="s">
        <v>177</v>
      </c>
      <c r="D790" s="3" t="s">
        <v>365</v>
      </c>
      <c r="E790" s="3" t="s">
        <v>13</v>
      </c>
      <c r="F790" s="3">
        <v>0.26</v>
      </c>
      <c r="G790" s="3">
        <v>380</v>
      </c>
      <c r="H790" s="3">
        <f t="shared" si="14"/>
        <v>98.8</v>
      </c>
      <c r="I790" s="3"/>
      <c r="J790" s="3">
        <v>9.12</v>
      </c>
    </row>
    <row r="791" customHeight="1" spans="1:10">
      <c r="A791" s="3">
        <v>837</v>
      </c>
      <c r="B791" s="3" t="s">
        <v>366</v>
      </c>
      <c r="C791" s="3" t="s">
        <v>177</v>
      </c>
      <c r="D791" s="3" t="s">
        <v>365</v>
      </c>
      <c r="E791" s="3" t="s">
        <v>13</v>
      </c>
      <c r="F791" s="3">
        <v>0.19</v>
      </c>
      <c r="G791" s="3">
        <v>380</v>
      </c>
      <c r="H791" s="3">
        <f t="shared" si="14"/>
        <v>72.2</v>
      </c>
      <c r="I791" s="3"/>
      <c r="J791" s="3">
        <v>9.12</v>
      </c>
    </row>
    <row r="792" customHeight="1" spans="1:10">
      <c r="A792" s="3">
        <v>838</v>
      </c>
      <c r="B792" s="3" t="s">
        <v>234</v>
      </c>
      <c r="C792" s="3" t="s">
        <v>177</v>
      </c>
      <c r="D792" s="3" t="s">
        <v>365</v>
      </c>
      <c r="E792" s="3" t="s">
        <v>13</v>
      </c>
      <c r="F792" s="3">
        <v>0.06</v>
      </c>
      <c r="G792" s="3">
        <v>380</v>
      </c>
      <c r="H792" s="3">
        <f t="shared" si="14"/>
        <v>22.8</v>
      </c>
      <c r="I792" s="3"/>
      <c r="J792" s="3">
        <v>9.12</v>
      </c>
    </row>
    <row r="793" customHeight="1" spans="1:10">
      <c r="A793" s="3">
        <v>839</v>
      </c>
      <c r="B793" s="3" t="s">
        <v>367</v>
      </c>
      <c r="C793" s="3" t="s">
        <v>177</v>
      </c>
      <c r="D793" s="3" t="s">
        <v>365</v>
      </c>
      <c r="E793" s="3" t="s">
        <v>13</v>
      </c>
      <c r="F793" s="3">
        <v>0.2</v>
      </c>
      <c r="G793" s="3">
        <v>380</v>
      </c>
      <c r="H793" s="3">
        <f t="shared" si="14"/>
        <v>76</v>
      </c>
      <c r="I793" s="3"/>
      <c r="J793" s="3">
        <v>9.12</v>
      </c>
    </row>
    <row r="794" customHeight="1" spans="1:10">
      <c r="A794" s="3">
        <v>840</v>
      </c>
      <c r="B794" s="3" t="s">
        <v>368</v>
      </c>
      <c r="C794" s="3" t="s">
        <v>177</v>
      </c>
      <c r="D794" s="3" t="s">
        <v>365</v>
      </c>
      <c r="E794" s="3" t="s">
        <v>13</v>
      </c>
      <c r="F794" s="3">
        <v>1.47</v>
      </c>
      <c r="G794" s="3">
        <v>380</v>
      </c>
      <c r="H794" s="3">
        <f t="shared" si="14"/>
        <v>558.6</v>
      </c>
      <c r="I794" s="3"/>
      <c r="J794" s="3">
        <v>9.12</v>
      </c>
    </row>
    <row r="795" customHeight="1" spans="1:10">
      <c r="A795" s="3">
        <v>841</v>
      </c>
      <c r="B795" s="3" t="s">
        <v>234</v>
      </c>
      <c r="C795" s="3" t="s">
        <v>177</v>
      </c>
      <c r="D795" s="3" t="s">
        <v>369</v>
      </c>
      <c r="E795" s="3" t="s">
        <v>22</v>
      </c>
      <c r="F795" s="3">
        <v>0.82</v>
      </c>
      <c r="G795" s="3">
        <v>480</v>
      </c>
      <c r="H795" s="3">
        <f t="shared" si="14"/>
        <v>393.6</v>
      </c>
      <c r="I795" s="3"/>
      <c r="J795" s="3">
        <v>9.12</v>
      </c>
    </row>
    <row r="796" customHeight="1" spans="1:10">
      <c r="A796" s="3">
        <v>842</v>
      </c>
      <c r="B796" s="3" t="s">
        <v>366</v>
      </c>
      <c r="C796" s="3" t="s">
        <v>177</v>
      </c>
      <c r="D796" s="3" t="s">
        <v>369</v>
      </c>
      <c r="E796" s="3" t="s">
        <v>22</v>
      </c>
      <c r="F796" s="3">
        <v>0.95</v>
      </c>
      <c r="G796" s="3">
        <v>480</v>
      </c>
      <c r="H796" s="3">
        <f t="shared" si="14"/>
        <v>456</v>
      </c>
      <c r="I796" s="3"/>
      <c r="J796" s="3">
        <v>9.12</v>
      </c>
    </row>
    <row r="797" customHeight="1" spans="1:10">
      <c r="A797" s="3">
        <v>843</v>
      </c>
      <c r="B797" s="3" t="s">
        <v>370</v>
      </c>
      <c r="C797" s="3" t="s">
        <v>177</v>
      </c>
      <c r="D797" s="3" t="s">
        <v>369</v>
      </c>
      <c r="E797" s="3" t="s">
        <v>22</v>
      </c>
      <c r="F797" s="3">
        <v>0.2</v>
      </c>
      <c r="G797" s="3">
        <v>480</v>
      </c>
      <c r="H797" s="3">
        <f t="shared" si="14"/>
        <v>96</v>
      </c>
      <c r="I797" s="3"/>
      <c r="J797" s="3">
        <v>9.12</v>
      </c>
    </row>
    <row r="798" customHeight="1" spans="1:10">
      <c r="A798" s="3">
        <v>844</v>
      </c>
      <c r="B798" s="3" t="s">
        <v>361</v>
      </c>
      <c r="C798" s="3" t="s">
        <v>177</v>
      </c>
      <c r="D798" s="3" t="s">
        <v>365</v>
      </c>
      <c r="E798" s="3" t="s">
        <v>13</v>
      </c>
      <c r="F798" s="3">
        <v>0.5</v>
      </c>
      <c r="G798" s="3">
        <v>380</v>
      </c>
      <c r="H798" s="3">
        <f t="shared" si="14"/>
        <v>190</v>
      </c>
      <c r="I798" s="3"/>
      <c r="J798" s="3">
        <v>9.12</v>
      </c>
    </row>
    <row r="799" customHeight="1" spans="1:10">
      <c r="A799" s="3">
        <v>845</v>
      </c>
      <c r="B799" s="3" t="s">
        <v>371</v>
      </c>
      <c r="C799" s="3" t="s">
        <v>177</v>
      </c>
      <c r="D799" s="3" t="s">
        <v>365</v>
      </c>
      <c r="E799" s="3" t="s">
        <v>13</v>
      </c>
      <c r="F799" s="3">
        <v>0.44</v>
      </c>
      <c r="G799" s="3">
        <v>380</v>
      </c>
      <c r="H799" s="3">
        <f t="shared" si="14"/>
        <v>167.2</v>
      </c>
      <c r="I799" s="3"/>
      <c r="J799" s="3">
        <v>9.12</v>
      </c>
    </row>
    <row r="800" customHeight="1" spans="1:10">
      <c r="A800" s="3">
        <v>846</v>
      </c>
      <c r="B800" s="3" t="s">
        <v>255</v>
      </c>
      <c r="C800" s="3" t="s">
        <v>177</v>
      </c>
      <c r="D800" s="3" t="s">
        <v>369</v>
      </c>
      <c r="E800" s="3" t="s">
        <v>22</v>
      </c>
      <c r="F800" s="3">
        <v>0.37</v>
      </c>
      <c r="G800" s="3">
        <v>480</v>
      </c>
      <c r="H800" s="3">
        <f t="shared" si="14"/>
        <v>177.6</v>
      </c>
      <c r="I800" s="3"/>
      <c r="J800" s="3">
        <v>9.12</v>
      </c>
    </row>
    <row r="801" customHeight="1" spans="1:10">
      <c r="A801" s="3">
        <v>847</v>
      </c>
      <c r="B801" s="3" t="s">
        <v>361</v>
      </c>
      <c r="C801" s="3" t="s">
        <v>177</v>
      </c>
      <c r="D801" s="3" t="s">
        <v>369</v>
      </c>
      <c r="E801" s="3" t="s">
        <v>22</v>
      </c>
      <c r="F801" s="3">
        <v>0.66</v>
      </c>
      <c r="G801" s="3">
        <v>480</v>
      </c>
      <c r="H801" s="3">
        <f t="shared" si="14"/>
        <v>316.8</v>
      </c>
      <c r="I801" s="3"/>
      <c r="J801" s="3">
        <v>9.12</v>
      </c>
    </row>
    <row r="802" customHeight="1" spans="1:10">
      <c r="A802" s="3">
        <v>848</v>
      </c>
      <c r="B802" s="3" t="s">
        <v>371</v>
      </c>
      <c r="C802" s="3" t="s">
        <v>177</v>
      </c>
      <c r="D802" s="3" t="s">
        <v>372</v>
      </c>
      <c r="E802" s="3" t="s">
        <v>22</v>
      </c>
      <c r="F802" s="3">
        <v>0.51</v>
      </c>
      <c r="G802" s="3">
        <v>480</v>
      </c>
      <c r="H802" s="3">
        <f t="shared" si="14"/>
        <v>244.8</v>
      </c>
      <c r="I802" s="3"/>
      <c r="J802" s="3">
        <v>9.12</v>
      </c>
    </row>
    <row r="803" customHeight="1" spans="1:10">
      <c r="A803" s="3">
        <v>849</v>
      </c>
      <c r="B803" s="3" t="s">
        <v>368</v>
      </c>
      <c r="C803" s="3" t="s">
        <v>177</v>
      </c>
      <c r="D803" s="3" t="s">
        <v>373</v>
      </c>
      <c r="E803" s="3" t="s">
        <v>22</v>
      </c>
      <c r="F803" s="3">
        <v>0.12</v>
      </c>
      <c r="G803" s="3">
        <v>480</v>
      </c>
      <c r="H803" s="3">
        <f t="shared" si="14"/>
        <v>57.6</v>
      </c>
      <c r="I803" s="3"/>
      <c r="J803" s="3">
        <v>9.12</v>
      </c>
    </row>
    <row r="804" customHeight="1" spans="1:10">
      <c r="A804" s="3">
        <v>850</v>
      </c>
      <c r="B804" s="3" t="s">
        <v>255</v>
      </c>
      <c r="C804" s="3" t="s">
        <v>177</v>
      </c>
      <c r="D804" s="3" t="s">
        <v>373</v>
      </c>
      <c r="E804" s="3" t="s">
        <v>22</v>
      </c>
      <c r="F804" s="3">
        <v>0.49</v>
      </c>
      <c r="G804" s="3">
        <v>480</v>
      </c>
      <c r="H804" s="3">
        <f t="shared" si="14"/>
        <v>235.2</v>
      </c>
      <c r="I804" s="3"/>
      <c r="J804" s="3">
        <v>9.12</v>
      </c>
    </row>
    <row r="805" customHeight="1" spans="1:10">
      <c r="A805" s="3">
        <v>851</v>
      </c>
      <c r="B805" s="3" t="s">
        <v>374</v>
      </c>
      <c r="C805" s="3" t="s">
        <v>177</v>
      </c>
      <c r="D805" s="3" t="s">
        <v>373</v>
      </c>
      <c r="E805" s="3" t="s">
        <v>22</v>
      </c>
      <c r="F805" s="3">
        <v>0.16</v>
      </c>
      <c r="G805" s="3">
        <v>480</v>
      </c>
      <c r="H805" s="3">
        <f t="shared" si="14"/>
        <v>76.8</v>
      </c>
      <c r="I805" s="3"/>
      <c r="J805" s="3">
        <v>9.12</v>
      </c>
    </row>
    <row r="806" customHeight="1" spans="1:10">
      <c r="A806" s="3">
        <v>852</v>
      </c>
      <c r="B806" s="3" t="s">
        <v>235</v>
      </c>
      <c r="C806" s="3" t="s">
        <v>177</v>
      </c>
      <c r="D806" s="3" t="s">
        <v>373</v>
      </c>
      <c r="E806" s="3" t="s">
        <v>22</v>
      </c>
      <c r="F806" s="3">
        <v>0.03</v>
      </c>
      <c r="G806" s="3">
        <v>480</v>
      </c>
      <c r="H806" s="3">
        <f t="shared" si="14"/>
        <v>14.4</v>
      </c>
      <c r="I806" s="3"/>
      <c r="J806" s="3">
        <v>9.12</v>
      </c>
    </row>
    <row r="807" customHeight="1" spans="1:10">
      <c r="A807" s="3">
        <v>853</v>
      </c>
      <c r="B807" s="3" t="s">
        <v>375</v>
      </c>
      <c r="C807" s="3" t="s">
        <v>177</v>
      </c>
      <c r="D807" s="3" t="s">
        <v>178</v>
      </c>
      <c r="E807" s="3" t="s">
        <v>22</v>
      </c>
      <c r="F807" s="3">
        <v>0.63</v>
      </c>
      <c r="G807" s="3">
        <v>480</v>
      </c>
      <c r="H807" s="3">
        <f t="shared" si="14"/>
        <v>302.4</v>
      </c>
      <c r="I807" s="3"/>
      <c r="J807" s="3">
        <v>9.12</v>
      </c>
    </row>
    <row r="808" customHeight="1" spans="1:10">
      <c r="A808" s="3">
        <v>854</v>
      </c>
      <c r="B808" s="3" t="s">
        <v>234</v>
      </c>
      <c r="C808" s="3" t="s">
        <v>177</v>
      </c>
      <c r="D808" s="3" t="s">
        <v>376</v>
      </c>
      <c r="E808" s="3" t="s">
        <v>22</v>
      </c>
      <c r="F808" s="3">
        <v>0.84</v>
      </c>
      <c r="G808" s="3">
        <v>480</v>
      </c>
      <c r="H808" s="3">
        <f t="shared" si="14"/>
        <v>403.2</v>
      </c>
      <c r="I808" s="3"/>
      <c r="J808" s="3">
        <v>9.12</v>
      </c>
    </row>
    <row r="809" customHeight="1" spans="1:10">
      <c r="A809" s="3">
        <v>855</v>
      </c>
      <c r="B809" s="3" t="s">
        <v>377</v>
      </c>
      <c r="C809" s="3" t="s">
        <v>177</v>
      </c>
      <c r="D809" s="3" t="s">
        <v>376</v>
      </c>
      <c r="E809" s="3" t="s">
        <v>22</v>
      </c>
      <c r="F809" s="3">
        <v>0.06</v>
      </c>
      <c r="G809" s="3">
        <v>480</v>
      </c>
      <c r="H809" s="3">
        <f t="shared" si="14"/>
        <v>28.8</v>
      </c>
      <c r="I809" s="3"/>
      <c r="J809" s="3">
        <v>9.12</v>
      </c>
    </row>
    <row r="810" customHeight="1" spans="1:10">
      <c r="A810" s="3">
        <v>856</v>
      </c>
      <c r="B810" s="3" t="s">
        <v>234</v>
      </c>
      <c r="C810" s="3" t="s">
        <v>177</v>
      </c>
      <c r="D810" s="3" t="s">
        <v>376</v>
      </c>
      <c r="E810" s="3" t="s">
        <v>22</v>
      </c>
      <c r="F810" s="3">
        <v>0.4</v>
      </c>
      <c r="G810" s="3">
        <v>480</v>
      </c>
      <c r="H810" s="3">
        <f t="shared" si="14"/>
        <v>192</v>
      </c>
      <c r="I810" s="3"/>
      <c r="J810" s="3">
        <v>9.12</v>
      </c>
    </row>
    <row r="811" customHeight="1" spans="1:10">
      <c r="A811" s="3">
        <v>857</v>
      </c>
      <c r="B811" s="3" t="s">
        <v>107</v>
      </c>
      <c r="C811" s="3" t="s">
        <v>177</v>
      </c>
      <c r="D811" s="3" t="s">
        <v>376</v>
      </c>
      <c r="E811" s="3" t="s">
        <v>22</v>
      </c>
      <c r="F811" s="3">
        <v>0.2</v>
      </c>
      <c r="G811" s="3">
        <v>480</v>
      </c>
      <c r="H811" s="3">
        <f t="shared" si="14"/>
        <v>96</v>
      </c>
      <c r="I811" s="3"/>
      <c r="J811" s="3">
        <v>9.12</v>
      </c>
    </row>
    <row r="812" customHeight="1" spans="1:10">
      <c r="A812" s="3">
        <v>858</v>
      </c>
      <c r="B812" s="3" t="s">
        <v>378</v>
      </c>
      <c r="C812" s="3" t="s">
        <v>177</v>
      </c>
      <c r="D812" s="3" t="s">
        <v>379</v>
      </c>
      <c r="E812" s="3" t="s">
        <v>22</v>
      </c>
      <c r="F812" s="3">
        <v>3.65</v>
      </c>
      <c r="G812" s="3">
        <v>480</v>
      </c>
      <c r="H812" s="3">
        <f t="shared" si="14"/>
        <v>1752</v>
      </c>
      <c r="I812" s="3"/>
      <c r="J812" s="3">
        <v>9.12</v>
      </c>
    </row>
    <row r="813" customHeight="1" spans="1:10">
      <c r="A813" s="3">
        <v>859</v>
      </c>
      <c r="B813" s="3" t="s">
        <v>370</v>
      </c>
      <c r="C813" s="3" t="s">
        <v>177</v>
      </c>
      <c r="D813" s="3"/>
      <c r="E813" s="3" t="s">
        <v>22</v>
      </c>
      <c r="F813" s="3">
        <v>0.17</v>
      </c>
      <c r="G813" s="3">
        <v>480</v>
      </c>
      <c r="H813" s="3">
        <f t="shared" si="14"/>
        <v>81.6</v>
      </c>
      <c r="I813" s="3"/>
      <c r="J813" s="3">
        <v>9.12</v>
      </c>
    </row>
    <row r="814" customHeight="1" spans="1:10">
      <c r="A814" s="3">
        <v>860</v>
      </c>
      <c r="B814" s="3" t="s">
        <v>380</v>
      </c>
      <c r="C814" s="3" t="s">
        <v>177</v>
      </c>
      <c r="D814" s="3" t="s">
        <v>359</v>
      </c>
      <c r="E814" s="3" t="s">
        <v>13</v>
      </c>
      <c r="F814" s="3">
        <v>1.21</v>
      </c>
      <c r="G814" s="3">
        <v>380</v>
      </c>
      <c r="H814" s="3">
        <f t="shared" si="14"/>
        <v>459.8</v>
      </c>
      <c r="I814" s="3"/>
      <c r="J814" s="3">
        <v>9.12</v>
      </c>
    </row>
    <row r="815" customHeight="1" spans="1:10">
      <c r="A815" s="3">
        <v>861</v>
      </c>
      <c r="B815" s="3" t="s">
        <v>381</v>
      </c>
      <c r="C815" s="3" t="s">
        <v>177</v>
      </c>
      <c r="D815" s="3" t="s">
        <v>362</v>
      </c>
      <c r="E815" s="3" t="s">
        <v>13</v>
      </c>
      <c r="F815" s="3">
        <v>0.05</v>
      </c>
      <c r="G815" s="3">
        <v>380</v>
      </c>
      <c r="H815" s="3">
        <f t="shared" si="14"/>
        <v>19</v>
      </c>
      <c r="I815" s="3"/>
      <c r="J815" s="3">
        <v>9.12</v>
      </c>
    </row>
    <row r="816" customHeight="1" spans="1:10">
      <c r="A816" s="3">
        <v>862</v>
      </c>
      <c r="B816" s="3" t="s">
        <v>358</v>
      </c>
      <c r="C816" s="3" t="s">
        <v>177</v>
      </c>
      <c r="D816" s="3" t="s">
        <v>362</v>
      </c>
      <c r="E816" s="3" t="s">
        <v>13</v>
      </c>
      <c r="F816" s="3">
        <v>1.03</v>
      </c>
      <c r="G816" s="3">
        <v>380</v>
      </c>
      <c r="H816" s="3">
        <f t="shared" si="14"/>
        <v>391.4</v>
      </c>
      <c r="I816" s="3"/>
      <c r="J816" s="3">
        <v>9.12</v>
      </c>
    </row>
    <row r="817" customHeight="1" spans="1:11">
      <c r="A817" s="3">
        <v>863</v>
      </c>
      <c r="B817" s="3" t="s">
        <v>382</v>
      </c>
      <c r="C817" s="3" t="s">
        <v>177</v>
      </c>
      <c r="D817" s="3" t="s">
        <v>383</v>
      </c>
      <c r="E817" s="3" t="s">
        <v>13</v>
      </c>
      <c r="F817" s="3">
        <v>0.52</v>
      </c>
      <c r="G817" s="3">
        <v>380</v>
      </c>
      <c r="H817" s="3">
        <f t="shared" si="14"/>
        <v>197.6</v>
      </c>
      <c r="I817" s="3"/>
      <c r="J817" s="3">
        <v>9.12</v>
      </c>
    </row>
    <row r="818" customHeight="1" spans="1:11">
      <c r="A818" s="3">
        <v>864</v>
      </c>
      <c r="B818" s="3" t="s">
        <v>384</v>
      </c>
      <c r="C818" s="3" t="s">
        <v>177</v>
      </c>
      <c r="D818" s="3" t="s">
        <v>383</v>
      </c>
      <c r="E818" s="3" t="s">
        <v>13</v>
      </c>
      <c r="F818" s="3">
        <v>0.71</v>
      </c>
      <c r="G818" s="3">
        <v>380</v>
      </c>
      <c r="H818" s="3">
        <f t="shared" si="14"/>
        <v>269.8</v>
      </c>
      <c r="I818" s="3"/>
      <c r="J818" s="3">
        <v>9.12</v>
      </c>
    </row>
    <row r="819" customHeight="1" spans="1:11">
      <c r="A819" s="3">
        <v>865</v>
      </c>
      <c r="B819" s="3" t="s">
        <v>231</v>
      </c>
      <c r="C819" s="3" t="s">
        <v>177</v>
      </c>
      <c r="D819" s="3" t="s">
        <v>383</v>
      </c>
      <c r="E819" s="3" t="s">
        <v>13</v>
      </c>
      <c r="F819" s="3">
        <v>0.9</v>
      </c>
      <c r="G819" s="3">
        <v>380</v>
      </c>
      <c r="H819" s="3">
        <f t="shared" si="14"/>
        <v>342</v>
      </c>
      <c r="I819" s="3"/>
      <c r="J819" s="3">
        <v>9.12</v>
      </c>
    </row>
    <row r="820" customHeight="1" spans="1:11">
      <c r="A820" s="3">
        <v>866</v>
      </c>
      <c r="B820" s="3" t="s">
        <v>385</v>
      </c>
      <c r="C820" s="3" t="s">
        <v>177</v>
      </c>
      <c r="D820" s="3" t="s">
        <v>383</v>
      </c>
      <c r="E820" s="3" t="s">
        <v>13</v>
      </c>
      <c r="F820" s="3">
        <v>0.48</v>
      </c>
      <c r="G820" s="3">
        <v>380</v>
      </c>
      <c r="H820" s="3">
        <f t="shared" si="14"/>
        <v>182.4</v>
      </c>
      <c r="I820" s="3"/>
      <c r="J820" s="3">
        <v>9.12</v>
      </c>
    </row>
    <row r="821" customHeight="1" spans="1:11">
      <c r="A821" s="3">
        <v>867</v>
      </c>
      <c r="B821" s="3" t="s">
        <v>234</v>
      </c>
      <c r="C821" s="3" t="s">
        <v>177</v>
      </c>
      <c r="D821" s="3" t="s">
        <v>383</v>
      </c>
      <c r="E821" s="3" t="s">
        <v>13</v>
      </c>
      <c r="F821" s="3">
        <v>1.28</v>
      </c>
      <c r="G821" s="3">
        <v>380</v>
      </c>
      <c r="H821" s="3">
        <f t="shared" si="14"/>
        <v>486.4</v>
      </c>
      <c r="I821" s="3"/>
      <c r="J821" s="3">
        <v>9.12</v>
      </c>
    </row>
    <row r="822" customHeight="1" spans="1:11">
      <c r="A822" s="3">
        <v>868</v>
      </c>
      <c r="B822" s="3" t="s">
        <v>107</v>
      </c>
      <c r="C822" s="3" t="s">
        <v>177</v>
      </c>
      <c r="D822" s="3" t="s">
        <v>386</v>
      </c>
      <c r="E822" s="3" t="s">
        <v>13</v>
      </c>
      <c r="F822" s="3">
        <v>0.15</v>
      </c>
      <c r="G822" s="3">
        <v>380</v>
      </c>
      <c r="H822" s="3">
        <f t="shared" si="14"/>
        <v>57</v>
      </c>
      <c r="I822" s="3"/>
      <c r="J822" s="3">
        <v>9.12</v>
      </c>
    </row>
    <row r="823" customHeight="1" spans="1:11">
      <c r="A823" s="3">
        <v>869</v>
      </c>
      <c r="B823" s="3" t="s">
        <v>387</v>
      </c>
      <c r="C823" s="3" t="s">
        <v>177</v>
      </c>
      <c r="D823" s="3" t="s">
        <v>386</v>
      </c>
      <c r="E823" s="3" t="s">
        <v>13</v>
      </c>
      <c r="F823" s="3">
        <v>0.05</v>
      </c>
      <c r="G823" s="3">
        <v>380</v>
      </c>
      <c r="H823" s="3">
        <f t="shared" si="14"/>
        <v>19</v>
      </c>
      <c r="I823" s="3"/>
      <c r="J823" s="3">
        <v>9.12</v>
      </c>
    </row>
    <row r="824" customHeight="1" spans="1:11">
      <c r="A824" s="3">
        <v>870</v>
      </c>
      <c r="B824" s="3" t="s">
        <v>382</v>
      </c>
      <c r="C824" s="3" t="s">
        <v>177</v>
      </c>
      <c r="D824" s="3" t="s">
        <v>386</v>
      </c>
      <c r="E824" s="3" t="s">
        <v>13</v>
      </c>
      <c r="F824" s="3">
        <v>0.11</v>
      </c>
      <c r="G824" s="3">
        <v>380</v>
      </c>
      <c r="H824" s="3">
        <f t="shared" si="14"/>
        <v>41.8</v>
      </c>
      <c r="I824" s="3"/>
      <c r="J824" s="3">
        <v>9.12</v>
      </c>
    </row>
    <row r="825" customHeight="1" spans="1:11">
      <c r="A825" s="3">
        <v>871</v>
      </c>
      <c r="B825" s="3" t="s">
        <v>235</v>
      </c>
      <c r="C825" s="3" t="s">
        <v>177</v>
      </c>
      <c r="D825" s="3" t="s">
        <v>386</v>
      </c>
      <c r="E825" s="3" t="s">
        <v>13</v>
      </c>
      <c r="F825" s="3">
        <v>0.2</v>
      </c>
      <c r="G825" s="3">
        <v>380</v>
      </c>
      <c r="H825" s="3">
        <f t="shared" si="14"/>
        <v>76</v>
      </c>
      <c r="I825" s="3"/>
      <c r="J825" s="3">
        <v>9.12</v>
      </c>
    </row>
    <row r="826" customHeight="1" spans="1:11">
      <c r="A826" s="3">
        <v>872</v>
      </c>
      <c r="B826" s="3" t="s">
        <v>385</v>
      </c>
      <c r="C826" s="3" t="s">
        <v>177</v>
      </c>
      <c r="D826" s="3" t="s">
        <v>386</v>
      </c>
      <c r="E826" s="3" t="s">
        <v>13</v>
      </c>
      <c r="F826" s="3">
        <v>0.2</v>
      </c>
      <c r="G826" s="3">
        <v>380</v>
      </c>
      <c r="H826" s="3">
        <f t="shared" si="14"/>
        <v>76</v>
      </c>
      <c r="I826" s="3"/>
      <c r="J826" s="3">
        <v>9.12</v>
      </c>
    </row>
    <row r="827" customHeight="1" spans="1:11">
      <c r="A827" s="3">
        <v>873</v>
      </c>
      <c r="B827" s="3" t="s">
        <v>387</v>
      </c>
      <c r="C827" s="3" t="s">
        <v>177</v>
      </c>
      <c r="D827" s="3" t="s">
        <v>386</v>
      </c>
      <c r="E827" s="3" t="s">
        <v>13</v>
      </c>
      <c r="F827" s="3">
        <v>0.23</v>
      </c>
      <c r="G827" s="3">
        <v>380</v>
      </c>
      <c r="H827" s="3">
        <f t="shared" si="14"/>
        <v>87.4</v>
      </c>
      <c r="I827" s="3"/>
      <c r="J827" s="3">
        <v>9.12</v>
      </c>
    </row>
    <row r="828" customHeight="1" spans="1:11">
      <c r="A828" s="3">
        <v>874</v>
      </c>
      <c r="B828" s="3" t="s">
        <v>384</v>
      </c>
      <c r="C828" s="3" t="s">
        <v>177</v>
      </c>
      <c r="D828" s="3" t="s">
        <v>386</v>
      </c>
      <c r="E828" s="3" t="s">
        <v>13</v>
      </c>
      <c r="F828" s="3">
        <v>0.14</v>
      </c>
      <c r="G828" s="3">
        <v>380</v>
      </c>
      <c r="H828" s="3">
        <f t="shared" si="14"/>
        <v>53.2</v>
      </c>
      <c r="I828" s="3"/>
      <c r="J828" s="3">
        <v>9.12</v>
      </c>
    </row>
    <row r="829" customHeight="1" spans="1:11">
      <c r="A829" s="3">
        <v>875</v>
      </c>
      <c r="B829" s="3" t="s">
        <v>156</v>
      </c>
      <c r="C829" s="3" t="s">
        <v>21</v>
      </c>
      <c r="D829" s="3" t="s">
        <v>150</v>
      </c>
      <c r="E829" s="3" t="s">
        <v>13</v>
      </c>
      <c r="F829" s="3">
        <v>1.16</v>
      </c>
      <c r="G829" s="3">
        <v>380</v>
      </c>
      <c r="H829" s="3">
        <f t="shared" si="14"/>
        <v>440.8</v>
      </c>
      <c r="I829" s="3"/>
      <c r="J829" s="3">
        <v>9.12</v>
      </c>
    </row>
    <row r="830" customHeight="1" spans="1:11">
      <c r="A830" s="3">
        <v>876</v>
      </c>
      <c r="B830" s="3" t="s">
        <v>156</v>
      </c>
      <c r="C830" s="3" t="s">
        <v>21</v>
      </c>
      <c r="D830" s="3" t="s">
        <v>150</v>
      </c>
      <c r="E830" s="3" t="s">
        <v>13</v>
      </c>
      <c r="F830" s="3">
        <v>0.19</v>
      </c>
      <c r="G830" s="3">
        <v>380</v>
      </c>
      <c r="H830" s="3">
        <f t="shared" si="14"/>
        <v>72.2</v>
      </c>
      <c r="I830" s="3"/>
      <c r="J830" s="3">
        <v>9.12</v>
      </c>
    </row>
    <row r="831" customHeight="1" spans="1:11">
      <c r="A831" s="3">
        <v>877</v>
      </c>
      <c r="B831" s="1" t="s">
        <v>33</v>
      </c>
      <c r="C831" s="3" t="s">
        <v>21</v>
      </c>
      <c r="D831" s="3" t="s">
        <v>150</v>
      </c>
      <c r="E831" s="3" t="s">
        <v>13</v>
      </c>
      <c r="F831" s="3">
        <v>0.07</v>
      </c>
      <c r="G831" s="3">
        <v>380</v>
      </c>
      <c r="H831" s="3">
        <f t="shared" si="14"/>
        <v>26.6</v>
      </c>
      <c r="I831" s="3"/>
      <c r="J831" s="3">
        <v>9.12</v>
      </c>
      <c r="K831" s="1" t="s">
        <v>25</v>
      </c>
    </row>
    <row r="832" customHeight="1" spans="1:11">
      <c r="A832" s="3">
        <v>878</v>
      </c>
      <c r="B832" s="3" t="s">
        <v>137</v>
      </c>
      <c r="C832" s="3" t="s">
        <v>21</v>
      </c>
      <c r="D832" s="3" t="s">
        <v>154</v>
      </c>
      <c r="E832" s="3" t="s">
        <v>13</v>
      </c>
      <c r="F832" s="3">
        <v>0.29</v>
      </c>
      <c r="G832" s="3">
        <v>380</v>
      </c>
      <c r="H832" s="3">
        <f t="shared" si="14"/>
        <v>110.2</v>
      </c>
      <c r="I832" s="3"/>
      <c r="J832" s="3">
        <v>9.12</v>
      </c>
    </row>
    <row r="833" customHeight="1" spans="1:11">
      <c r="A833" s="3">
        <v>879</v>
      </c>
      <c r="B833" s="3" t="s">
        <v>32</v>
      </c>
      <c r="C833" s="3" t="s">
        <v>21</v>
      </c>
      <c r="D833" s="3" t="s">
        <v>154</v>
      </c>
      <c r="E833" s="3" t="s">
        <v>13</v>
      </c>
      <c r="F833" s="3">
        <v>0.75</v>
      </c>
      <c r="G833" s="3">
        <v>380</v>
      </c>
      <c r="H833" s="3">
        <f t="shared" si="14"/>
        <v>285</v>
      </c>
      <c r="I833" s="3"/>
      <c r="J833" s="3">
        <v>9.12</v>
      </c>
      <c r="K833" s="1" t="s">
        <v>25</v>
      </c>
    </row>
    <row r="834" customHeight="1" spans="1:11">
      <c r="A834" s="3">
        <v>880</v>
      </c>
      <c r="B834" s="3" t="s">
        <v>388</v>
      </c>
      <c r="C834" s="3" t="s">
        <v>21</v>
      </c>
      <c r="D834" s="3" t="s">
        <v>150</v>
      </c>
      <c r="E834" s="3" t="s">
        <v>13</v>
      </c>
      <c r="F834" s="3">
        <v>0.28</v>
      </c>
      <c r="G834" s="3">
        <v>380</v>
      </c>
      <c r="H834" s="3">
        <f t="shared" si="14"/>
        <v>106.4</v>
      </c>
      <c r="I834" s="3"/>
      <c r="J834" s="3">
        <v>9.12</v>
      </c>
    </row>
    <row r="835" customHeight="1" spans="1:11">
      <c r="A835" s="3">
        <v>881</v>
      </c>
      <c r="B835" s="3" t="s">
        <v>130</v>
      </c>
      <c r="C835" s="3" t="s">
        <v>21</v>
      </c>
      <c r="D835" s="3" t="s">
        <v>150</v>
      </c>
      <c r="E835" s="3" t="s">
        <v>13</v>
      </c>
      <c r="F835" s="3">
        <v>0.34</v>
      </c>
      <c r="G835" s="3">
        <v>380</v>
      </c>
      <c r="H835" s="3">
        <f t="shared" si="14"/>
        <v>129.2</v>
      </c>
      <c r="I835" s="3"/>
      <c r="J835" s="3">
        <v>9.12</v>
      </c>
      <c r="K835" s="1" t="s">
        <v>25</v>
      </c>
    </row>
    <row r="836" customHeight="1" spans="1:11">
      <c r="A836" s="3">
        <v>882</v>
      </c>
      <c r="B836" s="3" t="s">
        <v>34</v>
      </c>
      <c r="C836" s="3" t="s">
        <v>21</v>
      </c>
      <c r="D836" s="3" t="s">
        <v>154</v>
      </c>
      <c r="E836" s="3" t="s">
        <v>13</v>
      </c>
      <c r="F836" s="3">
        <v>0.85</v>
      </c>
      <c r="G836" s="3">
        <v>380</v>
      </c>
      <c r="H836" s="3">
        <f t="shared" si="14"/>
        <v>323</v>
      </c>
      <c r="I836" s="3"/>
      <c r="J836" s="3">
        <v>9.12</v>
      </c>
      <c r="K836" s="1" t="s">
        <v>25</v>
      </c>
    </row>
    <row r="837" customHeight="1" spans="1:11">
      <c r="A837" s="3">
        <v>883</v>
      </c>
      <c r="B837" s="3" t="s">
        <v>145</v>
      </c>
      <c r="C837" s="3" t="s">
        <v>21</v>
      </c>
      <c r="D837" s="3" t="s">
        <v>154</v>
      </c>
      <c r="E837" s="3" t="s">
        <v>13</v>
      </c>
      <c r="F837" s="3">
        <v>0.18</v>
      </c>
      <c r="G837" s="3">
        <v>380</v>
      </c>
      <c r="H837" s="3">
        <f t="shared" si="14"/>
        <v>68.4</v>
      </c>
      <c r="I837" s="3"/>
      <c r="J837" s="3">
        <v>9.12</v>
      </c>
      <c r="K837" s="1" t="s">
        <v>25</v>
      </c>
    </row>
    <row r="838" customHeight="1" spans="1:11">
      <c r="A838" s="3">
        <v>884</v>
      </c>
      <c r="B838" s="3" t="s">
        <v>156</v>
      </c>
      <c r="C838" s="3" t="s">
        <v>21</v>
      </c>
      <c r="D838" s="3" t="s">
        <v>154</v>
      </c>
      <c r="E838" s="3" t="s">
        <v>13</v>
      </c>
      <c r="F838" s="3">
        <v>0.06</v>
      </c>
      <c r="G838" s="3">
        <v>380</v>
      </c>
      <c r="H838" s="3">
        <f t="shared" si="14"/>
        <v>22.8</v>
      </c>
      <c r="I838" s="3"/>
      <c r="J838" s="3">
        <v>9.12</v>
      </c>
    </row>
    <row r="839" customHeight="1" spans="1:11">
      <c r="A839" s="3">
        <v>885</v>
      </c>
      <c r="B839" s="3" t="s">
        <v>156</v>
      </c>
      <c r="C839" s="3" t="s">
        <v>21</v>
      </c>
      <c r="D839" s="3" t="s">
        <v>154</v>
      </c>
      <c r="E839" s="3" t="s">
        <v>13</v>
      </c>
      <c r="F839" s="3">
        <v>0.39</v>
      </c>
      <c r="G839" s="3">
        <v>380</v>
      </c>
      <c r="H839" s="3">
        <f t="shared" si="14"/>
        <v>148.2</v>
      </c>
      <c r="I839" s="3"/>
      <c r="J839" s="3">
        <v>9.12</v>
      </c>
    </row>
    <row r="840" customHeight="1" spans="1:11">
      <c r="A840" s="3">
        <v>886</v>
      </c>
      <c r="B840" s="3" t="s">
        <v>389</v>
      </c>
      <c r="C840" s="3" t="s">
        <v>21</v>
      </c>
      <c r="D840" s="3" t="s">
        <v>150</v>
      </c>
      <c r="E840" s="3" t="s">
        <v>13</v>
      </c>
      <c r="F840" s="3">
        <v>0.21</v>
      </c>
      <c r="G840" s="3">
        <v>380</v>
      </c>
      <c r="H840" s="3">
        <f t="shared" ref="H840:H903" si="15">G840*F840</f>
        <v>79.8</v>
      </c>
      <c r="I840" s="3"/>
      <c r="J840" s="3">
        <v>9.12</v>
      </c>
      <c r="K840" s="1" t="s">
        <v>25</v>
      </c>
    </row>
    <row r="841" customHeight="1" spans="1:11">
      <c r="A841" s="3">
        <v>887</v>
      </c>
      <c r="B841" s="3" t="s">
        <v>235</v>
      </c>
      <c r="C841" s="3" t="s">
        <v>177</v>
      </c>
      <c r="D841" s="3" t="s">
        <v>150</v>
      </c>
      <c r="E841" s="3" t="s">
        <v>13</v>
      </c>
      <c r="F841" s="3">
        <v>1.27</v>
      </c>
      <c r="G841" s="3">
        <v>380</v>
      </c>
      <c r="H841" s="3">
        <f t="shared" si="15"/>
        <v>482.6</v>
      </c>
      <c r="I841" s="3"/>
      <c r="J841" s="3">
        <v>9.12</v>
      </c>
    </row>
    <row r="842" customHeight="1" spans="1:11">
      <c r="A842" s="3">
        <v>888</v>
      </c>
      <c r="B842" s="3" t="s">
        <v>390</v>
      </c>
      <c r="C842" s="3" t="s">
        <v>177</v>
      </c>
      <c r="D842" s="3" t="s">
        <v>150</v>
      </c>
      <c r="E842" s="3" t="s">
        <v>13</v>
      </c>
      <c r="F842" s="3">
        <v>0.13</v>
      </c>
      <c r="G842" s="3">
        <v>380</v>
      </c>
      <c r="H842" s="3">
        <f t="shared" si="15"/>
        <v>49.4</v>
      </c>
      <c r="I842" s="3"/>
      <c r="J842" s="3">
        <v>9.12</v>
      </c>
    </row>
    <row r="843" customHeight="1" spans="1:11">
      <c r="A843" s="3">
        <v>889</v>
      </c>
      <c r="B843" s="3" t="s">
        <v>380</v>
      </c>
      <c r="C843" s="3" t="s">
        <v>177</v>
      </c>
      <c r="D843" s="3" t="s">
        <v>150</v>
      </c>
      <c r="E843" s="3" t="s">
        <v>13</v>
      </c>
      <c r="F843" s="3">
        <v>0.08</v>
      </c>
      <c r="G843" s="3">
        <v>380</v>
      </c>
      <c r="H843" s="3">
        <f t="shared" si="15"/>
        <v>30.4</v>
      </c>
      <c r="I843" s="3"/>
      <c r="J843" s="3">
        <v>9.12</v>
      </c>
    </row>
    <row r="844" customHeight="1" spans="1:11">
      <c r="A844" s="3">
        <v>890</v>
      </c>
      <c r="B844" s="3" t="s">
        <v>391</v>
      </c>
      <c r="C844" s="3" t="s">
        <v>177</v>
      </c>
      <c r="D844" s="3" t="s">
        <v>150</v>
      </c>
      <c r="E844" s="3" t="s">
        <v>13</v>
      </c>
      <c r="F844" s="3">
        <v>0.02</v>
      </c>
      <c r="G844" s="3">
        <v>380</v>
      </c>
      <c r="H844" s="3">
        <f t="shared" si="15"/>
        <v>7.6</v>
      </c>
      <c r="I844" s="3"/>
      <c r="J844" s="3">
        <v>9.12</v>
      </c>
    </row>
    <row r="845" customHeight="1" spans="1:11">
      <c r="A845" s="3">
        <v>891</v>
      </c>
      <c r="B845" s="3" t="s">
        <v>358</v>
      </c>
      <c r="C845" s="3" t="s">
        <v>177</v>
      </c>
      <c r="D845" s="3" t="s">
        <v>150</v>
      </c>
      <c r="E845" s="3" t="s">
        <v>13</v>
      </c>
      <c r="F845" s="3">
        <v>0.01</v>
      </c>
      <c r="G845" s="3">
        <v>380</v>
      </c>
      <c r="H845" s="3">
        <f t="shared" si="15"/>
        <v>3.8</v>
      </c>
      <c r="I845" s="3"/>
      <c r="J845" s="3">
        <v>9.12</v>
      </c>
    </row>
    <row r="846" customHeight="1" spans="1:11">
      <c r="A846" s="3">
        <v>892</v>
      </c>
      <c r="B846" s="3" t="s">
        <v>235</v>
      </c>
      <c r="C846" s="3" t="s">
        <v>177</v>
      </c>
      <c r="D846" s="3" t="s">
        <v>150</v>
      </c>
      <c r="E846" s="3" t="s">
        <v>13</v>
      </c>
      <c r="F846" s="3">
        <v>0.01</v>
      </c>
      <c r="G846" s="3">
        <v>380</v>
      </c>
      <c r="H846" s="3">
        <f t="shared" si="15"/>
        <v>3.8</v>
      </c>
      <c r="I846" s="3"/>
      <c r="J846" s="3">
        <v>9.12</v>
      </c>
    </row>
    <row r="847" customHeight="1" spans="1:11">
      <c r="A847" s="3">
        <v>893</v>
      </c>
      <c r="B847" s="3" t="s">
        <v>231</v>
      </c>
      <c r="C847" s="3" t="s">
        <v>177</v>
      </c>
      <c r="D847" s="3" t="s">
        <v>150</v>
      </c>
      <c r="E847" s="3" t="s">
        <v>13</v>
      </c>
      <c r="F847" s="3">
        <v>0.31</v>
      </c>
      <c r="G847" s="3">
        <v>380</v>
      </c>
      <c r="H847" s="3">
        <f t="shared" si="15"/>
        <v>117.8</v>
      </c>
      <c r="I847" s="3"/>
      <c r="J847" s="3">
        <v>9.12</v>
      </c>
    </row>
    <row r="848" customHeight="1" spans="1:11">
      <c r="A848" s="3">
        <v>894</v>
      </c>
      <c r="B848" s="3" t="s">
        <v>375</v>
      </c>
      <c r="C848" s="3" t="s">
        <v>177</v>
      </c>
      <c r="D848" s="3" t="s">
        <v>392</v>
      </c>
      <c r="E848" s="3" t="s">
        <v>13</v>
      </c>
      <c r="F848" s="3">
        <v>0.57</v>
      </c>
      <c r="G848" s="3">
        <v>380</v>
      </c>
      <c r="H848" s="3">
        <f t="shared" si="15"/>
        <v>216.6</v>
      </c>
      <c r="I848" s="3"/>
      <c r="J848" s="3">
        <v>9.12</v>
      </c>
    </row>
    <row r="849" customHeight="1" spans="1:10">
      <c r="A849" s="3">
        <v>895</v>
      </c>
      <c r="B849" s="3" t="s">
        <v>356</v>
      </c>
      <c r="C849" s="3" t="s">
        <v>177</v>
      </c>
      <c r="D849" s="3" t="s">
        <v>392</v>
      </c>
      <c r="E849" s="3" t="s">
        <v>13</v>
      </c>
      <c r="F849" s="3">
        <v>0.26</v>
      </c>
      <c r="G849" s="3">
        <v>380</v>
      </c>
      <c r="H849" s="3">
        <f t="shared" si="15"/>
        <v>98.8</v>
      </c>
      <c r="I849" s="3"/>
      <c r="J849" s="3">
        <v>9.12</v>
      </c>
    </row>
    <row r="850" customHeight="1" spans="1:10">
      <c r="A850" s="3">
        <v>896</v>
      </c>
      <c r="B850" s="3" t="s">
        <v>370</v>
      </c>
      <c r="C850" s="3" t="s">
        <v>177</v>
      </c>
      <c r="D850" s="3" t="s">
        <v>392</v>
      </c>
      <c r="E850" s="3" t="s">
        <v>13</v>
      </c>
      <c r="F850" s="3">
        <v>1.1</v>
      </c>
      <c r="G850" s="3">
        <v>380</v>
      </c>
      <c r="H850" s="3">
        <f t="shared" si="15"/>
        <v>418</v>
      </c>
      <c r="I850" s="3"/>
      <c r="J850" s="3">
        <v>9.12</v>
      </c>
    </row>
    <row r="851" customHeight="1" spans="1:10">
      <c r="A851" s="3">
        <v>897</v>
      </c>
      <c r="B851" s="3" t="s">
        <v>360</v>
      </c>
      <c r="C851" s="3" t="s">
        <v>177</v>
      </c>
      <c r="D851" s="3" t="s">
        <v>392</v>
      </c>
      <c r="E851" s="3" t="s">
        <v>13</v>
      </c>
      <c r="F851" s="3">
        <v>0.07</v>
      </c>
      <c r="G851" s="3">
        <v>380</v>
      </c>
      <c r="H851" s="3">
        <f t="shared" si="15"/>
        <v>26.6</v>
      </c>
      <c r="I851" s="3"/>
      <c r="J851" s="3">
        <v>9.12</v>
      </c>
    </row>
    <row r="852" customHeight="1" spans="1:10">
      <c r="A852" s="3">
        <v>898</v>
      </c>
      <c r="B852" s="3" t="s">
        <v>356</v>
      </c>
      <c r="C852" s="3" t="s">
        <v>177</v>
      </c>
      <c r="D852" s="3" t="s">
        <v>392</v>
      </c>
      <c r="E852" s="3" t="s">
        <v>13</v>
      </c>
      <c r="F852" s="3">
        <v>0.45</v>
      </c>
      <c r="G852" s="3">
        <v>380</v>
      </c>
      <c r="H852" s="3">
        <f t="shared" si="15"/>
        <v>171</v>
      </c>
      <c r="I852" s="3"/>
      <c r="J852" s="3">
        <v>9.12</v>
      </c>
    </row>
    <row r="853" customHeight="1" spans="1:10">
      <c r="A853" s="3">
        <v>899</v>
      </c>
      <c r="B853" s="3" t="s">
        <v>361</v>
      </c>
      <c r="C853" s="3" t="s">
        <v>177</v>
      </c>
      <c r="D853" s="3" t="s">
        <v>393</v>
      </c>
      <c r="E853" s="3" t="s">
        <v>13</v>
      </c>
      <c r="F853" s="3">
        <v>0.35</v>
      </c>
      <c r="G853" s="3">
        <v>380</v>
      </c>
      <c r="H853" s="3">
        <f t="shared" si="15"/>
        <v>133</v>
      </c>
      <c r="I853" s="3"/>
      <c r="J853" s="3">
        <v>9.12</v>
      </c>
    </row>
    <row r="854" customHeight="1" spans="1:10">
      <c r="A854" s="3">
        <v>900</v>
      </c>
      <c r="B854" s="3" t="s">
        <v>387</v>
      </c>
      <c r="C854" s="3" t="s">
        <v>177</v>
      </c>
      <c r="D854" s="3" t="s">
        <v>393</v>
      </c>
      <c r="E854" s="3" t="s">
        <v>13</v>
      </c>
      <c r="F854" s="3">
        <v>1.16</v>
      </c>
      <c r="G854" s="3">
        <v>380</v>
      </c>
      <c r="H854" s="3">
        <f t="shared" si="15"/>
        <v>440.8</v>
      </c>
      <c r="I854" s="3"/>
      <c r="J854" s="3">
        <v>9.12</v>
      </c>
    </row>
    <row r="855" customHeight="1" spans="1:10">
      <c r="A855" s="3">
        <v>901</v>
      </c>
      <c r="B855" s="3" t="s">
        <v>370</v>
      </c>
      <c r="C855" s="3" t="s">
        <v>177</v>
      </c>
      <c r="D855" s="3" t="s">
        <v>393</v>
      </c>
      <c r="E855" s="3" t="s">
        <v>13</v>
      </c>
      <c r="F855" s="3">
        <v>0.18</v>
      </c>
      <c r="G855" s="3">
        <v>380</v>
      </c>
      <c r="H855" s="3">
        <f t="shared" si="15"/>
        <v>68.4</v>
      </c>
      <c r="I855" s="3"/>
      <c r="J855" s="3">
        <v>9.12</v>
      </c>
    </row>
    <row r="856" customHeight="1" spans="1:10">
      <c r="A856" s="3">
        <v>902</v>
      </c>
      <c r="B856" s="3" t="s">
        <v>377</v>
      </c>
      <c r="C856" s="3" t="s">
        <v>177</v>
      </c>
      <c r="D856" s="3" t="s">
        <v>393</v>
      </c>
      <c r="E856" s="3" t="s">
        <v>13</v>
      </c>
      <c r="F856" s="3">
        <v>0.3</v>
      </c>
      <c r="G856" s="3">
        <v>380</v>
      </c>
      <c r="H856" s="3">
        <f t="shared" si="15"/>
        <v>114</v>
      </c>
      <c r="I856" s="3"/>
      <c r="J856" s="3">
        <v>9.12</v>
      </c>
    </row>
    <row r="857" customHeight="1" spans="1:10">
      <c r="A857" s="3">
        <v>903</v>
      </c>
      <c r="B857" s="3" t="s">
        <v>394</v>
      </c>
      <c r="C857" s="3" t="s">
        <v>177</v>
      </c>
      <c r="D857" s="3"/>
      <c r="E857" s="3" t="s">
        <v>22</v>
      </c>
      <c r="F857" s="3">
        <v>0.18</v>
      </c>
      <c r="G857" s="3">
        <v>480</v>
      </c>
      <c r="H857" s="3">
        <f t="shared" si="15"/>
        <v>86.4</v>
      </c>
      <c r="I857" s="3"/>
      <c r="J857" s="3">
        <v>9.12</v>
      </c>
    </row>
    <row r="858" customHeight="1" spans="1:10">
      <c r="A858" s="3">
        <v>904</v>
      </c>
      <c r="B858" s="3" t="s">
        <v>391</v>
      </c>
      <c r="C858" s="3" t="s">
        <v>177</v>
      </c>
      <c r="D858" s="3"/>
      <c r="E858" s="3" t="s">
        <v>22</v>
      </c>
      <c r="F858" s="3">
        <v>0.13</v>
      </c>
      <c r="G858" s="3">
        <v>480</v>
      </c>
      <c r="H858" s="3">
        <f t="shared" si="15"/>
        <v>62.4</v>
      </c>
      <c r="I858" s="3"/>
      <c r="J858" s="3">
        <v>9.12</v>
      </c>
    </row>
    <row r="859" customHeight="1" spans="1:10">
      <c r="A859" s="3">
        <v>905</v>
      </c>
      <c r="B859" s="3" t="s">
        <v>377</v>
      </c>
      <c r="C859" s="3" t="s">
        <v>177</v>
      </c>
      <c r="D859" s="3"/>
      <c r="E859" s="3" t="s">
        <v>22</v>
      </c>
      <c r="F859" s="3">
        <v>0.22</v>
      </c>
      <c r="G859" s="3">
        <v>480</v>
      </c>
      <c r="H859" s="3">
        <f t="shared" si="15"/>
        <v>105.6</v>
      </c>
      <c r="I859" s="3"/>
      <c r="J859" s="3">
        <v>9.12</v>
      </c>
    </row>
    <row r="860" customHeight="1" spans="1:10">
      <c r="A860" s="3">
        <v>906</v>
      </c>
      <c r="B860" s="3" t="s">
        <v>235</v>
      </c>
      <c r="C860" s="3" t="s">
        <v>177</v>
      </c>
      <c r="D860" s="3"/>
      <c r="E860" s="3" t="s">
        <v>22</v>
      </c>
      <c r="F860" s="3">
        <v>0.5</v>
      </c>
      <c r="G860" s="3">
        <v>480</v>
      </c>
      <c r="H860" s="3">
        <f t="shared" si="15"/>
        <v>240</v>
      </c>
      <c r="I860" s="3"/>
      <c r="J860" s="3">
        <v>9.12</v>
      </c>
    </row>
    <row r="861" customHeight="1" spans="1:10">
      <c r="A861" s="3">
        <v>907</v>
      </c>
      <c r="B861" s="3" t="s">
        <v>391</v>
      </c>
      <c r="C861" s="3" t="s">
        <v>177</v>
      </c>
      <c r="D861" s="3"/>
      <c r="E861" s="3" t="s">
        <v>22</v>
      </c>
      <c r="F861" s="3">
        <v>0.32</v>
      </c>
      <c r="G861" s="3">
        <v>480</v>
      </c>
      <c r="H861" s="3">
        <f t="shared" si="15"/>
        <v>153.6</v>
      </c>
      <c r="I861" s="3"/>
      <c r="J861" s="3">
        <v>9.12</v>
      </c>
    </row>
    <row r="862" customHeight="1" spans="1:10">
      <c r="A862" s="3">
        <v>908</v>
      </c>
      <c r="B862" s="3" t="s">
        <v>234</v>
      </c>
      <c r="C862" s="3" t="s">
        <v>177</v>
      </c>
      <c r="D862" s="3"/>
      <c r="E862" s="3" t="s">
        <v>22</v>
      </c>
      <c r="F862" s="3">
        <v>0.1</v>
      </c>
      <c r="G862" s="3">
        <v>480</v>
      </c>
      <c r="H862" s="3">
        <f t="shared" si="15"/>
        <v>48</v>
      </c>
      <c r="I862" s="3"/>
      <c r="J862" s="3">
        <v>9.12</v>
      </c>
    </row>
    <row r="863" customHeight="1" spans="1:10">
      <c r="A863" s="3">
        <v>909</v>
      </c>
      <c r="B863" s="3" t="s">
        <v>366</v>
      </c>
      <c r="C863" s="3" t="s">
        <v>177</v>
      </c>
      <c r="D863" s="3"/>
      <c r="E863" s="3" t="s">
        <v>22</v>
      </c>
      <c r="F863" s="3">
        <v>0.57</v>
      </c>
      <c r="G863" s="3">
        <v>480</v>
      </c>
      <c r="H863" s="3">
        <f t="shared" si="15"/>
        <v>273.6</v>
      </c>
      <c r="I863" s="3"/>
      <c r="J863" s="3">
        <v>9.12</v>
      </c>
    </row>
    <row r="864" customHeight="1" spans="1:10">
      <c r="A864" s="3">
        <v>910</v>
      </c>
      <c r="B864" s="3" t="s">
        <v>387</v>
      </c>
      <c r="C864" s="3" t="s">
        <v>177</v>
      </c>
      <c r="D864" s="3"/>
      <c r="E864" s="3" t="s">
        <v>22</v>
      </c>
      <c r="F864" s="3">
        <v>0.63</v>
      </c>
      <c r="G864" s="3">
        <v>480</v>
      </c>
      <c r="H864" s="3">
        <f t="shared" si="15"/>
        <v>302.4</v>
      </c>
      <c r="I864" s="3"/>
      <c r="J864" s="3">
        <v>9.12</v>
      </c>
    </row>
    <row r="865" customHeight="1" spans="1:10">
      <c r="A865" s="3">
        <v>911</v>
      </c>
      <c r="B865" s="3" t="s">
        <v>360</v>
      </c>
      <c r="C865" s="3" t="s">
        <v>177</v>
      </c>
      <c r="D865" s="3"/>
      <c r="E865" s="3" t="s">
        <v>22</v>
      </c>
      <c r="F865" s="3">
        <v>0.44</v>
      </c>
      <c r="G865" s="3">
        <v>480</v>
      </c>
      <c r="H865" s="3">
        <f t="shared" si="15"/>
        <v>211.2</v>
      </c>
      <c r="I865" s="3"/>
      <c r="J865" s="3">
        <v>9.12</v>
      </c>
    </row>
    <row r="866" customHeight="1" spans="1:10">
      <c r="A866" s="3">
        <v>912</v>
      </c>
      <c r="B866" s="3" t="s">
        <v>231</v>
      </c>
      <c r="C866" s="3" t="s">
        <v>177</v>
      </c>
      <c r="D866" s="3"/>
      <c r="E866" s="3" t="s">
        <v>22</v>
      </c>
      <c r="F866" s="3">
        <v>0.61</v>
      </c>
      <c r="G866" s="3">
        <v>480</v>
      </c>
      <c r="H866" s="3">
        <f t="shared" si="15"/>
        <v>292.8</v>
      </c>
      <c r="I866" s="3"/>
      <c r="J866" s="3">
        <v>9.12</v>
      </c>
    </row>
    <row r="867" customHeight="1" spans="1:10">
      <c r="A867" s="3">
        <v>913</v>
      </c>
      <c r="B867" s="3" t="s">
        <v>391</v>
      </c>
      <c r="C867" s="3" t="s">
        <v>177</v>
      </c>
      <c r="D867" s="3"/>
      <c r="E867" s="3" t="s">
        <v>22</v>
      </c>
      <c r="F867" s="3">
        <v>0.4</v>
      </c>
      <c r="G867" s="3">
        <v>480</v>
      </c>
      <c r="H867" s="3">
        <f t="shared" si="15"/>
        <v>192</v>
      </c>
      <c r="I867" s="3"/>
      <c r="J867" s="3">
        <v>9.12</v>
      </c>
    </row>
    <row r="868" customHeight="1" spans="1:10">
      <c r="A868" s="3">
        <v>914</v>
      </c>
      <c r="B868" s="3" t="s">
        <v>368</v>
      </c>
      <c r="C868" s="3" t="s">
        <v>177</v>
      </c>
      <c r="D868" s="3"/>
      <c r="E868" s="3" t="s">
        <v>22</v>
      </c>
      <c r="F868" s="3">
        <v>0.4</v>
      </c>
      <c r="G868" s="3">
        <v>480</v>
      </c>
      <c r="H868" s="3">
        <f t="shared" si="15"/>
        <v>192</v>
      </c>
      <c r="I868" s="3"/>
      <c r="J868" s="3">
        <v>9.12</v>
      </c>
    </row>
    <row r="869" customHeight="1" spans="1:10">
      <c r="A869" s="3">
        <v>915</v>
      </c>
      <c r="B869" s="15" t="s">
        <v>384</v>
      </c>
      <c r="C869" s="3" t="s">
        <v>177</v>
      </c>
      <c r="D869" s="3"/>
      <c r="E869" s="3" t="s">
        <v>22</v>
      </c>
      <c r="F869" s="3">
        <v>0.55</v>
      </c>
      <c r="G869" s="3">
        <v>480</v>
      </c>
      <c r="H869" s="3">
        <f t="shared" si="15"/>
        <v>264</v>
      </c>
      <c r="I869" s="3"/>
      <c r="J869" s="3">
        <v>9.12</v>
      </c>
    </row>
    <row r="870" customHeight="1" spans="1:10">
      <c r="A870" s="3">
        <v>916</v>
      </c>
      <c r="B870" s="3" t="s">
        <v>375</v>
      </c>
      <c r="C870" s="3" t="s">
        <v>177</v>
      </c>
      <c r="D870" s="3" t="s">
        <v>386</v>
      </c>
      <c r="E870" s="3" t="s">
        <v>13</v>
      </c>
      <c r="F870" s="3">
        <v>0.1</v>
      </c>
      <c r="G870" s="3">
        <v>380</v>
      </c>
      <c r="H870" s="3">
        <f t="shared" si="15"/>
        <v>38</v>
      </c>
      <c r="I870" s="3"/>
      <c r="J870" s="3">
        <v>9.13</v>
      </c>
    </row>
    <row r="871" customHeight="1" spans="1:10">
      <c r="A871" s="3">
        <v>917</v>
      </c>
      <c r="B871" s="3" t="s">
        <v>358</v>
      </c>
      <c r="C871" s="3" t="s">
        <v>177</v>
      </c>
      <c r="D871" s="3" t="s">
        <v>386</v>
      </c>
      <c r="E871" s="3" t="s">
        <v>13</v>
      </c>
      <c r="F871" s="3">
        <v>0.26</v>
      </c>
      <c r="G871" s="3">
        <v>380</v>
      </c>
      <c r="H871" s="3">
        <f t="shared" si="15"/>
        <v>98.8</v>
      </c>
      <c r="I871" s="3"/>
      <c r="J871" s="3">
        <v>9.13</v>
      </c>
    </row>
    <row r="872" customHeight="1" spans="1:10">
      <c r="A872" s="3">
        <v>918</v>
      </c>
      <c r="B872" s="3" t="s">
        <v>395</v>
      </c>
      <c r="C872" s="3" t="s">
        <v>177</v>
      </c>
      <c r="D872" s="3" t="s">
        <v>386</v>
      </c>
      <c r="E872" s="3" t="s">
        <v>13</v>
      </c>
      <c r="F872" s="3">
        <v>0.87</v>
      </c>
      <c r="G872" s="3">
        <v>380</v>
      </c>
      <c r="H872" s="3">
        <f t="shared" si="15"/>
        <v>330.6</v>
      </c>
      <c r="I872" s="3"/>
      <c r="J872" s="3">
        <v>9.13</v>
      </c>
    </row>
    <row r="873" customHeight="1" spans="1:10">
      <c r="A873" s="3">
        <v>919</v>
      </c>
      <c r="B873" s="3" t="s">
        <v>368</v>
      </c>
      <c r="C873" s="3" t="s">
        <v>177</v>
      </c>
      <c r="D873" s="3" t="s">
        <v>386</v>
      </c>
      <c r="E873" s="3" t="s">
        <v>13</v>
      </c>
      <c r="F873" s="3">
        <v>0.32</v>
      </c>
      <c r="G873" s="3">
        <v>380</v>
      </c>
      <c r="H873" s="3">
        <f t="shared" si="15"/>
        <v>121.6</v>
      </c>
      <c r="I873" s="3"/>
      <c r="J873" s="3">
        <v>9.13</v>
      </c>
    </row>
    <row r="874" customHeight="1" spans="1:10">
      <c r="A874" s="3">
        <v>920</v>
      </c>
      <c r="B874" s="3" t="s">
        <v>231</v>
      </c>
      <c r="C874" s="3" t="s">
        <v>177</v>
      </c>
      <c r="D874" s="3" t="s">
        <v>396</v>
      </c>
      <c r="E874" s="3" t="s">
        <v>22</v>
      </c>
      <c r="F874" s="3">
        <v>0.46</v>
      </c>
      <c r="G874" s="3">
        <v>480</v>
      </c>
      <c r="H874" s="3">
        <f t="shared" si="15"/>
        <v>220.8</v>
      </c>
      <c r="I874" s="3"/>
      <c r="J874" s="3">
        <v>9.13</v>
      </c>
    </row>
    <row r="875" customHeight="1" spans="1:10">
      <c r="A875" s="3">
        <v>921</v>
      </c>
      <c r="B875" s="3" t="s">
        <v>375</v>
      </c>
      <c r="C875" s="3" t="s">
        <v>177</v>
      </c>
      <c r="D875" s="3" t="s">
        <v>396</v>
      </c>
      <c r="E875" s="3" t="s">
        <v>22</v>
      </c>
      <c r="F875" s="3">
        <v>0.12</v>
      </c>
      <c r="G875" s="3">
        <v>480</v>
      </c>
      <c r="H875" s="3">
        <f t="shared" si="15"/>
        <v>57.6</v>
      </c>
      <c r="I875" s="3"/>
      <c r="J875" s="3">
        <v>9.13</v>
      </c>
    </row>
    <row r="876" customHeight="1" spans="1:10">
      <c r="A876" s="3">
        <v>922</v>
      </c>
      <c r="B876" s="3" t="s">
        <v>382</v>
      </c>
      <c r="C876" s="3" t="s">
        <v>177</v>
      </c>
      <c r="D876" s="3" t="s">
        <v>396</v>
      </c>
      <c r="E876" s="3" t="s">
        <v>22</v>
      </c>
      <c r="F876" s="3">
        <v>0.12</v>
      </c>
      <c r="G876" s="3">
        <v>480</v>
      </c>
      <c r="H876" s="3">
        <f t="shared" si="15"/>
        <v>57.6</v>
      </c>
      <c r="I876" s="3"/>
      <c r="J876" s="3">
        <v>9.13</v>
      </c>
    </row>
    <row r="877" customHeight="1" spans="1:10">
      <c r="A877" s="3">
        <v>923</v>
      </c>
      <c r="B877" s="3" t="s">
        <v>381</v>
      </c>
      <c r="C877" s="3" t="s">
        <v>177</v>
      </c>
      <c r="D877" s="3" t="s">
        <v>204</v>
      </c>
      <c r="E877" s="3" t="s">
        <v>22</v>
      </c>
      <c r="F877" s="3">
        <v>0.72</v>
      </c>
      <c r="G877" s="3">
        <v>480</v>
      </c>
      <c r="H877" s="3">
        <f t="shared" si="15"/>
        <v>345.6</v>
      </c>
      <c r="I877" s="3"/>
      <c r="J877" s="3">
        <v>9.13</v>
      </c>
    </row>
    <row r="878" customHeight="1" spans="1:10">
      <c r="A878" s="3">
        <v>924</v>
      </c>
      <c r="B878" s="3" t="s">
        <v>356</v>
      </c>
      <c r="C878" s="3" t="s">
        <v>177</v>
      </c>
      <c r="D878" s="3" t="s">
        <v>204</v>
      </c>
      <c r="E878" s="3" t="s">
        <v>22</v>
      </c>
      <c r="F878" s="3">
        <v>0.26</v>
      </c>
      <c r="G878" s="3">
        <v>480</v>
      </c>
      <c r="H878" s="3">
        <f t="shared" si="15"/>
        <v>124.8</v>
      </c>
      <c r="I878" s="3"/>
      <c r="J878" s="3">
        <v>9.13</v>
      </c>
    </row>
    <row r="879" customHeight="1" spans="1:10">
      <c r="A879" s="3">
        <v>925</v>
      </c>
      <c r="B879" s="3" t="s">
        <v>368</v>
      </c>
      <c r="C879" s="3" t="s">
        <v>177</v>
      </c>
      <c r="D879" s="3" t="s">
        <v>204</v>
      </c>
      <c r="E879" s="3" t="s">
        <v>22</v>
      </c>
      <c r="F879" s="3">
        <v>0.13</v>
      </c>
      <c r="G879" s="3">
        <v>480</v>
      </c>
      <c r="H879" s="3">
        <f t="shared" si="15"/>
        <v>62.4</v>
      </c>
      <c r="I879" s="3"/>
      <c r="J879" s="3">
        <v>9.13</v>
      </c>
    </row>
    <row r="880" customHeight="1" spans="1:10">
      <c r="A880" s="3">
        <v>926</v>
      </c>
      <c r="B880" s="3" t="s">
        <v>377</v>
      </c>
      <c r="C880" s="3" t="s">
        <v>177</v>
      </c>
      <c r="D880" s="3" t="s">
        <v>204</v>
      </c>
      <c r="E880" s="3" t="s">
        <v>22</v>
      </c>
      <c r="F880" s="3">
        <v>0.28</v>
      </c>
      <c r="G880" s="3">
        <v>480</v>
      </c>
      <c r="H880" s="3">
        <f t="shared" si="15"/>
        <v>134.4</v>
      </c>
      <c r="I880" s="3"/>
      <c r="J880" s="3">
        <v>9.13</v>
      </c>
    </row>
    <row r="881" customHeight="1" spans="1:10">
      <c r="A881" s="3">
        <v>927</v>
      </c>
      <c r="B881" s="3" t="s">
        <v>387</v>
      </c>
      <c r="C881" s="3" t="s">
        <v>177</v>
      </c>
      <c r="D881" s="3" t="s">
        <v>204</v>
      </c>
      <c r="E881" s="3" t="s">
        <v>22</v>
      </c>
      <c r="F881" s="3">
        <v>1.08</v>
      </c>
      <c r="G881" s="3">
        <v>480</v>
      </c>
      <c r="H881" s="3">
        <f t="shared" si="15"/>
        <v>518.4</v>
      </c>
      <c r="I881" s="3"/>
      <c r="J881" s="3">
        <v>9.13</v>
      </c>
    </row>
    <row r="882" customHeight="1" spans="1:10">
      <c r="A882" s="3">
        <v>928</v>
      </c>
      <c r="B882" s="3" t="s">
        <v>397</v>
      </c>
      <c r="C882" s="3" t="s">
        <v>177</v>
      </c>
      <c r="D882" s="3" t="s">
        <v>246</v>
      </c>
      <c r="E882" s="3" t="s">
        <v>22</v>
      </c>
      <c r="F882" s="3">
        <v>1.24</v>
      </c>
      <c r="G882" s="3">
        <v>480</v>
      </c>
      <c r="H882" s="3">
        <f t="shared" si="15"/>
        <v>595.2</v>
      </c>
      <c r="I882" s="3"/>
      <c r="J882" s="3">
        <v>9.13</v>
      </c>
    </row>
    <row r="883" customHeight="1" spans="1:10">
      <c r="A883" s="3">
        <v>929</v>
      </c>
      <c r="B883" s="3" t="s">
        <v>107</v>
      </c>
      <c r="C883" s="3" t="s">
        <v>177</v>
      </c>
      <c r="D883" s="3" t="s">
        <v>246</v>
      </c>
      <c r="E883" s="3" t="s">
        <v>22</v>
      </c>
      <c r="F883" s="3">
        <v>1.46</v>
      </c>
      <c r="G883" s="3">
        <v>480</v>
      </c>
      <c r="H883" s="3">
        <f t="shared" si="15"/>
        <v>700.8</v>
      </c>
      <c r="I883" s="3"/>
      <c r="J883" s="3">
        <v>9.13</v>
      </c>
    </row>
    <row r="884" customHeight="1" spans="1:10">
      <c r="A884" s="3">
        <v>930</v>
      </c>
      <c r="B884" s="3" t="s">
        <v>255</v>
      </c>
      <c r="C884" s="3" t="s">
        <v>177</v>
      </c>
      <c r="D884" s="3" t="s">
        <v>215</v>
      </c>
      <c r="E884" s="3" t="s">
        <v>22</v>
      </c>
      <c r="F884" s="3">
        <v>0.02</v>
      </c>
      <c r="G884" s="3">
        <v>480</v>
      </c>
      <c r="H884" s="3">
        <f t="shared" si="15"/>
        <v>9.6</v>
      </c>
      <c r="I884" s="3"/>
      <c r="J884" s="3">
        <v>9.13</v>
      </c>
    </row>
    <row r="885" customHeight="1" spans="1:10">
      <c r="A885" s="3">
        <v>931</v>
      </c>
      <c r="B885" s="3" t="s">
        <v>382</v>
      </c>
      <c r="C885" s="3" t="s">
        <v>177</v>
      </c>
      <c r="D885" s="3" t="s">
        <v>215</v>
      </c>
      <c r="E885" s="3" t="s">
        <v>22</v>
      </c>
      <c r="F885" s="3">
        <v>0.49</v>
      </c>
      <c r="G885" s="3">
        <v>480</v>
      </c>
      <c r="H885" s="3">
        <f t="shared" si="15"/>
        <v>235.2</v>
      </c>
      <c r="I885" s="3"/>
      <c r="J885" s="3">
        <v>9.13</v>
      </c>
    </row>
    <row r="886" customHeight="1" spans="1:10">
      <c r="A886" s="3">
        <v>932</v>
      </c>
      <c r="B886" s="3" t="s">
        <v>360</v>
      </c>
      <c r="C886" s="3" t="s">
        <v>177</v>
      </c>
      <c r="D886" s="3" t="s">
        <v>215</v>
      </c>
      <c r="E886" s="3" t="s">
        <v>22</v>
      </c>
      <c r="F886" s="3">
        <v>0.02</v>
      </c>
      <c r="G886" s="3">
        <v>480</v>
      </c>
      <c r="H886" s="3">
        <f t="shared" si="15"/>
        <v>9.6</v>
      </c>
      <c r="I886" s="3"/>
      <c r="J886" s="3">
        <v>9.13</v>
      </c>
    </row>
    <row r="887" customHeight="1" spans="1:10">
      <c r="A887" s="3">
        <v>933</v>
      </c>
      <c r="B887" s="3" t="s">
        <v>356</v>
      </c>
      <c r="C887" s="3" t="s">
        <v>177</v>
      </c>
      <c r="D887" s="3" t="s">
        <v>215</v>
      </c>
      <c r="E887" s="3" t="s">
        <v>22</v>
      </c>
      <c r="F887" s="3">
        <v>0.25</v>
      </c>
      <c r="G887" s="3">
        <v>480</v>
      </c>
      <c r="H887" s="3">
        <f t="shared" si="15"/>
        <v>120</v>
      </c>
      <c r="I887" s="3"/>
      <c r="J887" s="3">
        <v>9.13</v>
      </c>
    </row>
    <row r="888" customHeight="1" spans="1:10">
      <c r="A888" s="3">
        <v>934</v>
      </c>
      <c r="B888" s="3" t="s">
        <v>377</v>
      </c>
      <c r="C888" s="3" t="s">
        <v>177</v>
      </c>
      <c r="D888" s="3" t="s">
        <v>215</v>
      </c>
      <c r="E888" s="3" t="s">
        <v>22</v>
      </c>
      <c r="F888" s="3">
        <v>0.1</v>
      </c>
      <c r="G888" s="3">
        <v>480</v>
      </c>
      <c r="H888" s="3">
        <f t="shared" si="15"/>
        <v>48</v>
      </c>
      <c r="I888" s="3"/>
      <c r="J888" s="3">
        <v>9.13</v>
      </c>
    </row>
    <row r="889" customHeight="1" spans="1:10">
      <c r="A889" s="3">
        <v>935</v>
      </c>
      <c r="B889" s="3" t="s">
        <v>366</v>
      </c>
      <c r="C889" s="3" t="s">
        <v>177</v>
      </c>
      <c r="D889" s="3" t="s">
        <v>215</v>
      </c>
      <c r="E889" s="3" t="s">
        <v>22</v>
      </c>
      <c r="F889" s="3">
        <v>0.23</v>
      </c>
      <c r="G889" s="3">
        <v>480</v>
      </c>
      <c r="H889" s="3">
        <f t="shared" si="15"/>
        <v>110.4</v>
      </c>
      <c r="I889" s="3"/>
      <c r="J889" s="3">
        <v>9.13</v>
      </c>
    </row>
    <row r="890" customHeight="1" spans="1:10">
      <c r="A890" s="3">
        <v>936</v>
      </c>
      <c r="B890" s="3" t="s">
        <v>398</v>
      </c>
      <c r="C890" s="3" t="s">
        <v>177</v>
      </c>
      <c r="D890" s="3" t="s">
        <v>215</v>
      </c>
      <c r="E890" s="3" t="s">
        <v>22</v>
      </c>
      <c r="F890" s="3">
        <v>0.05</v>
      </c>
      <c r="G890" s="3">
        <v>480</v>
      </c>
      <c r="H890" s="3">
        <f t="shared" si="15"/>
        <v>24</v>
      </c>
      <c r="I890" s="3"/>
      <c r="J890" s="3">
        <v>9.13</v>
      </c>
    </row>
    <row r="891" customHeight="1" spans="1:10">
      <c r="A891" s="3">
        <v>937</v>
      </c>
      <c r="B891" s="3" t="s">
        <v>255</v>
      </c>
      <c r="C891" s="3" t="s">
        <v>177</v>
      </c>
      <c r="D891" s="3" t="s">
        <v>215</v>
      </c>
      <c r="E891" s="3" t="s">
        <v>22</v>
      </c>
      <c r="F891" s="3">
        <v>0.06</v>
      </c>
      <c r="G891" s="3">
        <v>480</v>
      </c>
      <c r="H891" s="3">
        <f t="shared" si="15"/>
        <v>28.8</v>
      </c>
      <c r="I891" s="3"/>
      <c r="J891" s="3">
        <v>9.13</v>
      </c>
    </row>
    <row r="892" customHeight="1" spans="1:10">
      <c r="A892" s="3">
        <v>938</v>
      </c>
      <c r="B892" s="3" t="s">
        <v>399</v>
      </c>
      <c r="C892" s="3" t="s">
        <v>177</v>
      </c>
      <c r="D892" s="3" t="s">
        <v>215</v>
      </c>
      <c r="E892" s="3" t="s">
        <v>22</v>
      </c>
      <c r="F892" s="3">
        <v>0.23</v>
      </c>
      <c r="G892" s="3">
        <v>480</v>
      </c>
      <c r="H892" s="3">
        <f t="shared" si="15"/>
        <v>110.4</v>
      </c>
      <c r="I892" s="3"/>
      <c r="J892" s="3">
        <v>9.13</v>
      </c>
    </row>
    <row r="893" customHeight="1" spans="1:10">
      <c r="A893" s="3">
        <v>939</v>
      </c>
      <c r="B893" s="3" t="s">
        <v>387</v>
      </c>
      <c r="C893" s="3" t="s">
        <v>177</v>
      </c>
      <c r="D893" s="3" t="s">
        <v>400</v>
      </c>
      <c r="E893" s="3" t="s">
        <v>13</v>
      </c>
      <c r="F893" s="3">
        <v>0.08</v>
      </c>
      <c r="G893" s="3">
        <v>380</v>
      </c>
      <c r="H893" s="3">
        <f t="shared" si="15"/>
        <v>30.4</v>
      </c>
      <c r="I893" s="3"/>
      <c r="J893" s="3">
        <v>9.13</v>
      </c>
    </row>
    <row r="894" customHeight="1" spans="1:10">
      <c r="A894" s="3">
        <v>940</v>
      </c>
      <c r="B894" s="3" t="s">
        <v>377</v>
      </c>
      <c r="C894" s="3" t="s">
        <v>177</v>
      </c>
      <c r="D894" s="3" t="s">
        <v>400</v>
      </c>
      <c r="E894" s="3" t="s">
        <v>13</v>
      </c>
      <c r="F894" s="3">
        <v>0.11</v>
      </c>
      <c r="G894" s="3">
        <v>380</v>
      </c>
      <c r="H894" s="3">
        <f t="shared" si="15"/>
        <v>41.8</v>
      </c>
      <c r="I894" s="3"/>
      <c r="J894" s="3">
        <v>9.13</v>
      </c>
    </row>
    <row r="895" customHeight="1" spans="1:10">
      <c r="A895" s="3">
        <v>941</v>
      </c>
      <c r="B895" s="3" t="s">
        <v>231</v>
      </c>
      <c r="C895" s="3" t="s">
        <v>177</v>
      </c>
      <c r="D895" s="3" t="s">
        <v>400</v>
      </c>
      <c r="E895" s="3" t="s">
        <v>13</v>
      </c>
      <c r="F895" s="3">
        <v>0.11</v>
      </c>
      <c r="G895" s="3">
        <v>380</v>
      </c>
      <c r="H895" s="3">
        <f t="shared" si="15"/>
        <v>41.8</v>
      </c>
      <c r="I895" s="3"/>
      <c r="J895" s="3">
        <v>9.13</v>
      </c>
    </row>
    <row r="896" customHeight="1" spans="1:10">
      <c r="A896" s="3">
        <v>942</v>
      </c>
      <c r="B896" s="3" t="s">
        <v>371</v>
      </c>
      <c r="C896" s="3" t="s">
        <v>177</v>
      </c>
      <c r="D896" s="3" t="s">
        <v>400</v>
      </c>
      <c r="E896" s="3" t="s">
        <v>13</v>
      </c>
      <c r="F896" s="3">
        <v>0.43</v>
      </c>
      <c r="G896" s="3">
        <v>380</v>
      </c>
      <c r="H896" s="3">
        <f t="shared" si="15"/>
        <v>163.4</v>
      </c>
      <c r="I896" s="3"/>
      <c r="J896" s="3">
        <v>9.13</v>
      </c>
    </row>
    <row r="897" customHeight="1" spans="1:10">
      <c r="A897" s="3">
        <v>943</v>
      </c>
      <c r="B897" s="3" t="s">
        <v>231</v>
      </c>
      <c r="C897" s="3" t="s">
        <v>177</v>
      </c>
      <c r="D897" s="3" t="s">
        <v>400</v>
      </c>
      <c r="E897" s="3" t="s">
        <v>13</v>
      </c>
      <c r="F897" s="3">
        <v>0.78</v>
      </c>
      <c r="G897" s="3">
        <v>380</v>
      </c>
      <c r="H897" s="3">
        <f t="shared" si="15"/>
        <v>296.4</v>
      </c>
      <c r="I897" s="3"/>
      <c r="J897" s="3">
        <v>9.13</v>
      </c>
    </row>
    <row r="898" customHeight="1" spans="1:10">
      <c r="A898" s="3">
        <v>944</v>
      </c>
      <c r="B898" s="3" t="s">
        <v>377</v>
      </c>
      <c r="C898" s="3" t="s">
        <v>177</v>
      </c>
      <c r="D898" s="3" t="s">
        <v>400</v>
      </c>
      <c r="E898" s="3" t="s">
        <v>13</v>
      </c>
      <c r="F898" s="3">
        <v>0.38</v>
      </c>
      <c r="G898" s="3">
        <v>380</v>
      </c>
      <c r="H898" s="3">
        <f t="shared" si="15"/>
        <v>144.4</v>
      </c>
      <c r="I898" s="3"/>
      <c r="J898" s="3">
        <v>9.13</v>
      </c>
    </row>
    <row r="899" customHeight="1" spans="1:10">
      <c r="A899" s="3">
        <v>945</v>
      </c>
      <c r="B899" s="3" t="s">
        <v>361</v>
      </c>
      <c r="C899" s="3" t="s">
        <v>177</v>
      </c>
      <c r="D899" s="3" t="s">
        <v>400</v>
      </c>
      <c r="E899" s="3" t="s">
        <v>13</v>
      </c>
      <c r="F899" s="3">
        <v>0.39</v>
      </c>
      <c r="G899" s="3">
        <v>380</v>
      </c>
      <c r="H899" s="3">
        <f t="shared" si="15"/>
        <v>148.2</v>
      </c>
      <c r="I899" s="3"/>
      <c r="J899" s="3">
        <v>9.13</v>
      </c>
    </row>
    <row r="900" customHeight="1" spans="1:10">
      <c r="A900" s="3">
        <v>946</v>
      </c>
      <c r="B900" s="3" t="s">
        <v>380</v>
      </c>
      <c r="C900" s="3" t="s">
        <v>177</v>
      </c>
      <c r="D900" s="3" t="s">
        <v>401</v>
      </c>
      <c r="E900" s="3" t="s">
        <v>13</v>
      </c>
      <c r="F900" s="3">
        <v>0.48</v>
      </c>
      <c r="G900" s="3">
        <v>380</v>
      </c>
      <c r="H900" s="3">
        <f t="shared" si="15"/>
        <v>182.4</v>
      </c>
      <c r="I900" s="3"/>
      <c r="J900" s="3">
        <v>9.13</v>
      </c>
    </row>
    <row r="901" customHeight="1" spans="1:10">
      <c r="A901" s="3">
        <v>947</v>
      </c>
      <c r="B901" s="3" t="s">
        <v>235</v>
      </c>
      <c r="C901" s="3" t="s">
        <v>177</v>
      </c>
      <c r="D901" s="3" t="s">
        <v>402</v>
      </c>
      <c r="E901" s="3" t="s">
        <v>13</v>
      </c>
      <c r="F901" s="3">
        <v>0.15</v>
      </c>
      <c r="G901" s="3">
        <v>380</v>
      </c>
      <c r="H901" s="3">
        <f t="shared" si="15"/>
        <v>57</v>
      </c>
      <c r="I901" s="3"/>
      <c r="J901" s="3">
        <v>9.13</v>
      </c>
    </row>
    <row r="902" customHeight="1" spans="1:10">
      <c r="A902" s="3">
        <v>948</v>
      </c>
      <c r="B902" s="3" t="s">
        <v>375</v>
      </c>
      <c r="C902" s="3" t="s">
        <v>177</v>
      </c>
      <c r="D902" s="3" t="s">
        <v>319</v>
      </c>
      <c r="E902" s="3" t="s">
        <v>13</v>
      </c>
      <c r="F902" s="3">
        <v>0.44</v>
      </c>
      <c r="G902" s="3">
        <v>380</v>
      </c>
      <c r="H902" s="3">
        <f t="shared" si="15"/>
        <v>167.2</v>
      </c>
      <c r="I902" s="3"/>
      <c r="J902" s="3">
        <v>9.13</v>
      </c>
    </row>
    <row r="903" customHeight="1" spans="1:10">
      <c r="A903" s="3">
        <v>949</v>
      </c>
      <c r="B903" s="3" t="s">
        <v>377</v>
      </c>
      <c r="C903" s="3" t="s">
        <v>177</v>
      </c>
      <c r="D903" s="3" t="s">
        <v>403</v>
      </c>
      <c r="E903" s="3" t="s">
        <v>13</v>
      </c>
      <c r="F903" s="3">
        <v>0.91</v>
      </c>
      <c r="G903" s="3">
        <v>380</v>
      </c>
      <c r="H903" s="3">
        <f t="shared" si="15"/>
        <v>345.8</v>
      </c>
      <c r="I903" s="3"/>
      <c r="J903" s="3">
        <v>9.13</v>
      </c>
    </row>
    <row r="904" customHeight="1" spans="1:10">
      <c r="A904" s="3">
        <v>950</v>
      </c>
      <c r="B904" s="3" t="s">
        <v>380</v>
      </c>
      <c r="C904" s="3" t="s">
        <v>177</v>
      </c>
      <c r="D904" s="3" t="s">
        <v>319</v>
      </c>
      <c r="E904" s="3" t="s">
        <v>13</v>
      </c>
      <c r="F904" s="3">
        <v>0.54</v>
      </c>
      <c r="G904" s="3">
        <v>380</v>
      </c>
      <c r="H904" s="3">
        <f t="shared" ref="H904:H967" si="16">G904*F904</f>
        <v>205.2</v>
      </c>
      <c r="I904" s="3"/>
      <c r="J904" s="3">
        <v>9.13</v>
      </c>
    </row>
    <row r="905" customHeight="1" spans="1:10">
      <c r="A905" s="3">
        <v>951</v>
      </c>
      <c r="B905" s="3" t="s">
        <v>380</v>
      </c>
      <c r="C905" s="3" t="s">
        <v>177</v>
      </c>
      <c r="D905" s="3" t="s">
        <v>319</v>
      </c>
      <c r="E905" s="3" t="s">
        <v>13</v>
      </c>
      <c r="F905" s="3">
        <v>1.1</v>
      </c>
      <c r="G905" s="3">
        <v>380</v>
      </c>
      <c r="H905" s="3">
        <f t="shared" si="16"/>
        <v>418</v>
      </c>
      <c r="I905" s="3"/>
      <c r="J905" s="3">
        <v>9.13</v>
      </c>
    </row>
    <row r="906" customHeight="1" spans="1:10">
      <c r="A906" s="3">
        <v>952</v>
      </c>
      <c r="B906" s="3" t="s">
        <v>377</v>
      </c>
      <c r="C906" s="3" t="s">
        <v>177</v>
      </c>
      <c r="D906" s="3" t="s">
        <v>319</v>
      </c>
      <c r="E906" s="3" t="s">
        <v>13</v>
      </c>
      <c r="F906" s="3">
        <v>0.13</v>
      </c>
      <c r="G906" s="3">
        <v>380</v>
      </c>
      <c r="H906" s="3">
        <f t="shared" si="16"/>
        <v>49.4</v>
      </c>
      <c r="I906" s="3"/>
      <c r="J906" s="3">
        <v>9.13</v>
      </c>
    </row>
    <row r="907" customHeight="1" spans="1:10">
      <c r="A907" s="3">
        <v>953</v>
      </c>
      <c r="B907" s="3" t="s">
        <v>107</v>
      </c>
      <c r="C907" s="3" t="s">
        <v>177</v>
      </c>
      <c r="D907" s="3" t="s">
        <v>319</v>
      </c>
      <c r="E907" s="3" t="s">
        <v>13</v>
      </c>
      <c r="F907" s="3">
        <v>0.28</v>
      </c>
      <c r="G907" s="3">
        <v>380</v>
      </c>
      <c r="H907" s="3">
        <f t="shared" si="16"/>
        <v>106.4</v>
      </c>
      <c r="I907" s="3"/>
      <c r="J907" s="3">
        <v>9.13</v>
      </c>
    </row>
    <row r="908" customHeight="1" spans="1:10">
      <c r="A908" s="3">
        <v>954</v>
      </c>
      <c r="B908" s="3" t="s">
        <v>377</v>
      </c>
      <c r="C908" s="3" t="s">
        <v>177</v>
      </c>
      <c r="D908" s="3" t="s">
        <v>319</v>
      </c>
      <c r="E908" s="3" t="s">
        <v>13</v>
      </c>
      <c r="F908" s="3">
        <v>0.77</v>
      </c>
      <c r="G908" s="3">
        <v>380</v>
      </c>
      <c r="H908" s="3">
        <f t="shared" si="16"/>
        <v>292.6</v>
      </c>
      <c r="I908" s="3"/>
      <c r="J908" s="3">
        <v>9.13</v>
      </c>
    </row>
    <row r="909" customHeight="1" spans="1:10">
      <c r="A909" s="3">
        <v>955</v>
      </c>
      <c r="B909" s="3" t="s">
        <v>382</v>
      </c>
      <c r="C909" s="3" t="s">
        <v>177</v>
      </c>
      <c r="D909" s="3" t="s">
        <v>319</v>
      </c>
      <c r="E909" s="3" t="s">
        <v>13</v>
      </c>
      <c r="F909" s="3">
        <v>0.5</v>
      </c>
      <c r="G909" s="3">
        <v>380</v>
      </c>
      <c r="H909" s="3">
        <f t="shared" si="16"/>
        <v>190</v>
      </c>
      <c r="I909" s="3"/>
      <c r="J909" s="3">
        <v>9.13</v>
      </c>
    </row>
    <row r="910" customHeight="1" spans="1:10">
      <c r="A910" s="3">
        <v>956</v>
      </c>
      <c r="B910" s="3" t="s">
        <v>370</v>
      </c>
      <c r="C910" s="3" t="s">
        <v>177</v>
      </c>
      <c r="D910" s="3" t="s">
        <v>319</v>
      </c>
      <c r="E910" s="3" t="s">
        <v>13</v>
      </c>
      <c r="F910" s="3">
        <v>0.78</v>
      </c>
      <c r="G910" s="3">
        <v>380</v>
      </c>
      <c r="H910" s="3">
        <f t="shared" si="16"/>
        <v>296.4</v>
      </c>
      <c r="I910" s="3"/>
      <c r="J910" s="3">
        <v>9.13</v>
      </c>
    </row>
    <row r="911" customHeight="1" spans="1:10">
      <c r="A911" s="3">
        <v>957</v>
      </c>
      <c r="B911" s="3" t="s">
        <v>367</v>
      </c>
      <c r="C911" s="3" t="s">
        <v>177</v>
      </c>
      <c r="D911" s="3" t="s">
        <v>319</v>
      </c>
      <c r="E911" s="3" t="s">
        <v>13</v>
      </c>
      <c r="F911" s="3">
        <v>0.22</v>
      </c>
      <c r="G911" s="3">
        <v>380</v>
      </c>
      <c r="H911" s="3">
        <f t="shared" si="16"/>
        <v>83.6</v>
      </c>
      <c r="I911" s="3"/>
      <c r="J911" s="3">
        <v>9.13</v>
      </c>
    </row>
    <row r="912" customHeight="1" spans="1:10">
      <c r="A912" s="3">
        <v>958</v>
      </c>
      <c r="B912" s="3" t="s">
        <v>358</v>
      </c>
      <c r="C912" s="3" t="s">
        <v>177</v>
      </c>
      <c r="D912" s="3" t="s">
        <v>319</v>
      </c>
      <c r="E912" s="3" t="s">
        <v>13</v>
      </c>
      <c r="F912" s="3">
        <v>0.23</v>
      </c>
      <c r="G912" s="3">
        <v>380</v>
      </c>
      <c r="H912" s="3">
        <f t="shared" si="16"/>
        <v>87.4</v>
      </c>
      <c r="I912" s="3"/>
      <c r="J912" s="3">
        <v>9.13</v>
      </c>
    </row>
    <row r="913" customHeight="1" spans="1:10">
      <c r="A913" s="3">
        <v>959</v>
      </c>
      <c r="B913" s="3" t="s">
        <v>382</v>
      </c>
      <c r="C913" s="3" t="s">
        <v>177</v>
      </c>
      <c r="D913" s="3" t="s">
        <v>319</v>
      </c>
      <c r="E913" s="3" t="s">
        <v>13</v>
      </c>
      <c r="F913" s="3">
        <v>0.16</v>
      </c>
      <c r="G913" s="3">
        <v>380</v>
      </c>
      <c r="H913" s="3">
        <f t="shared" si="16"/>
        <v>60.8</v>
      </c>
      <c r="I913" s="3"/>
      <c r="J913" s="3">
        <v>9.13</v>
      </c>
    </row>
    <row r="914" customHeight="1" spans="1:10">
      <c r="A914" s="3">
        <v>960</v>
      </c>
      <c r="B914" s="3" t="s">
        <v>367</v>
      </c>
      <c r="C914" s="3" t="s">
        <v>177</v>
      </c>
      <c r="D914" s="3" t="s">
        <v>319</v>
      </c>
      <c r="E914" s="3" t="s">
        <v>13</v>
      </c>
      <c r="F914" s="3">
        <v>0.5</v>
      </c>
      <c r="G914" s="3">
        <v>380</v>
      </c>
      <c r="H914" s="3">
        <f t="shared" si="16"/>
        <v>190</v>
      </c>
      <c r="I914" s="3"/>
      <c r="J914" s="3">
        <v>9.13</v>
      </c>
    </row>
    <row r="915" customHeight="1" spans="1:10">
      <c r="A915" s="3">
        <v>961</v>
      </c>
      <c r="B915" s="3" t="s">
        <v>107</v>
      </c>
      <c r="C915" s="3" t="s">
        <v>177</v>
      </c>
      <c r="D915" s="3" t="s">
        <v>401</v>
      </c>
      <c r="E915" s="3" t="s">
        <v>13</v>
      </c>
      <c r="F915" s="3">
        <v>0.11</v>
      </c>
      <c r="G915" s="3">
        <v>380</v>
      </c>
      <c r="H915" s="3">
        <f t="shared" si="16"/>
        <v>41.8</v>
      </c>
      <c r="I915" s="3"/>
      <c r="J915" s="3">
        <v>9.13</v>
      </c>
    </row>
    <row r="916" customHeight="1" spans="1:10">
      <c r="A916" s="3">
        <v>962</v>
      </c>
      <c r="B916" s="3" t="s">
        <v>404</v>
      </c>
      <c r="C916" s="3" t="s">
        <v>177</v>
      </c>
      <c r="D916" s="3" t="s">
        <v>319</v>
      </c>
      <c r="E916" s="3" t="s">
        <v>13</v>
      </c>
      <c r="F916" s="3">
        <v>0.1</v>
      </c>
      <c r="G916" s="3">
        <v>380</v>
      </c>
      <c r="H916" s="3">
        <f t="shared" si="16"/>
        <v>38</v>
      </c>
      <c r="I916" s="3"/>
      <c r="J916" s="3">
        <v>9.13</v>
      </c>
    </row>
    <row r="917" customHeight="1" spans="1:10">
      <c r="A917" s="3">
        <v>963</v>
      </c>
      <c r="B917" s="3" t="s">
        <v>390</v>
      </c>
      <c r="C917" s="3" t="s">
        <v>177</v>
      </c>
      <c r="D917" s="3" t="s">
        <v>319</v>
      </c>
      <c r="E917" s="3" t="s">
        <v>13</v>
      </c>
      <c r="F917" s="3">
        <v>0.05</v>
      </c>
      <c r="G917" s="3">
        <v>380</v>
      </c>
      <c r="H917" s="3">
        <f t="shared" si="16"/>
        <v>19</v>
      </c>
      <c r="I917" s="3"/>
      <c r="J917" s="3">
        <v>9.13</v>
      </c>
    </row>
    <row r="918" customHeight="1" spans="1:10">
      <c r="A918" s="3">
        <v>964</v>
      </c>
      <c r="B918" s="3" t="s">
        <v>360</v>
      </c>
      <c r="C918" s="3" t="s">
        <v>177</v>
      </c>
      <c r="D918" s="3" t="s">
        <v>405</v>
      </c>
      <c r="E918" s="3" t="s">
        <v>22</v>
      </c>
      <c r="F918" s="3">
        <v>0.92</v>
      </c>
      <c r="G918" s="3">
        <v>480</v>
      </c>
      <c r="H918" s="3">
        <f t="shared" si="16"/>
        <v>441.6</v>
      </c>
      <c r="I918" s="3"/>
      <c r="J918" s="3">
        <v>9.13</v>
      </c>
    </row>
    <row r="919" customHeight="1" spans="1:10">
      <c r="A919" s="3">
        <v>965</v>
      </c>
      <c r="B919" s="3" t="s">
        <v>404</v>
      </c>
      <c r="C919" s="3" t="s">
        <v>177</v>
      </c>
      <c r="D919" s="3" t="s">
        <v>345</v>
      </c>
      <c r="E919" s="3" t="s">
        <v>22</v>
      </c>
      <c r="F919" s="3">
        <v>0.4</v>
      </c>
      <c r="G919" s="3">
        <v>480</v>
      </c>
      <c r="H919" s="3">
        <f t="shared" si="16"/>
        <v>192</v>
      </c>
      <c r="I919" s="3"/>
      <c r="J919" s="3">
        <v>9.13</v>
      </c>
    </row>
    <row r="920" customHeight="1" spans="1:10">
      <c r="A920" s="3">
        <v>966</v>
      </c>
      <c r="B920" s="3" t="s">
        <v>384</v>
      </c>
      <c r="C920" s="3" t="s">
        <v>177</v>
      </c>
      <c r="D920" s="3" t="s">
        <v>345</v>
      </c>
      <c r="E920" s="3" t="s">
        <v>22</v>
      </c>
      <c r="F920" s="3">
        <v>0.94</v>
      </c>
      <c r="G920" s="3">
        <v>480</v>
      </c>
      <c r="H920" s="3">
        <f t="shared" si="16"/>
        <v>451.2</v>
      </c>
      <c r="I920" s="3"/>
      <c r="J920" s="3">
        <v>9.13</v>
      </c>
    </row>
    <row r="921" customHeight="1" spans="1:10">
      <c r="A921" s="3">
        <v>967</v>
      </c>
      <c r="B921" s="3" t="s">
        <v>234</v>
      </c>
      <c r="C921" s="3" t="s">
        <v>177</v>
      </c>
      <c r="D921" s="3" t="s">
        <v>345</v>
      </c>
      <c r="E921" s="3" t="s">
        <v>22</v>
      </c>
      <c r="F921" s="3">
        <v>0.06</v>
      </c>
      <c r="G921" s="3">
        <v>480</v>
      </c>
      <c r="H921" s="3">
        <f t="shared" si="16"/>
        <v>28.8</v>
      </c>
      <c r="I921" s="3"/>
      <c r="J921" s="3">
        <v>9.13</v>
      </c>
    </row>
    <row r="922" customHeight="1" spans="1:10">
      <c r="A922" s="3">
        <v>968</v>
      </c>
      <c r="B922" s="3" t="s">
        <v>367</v>
      </c>
      <c r="C922" s="3" t="s">
        <v>177</v>
      </c>
      <c r="D922" s="3" t="s">
        <v>345</v>
      </c>
      <c r="E922" s="3" t="s">
        <v>22</v>
      </c>
      <c r="F922" s="3">
        <v>0.1</v>
      </c>
      <c r="G922" s="3">
        <v>480</v>
      </c>
      <c r="H922" s="3">
        <f t="shared" si="16"/>
        <v>48</v>
      </c>
      <c r="I922" s="3"/>
      <c r="J922" s="3">
        <v>9.13</v>
      </c>
    </row>
    <row r="923" customHeight="1" spans="1:10">
      <c r="A923" s="3">
        <v>969</v>
      </c>
      <c r="B923" s="3" t="s">
        <v>404</v>
      </c>
      <c r="C923" s="3" t="s">
        <v>177</v>
      </c>
      <c r="D923" s="3" t="s">
        <v>406</v>
      </c>
      <c r="E923" s="3" t="s">
        <v>22</v>
      </c>
      <c r="F923" s="3">
        <v>0.72</v>
      </c>
      <c r="G923" s="3">
        <v>480</v>
      </c>
      <c r="H923" s="3">
        <f t="shared" si="16"/>
        <v>345.6</v>
      </c>
      <c r="I923" s="3"/>
      <c r="J923" s="3">
        <v>9.13</v>
      </c>
    </row>
    <row r="924" customHeight="1" spans="1:10">
      <c r="A924" s="3">
        <v>970</v>
      </c>
      <c r="B924" s="3" t="s">
        <v>358</v>
      </c>
      <c r="C924" s="3" t="s">
        <v>177</v>
      </c>
      <c r="D924" s="3" t="s">
        <v>405</v>
      </c>
      <c r="E924" s="3" t="s">
        <v>22</v>
      </c>
      <c r="F924" s="3">
        <v>1.34</v>
      </c>
      <c r="G924" s="3">
        <v>480</v>
      </c>
      <c r="H924" s="3">
        <f t="shared" si="16"/>
        <v>643.2</v>
      </c>
      <c r="I924" s="3"/>
      <c r="J924" s="3">
        <v>9.13</v>
      </c>
    </row>
    <row r="925" customHeight="1" spans="1:10">
      <c r="A925" s="3">
        <v>971</v>
      </c>
      <c r="B925" s="3" t="s">
        <v>404</v>
      </c>
      <c r="C925" s="3" t="s">
        <v>177</v>
      </c>
      <c r="D925" s="3" t="s">
        <v>405</v>
      </c>
      <c r="E925" s="3" t="s">
        <v>22</v>
      </c>
      <c r="F925" s="3">
        <v>0.07</v>
      </c>
      <c r="G925" s="3">
        <v>480</v>
      </c>
      <c r="H925" s="3">
        <f t="shared" si="16"/>
        <v>33.6</v>
      </c>
      <c r="I925" s="3"/>
      <c r="J925" s="3">
        <v>9.13</v>
      </c>
    </row>
    <row r="926" customHeight="1" spans="1:10">
      <c r="A926" s="3">
        <v>972</v>
      </c>
      <c r="B926" s="3" t="s">
        <v>231</v>
      </c>
      <c r="C926" s="3" t="s">
        <v>177</v>
      </c>
      <c r="D926" s="3" t="s">
        <v>405</v>
      </c>
      <c r="E926" s="3" t="s">
        <v>22</v>
      </c>
      <c r="F926" s="3">
        <v>0.08</v>
      </c>
      <c r="G926" s="3">
        <v>480</v>
      </c>
      <c r="H926" s="3">
        <f t="shared" si="16"/>
        <v>38.4</v>
      </c>
      <c r="I926" s="3"/>
      <c r="J926" s="3">
        <v>9.13</v>
      </c>
    </row>
    <row r="927" customHeight="1" spans="1:10">
      <c r="A927" s="3">
        <v>973</v>
      </c>
      <c r="B927" s="3" t="s">
        <v>381</v>
      </c>
      <c r="C927" s="3" t="s">
        <v>177</v>
      </c>
      <c r="D927" s="3" t="s">
        <v>405</v>
      </c>
      <c r="E927" s="3" t="s">
        <v>22</v>
      </c>
      <c r="F927" s="3">
        <v>0.35</v>
      </c>
      <c r="G927" s="3">
        <v>480</v>
      </c>
      <c r="H927" s="3">
        <f t="shared" si="16"/>
        <v>168</v>
      </c>
      <c r="I927" s="3"/>
      <c r="J927" s="3">
        <v>9.13</v>
      </c>
    </row>
    <row r="928" customHeight="1" spans="1:10">
      <c r="A928" s="3">
        <v>974</v>
      </c>
      <c r="B928" s="3" t="s">
        <v>368</v>
      </c>
      <c r="C928" s="3" t="s">
        <v>177</v>
      </c>
      <c r="D928" s="3" t="s">
        <v>405</v>
      </c>
      <c r="E928" s="3" t="s">
        <v>22</v>
      </c>
      <c r="F928" s="3">
        <v>0.12</v>
      </c>
      <c r="G928" s="3">
        <v>480</v>
      </c>
      <c r="H928" s="3">
        <f t="shared" si="16"/>
        <v>57.6</v>
      </c>
      <c r="I928" s="3"/>
      <c r="J928" s="3">
        <v>9.13</v>
      </c>
    </row>
    <row r="929" customHeight="1" spans="1:10">
      <c r="A929" s="3">
        <v>975</v>
      </c>
      <c r="B929" s="3" t="s">
        <v>380</v>
      </c>
      <c r="C929" s="3" t="s">
        <v>177</v>
      </c>
      <c r="D929" s="3" t="s">
        <v>299</v>
      </c>
      <c r="E929" s="3" t="s">
        <v>22</v>
      </c>
      <c r="F929" s="3">
        <v>0.91</v>
      </c>
      <c r="G929" s="3">
        <v>480</v>
      </c>
      <c r="H929" s="3">
        <f t="shared" si="16"/>
        <v>436.8</v>
      </c>
      <c r="I929" s="3"/>
      <c r="J929" s="3">
        <v>9.13</v>
      </c>
    </row>
    <row r="930" customHeight="1" spans="1:10">
      <c r="A930" s="3">
        <v>976</v>
      </c>
      <c r="B930" s="3" t="s">
        <v>361</v>
      </c>
      <c r="C930" s="3" t="s">
        <v>177</v>
      </c>
      <c r="D930" s="3" t="s">
        <v>299</v>
      </c>
      <c r="E930" s="3" t="s">
        <v>22</v>
      </c>
      <c r="F930" s="3">
        <v>0.04</v>
      </c>
      <c r="G930" s="3">
        <v>480</v>
      </c>
      <c r="H930" s="3">
        <f t="shared" si="16"/>
        <v>19.2</v>
      </c>
      <c r="I930" s="3"/>
      <c r="J930" s="3">
        <v>9.13</v>
      </c>
    </row>
    <row r="931" customHeight="1" spans="1:10">
      <c r="A931" s="3">
        <v>977</v>
      </c>
      <c r="B931" s="3" t="s">
        <v>380</v>
      </c>
      <c r="C931" s="3" t="s">
        <v>177</v>
      </c>
      <c r="D931" s="3" t="s">
        <v>407</v>
      </c>
      <c r="E931" s="3" t="s">
        <v>22</v>
      </c>
      <c r="F931" s="3">
        <v>0.3</v>
      </c>
      <c r="G931" s="3">
        <v>480</v>
      </c>
      <c r="H931" s="3">
        <f t="shared" si="16"/>
        <v>144</v>
      </c>
      <c r="I931" s="3"/>
      <c r="J931" s="3">
        <v>9.13</v>
      </c>
    </row>
    <row r="932" customHeight="1" spans="1:10">
      <c r="A932" s="3">
        <v>978</v>
      </c>
      <c r="B932" s="3" t="s">
        <v>397</v>
      </c>
      <c r="C932" s="3" t="s">
        <v>177</v>
      </c>
      <c r="D932" s="3" t="s">
        <v>407</v>
      </c>
      <c r="E932" s="3" t="s">
        <v>22</v>
      </c>
      <c r="F932" s="3">
        <v>0.77</v>
      </c>
      <c r="G932" s="3">
        <v>480</v>
      </c>
      <c r="H932" s="3">
        <f t="shared" si="16"/>
        <v>369.6</v>
      </c>
      <c r="I932" s="3"/>
      <c r="J932" s="3">
        <v>9.13</v>
      </c>
    </row>
    <row r="933" customHeight="1" spans="1:10">
      <c r="A933" s="3">
        <v>979</v>
      </c>
      <c r="B933" s="3" t="s">
        <v>356</v>
      </c>
      <c r="C933" s="3" t="s">
        <v>177</v>
      </c>
      <c r="D933" s="3" t="s">
        <v>407</v>
      </c>
      <c r="E933" s="3" t="s">
        <v>22</v>
      </c>
      <c r="F933" s="3">
        <v>0.17</v>
      </c>
      <c r="G933" s="3">
        <v>480</v>
      </c>
      <c r="H933" s="3">
        <f t="shared" si="16"/>
        <v>81.6</v>
      </c>
      <c r="I933" s="3"/>
      <c r="J933" s="3">
        <v>9.13</v>
      </c>
    </row>
    <row r="934" customHeight="1" spans="1:10">
      <c r="A934" s="3">
        <v>980</v>
      </c>
      <c r="B934" s="3" t="s">
        <v>366</v>
      </c>
      <c r="C934" s="3" t="s">
        <v>177</v>
      </c>
      <c r="D934" s="3" t="s">
        <v>407</v>
      </c>
      <c r="E934" s="3" t="s">
        <v>22</v>
      </c>
      <c r="F934" s="3">
        <v>0.1</v>
      </c>
      <c r="G934" s="3">
        <v>480</v>
      </c>
      <c r="H934" s="3">
        <f t="shared" si="16"/>
        <v>48</v>
      </c>
      <c r="I934" s="3"/>
      <c r="J934" s="3">
        <v>9.13</v>
      </c>
    </row>
    <row r="935" customHeight="1" spans="1:10">
      <c r="A935" s="3">
        <v>981</v>
      </c>
      <c r="B935" s="3" t="s">
        <v>361</v>
      </c>
      <c r="C935" s="3" t="s">
        <v>177</v>
      </c>
      <c r="D935" s="3" t="s">
        <v>407</v>
      </c>
      <c r="E935" s="3" t="s">
        <v>22</v>
      </c>
      <c r="F935" s="3">
        <v>0.2</v>
      </c>
      <c r="G935" s="3">
        <v>480</v>
      </c>
      <c r="H935" s="3">
        <f t="shared" si="16"/>
        <v>96</v>
      </c>
      <c r="I935" s="3"/>
      <c r="J935" s="3">
        <v>9.13</v>
      </c>
    </row>
    <row r="936" customHeight="1" spans="1:10">
      <c r="A936" s="3">
        <v>982</v>
      </c>
      <c r="B936" s="3" t="s">
        <v>368</v>
      </c>
      <c r="C936" s="3" t="s">
        <v>177</v>
      </c>
      <c r="D936" s="3" t="s">
        <v>407</v>
      </c>
      <c r="E936" s="3" t="s">
        <v>22</v>
      </c>
      <c r="F936" s="3">
        <v>0.05</v>
      </c>
      <c r="G936" s="3">
        <v>480</v>
      </c>
      <c r="H936" s="3">
        <f t="shared" si="16"/>
        <v>24</v>
      </c>
      <c r="I936" s="3"/>
      <c r="J936" s="3">
        <v>9.13</v>
      </c>
    </row>
    <row r="937" customHeight="1" spans="1:10">
      <c r="A937" s="3">
        <v>983</v>
      </c>
      <c r="B937" s="3" t="s">
        <v>255</v>
      </c>
      <c r="C937" s="3" t="s">
        <v>177</v>
      </c>
      <c r="D937" s="3" t="s">
        <v>407</v>
      </c>
      <c r="E937" s="3" t="s">
        <v>22</v>
      </c>
      <c r="F937" s="3">
        <v>0.2</v>
      </c>
      <c r="G937" s="3">
        <v>480</v>
      </c>
      <c r="H937" s="3">
        <f t="shared" si="16"/>
        <v>96</v>
      </c>
      <c r="I937" s="3"/>
      <c r="J937" s="3">
        <v>9.13</v>
      </c>
    </row>
    <row r="938" customHeight="1" spans="1:10">
      <c r="A938" s="3">
        <v>984</v>
      </c>
      <c r="B938" s="3" t="s">
        <v>370</v>
      </c>
      <c r="C938" s="3" t="s">
        <v>177</v>
      </c>
      <c r="D938" s="3" t="s">
        <v>407</v>
      </c>
      <c r="E938" s="3" t="s">
        <v>22</v>
      </c>
      <c r="F938" s="3">
        <v>0.59</v>
      </c>
      <c r="G938" s="3">
        <v>480</v>
      </c>
      <c r="H938" s="3">
        <f t="shared" si="16"/>
        <v>283.2</v>
      </c>
      <c r="I938" s="3"/>
      <c r="J938" s="3">
        <v>9.13</v>
      </c>
    </row>
    <row r="939" customHeight="1" spans="1:10">
      <c r="A939" s="3">
        <v>985</v>
      </c>
      <c r="B939" s="3" t="s">
        <v>361</v>
      </c>
      <c r="C939" s="3" t="s">
        <v>177</v>
      </c>
      <c r="D939" s="3" t="s">
        <v>408</v>
      </c>
      <c r="E939" s="3" t="s">
        <v>22</v>
      </c>
      <c r="F939" s="3">
        <v>0.27</v>
      </c>
      <c r="G939" s="3">
        <v>480</v>
      </c>
      <c r="H939" s="3">
        <f t="shared" si="16"/>
        <v>129.6</v>
      </c>
      <c r="I939" s="3"/>
      <c r="J939" s="3">
        <v>9.13</v>
      </c>
    </row>
    <row r="940" customHeight="1" spans="1:10">
      <c r="A940" s="3">
        <v>986</v>
      </c>
      <c r="B940" s="3" t="s">
        <v>370</v>
      </c>
      <c r="C940" s="3" t="s">
        <v>177</v>
      </c>
      <c r="D940" s="3" t="s">
        <v>408</v>
      </c>
      <c r="E940" s="3" t="s">
        <v>22</v>
      </c>
      <c r="F940" s="3">
        <v>0.62</v>
      </c>
      <c r="G940" s="3">
        <v>480</v>
      </c>
      <c r="H940" s="3">
        <f t="shared" si="16"/>
        <v>297.6</v>
      </c>
      <c r="I940" s="3"/>
      <c r="J940" s="3">
        <v>9.13</v>
      </c>
    </row>
    <row r="941" customHeight="1" spans="1:10">
      <c r="A941" s="3">
        <v>987</v>
      </c>
      <c r="B941" s="3" t="s">
        <v>356</v>
      </c>
      <c r="C941" s="3" t="s">
        <v>177</v>
      </c>
      <c r="D941" s="3" t="s">
        <v>408</v>
      </c>
      <c r="E941" s="3" t="s">
        <v>22</v>
      </c>
      <c r="F941" s="3">
        <v>0.73</v>
      </c>
      <c r="G941" s="3">
        <v>480</v>
      </c>
      <c r="H941" s="3">
        <f t="shared" si="16"/>
        <v>350.4</v>
      </c>
      <c r="I941" s="3"/>
      <c r="J941" s="3">
        <v>9.13</v>
      </c>
    </row>
    <row r="942" customHeight="1" spans="1:10">
      <c r="A942" s="3">
        <v>988</v>
      </c>
      <c r="B942" s="3" t="s">
        <v>380</v>
      </c>
      <c r="C942" s="3" t="s">
        <v>177</v>
      </c>
      <c r="D942" s="3" t="s">
        <v>409</v>
      </c>
      <c r="E942" s="3" t="s">
        <v>22</v>
      </c>
      <c r="F942" s="3">
        <v>0.45</v>
      </c>
      <c r="G942" s="3">
        <v>480</v>
      </c>
      <c r="H942" s="3">
        <f t="shared" si="16"/>
        <v>216</v>
      </c>
      <c r="I942" s="3"/>
      <c r="J942" s="3">
        <v>9.13</v>
      </c>
    </row>
    <row r="943" customHeight="1" spans="1:10">
      <c r="A943" s="3">
        <v>989</v>
      </c>
      <c r="B943" s="3" t="s">
        <v>371</v>
      </c>
      <c r="C943" s="3" t="s">
        <v>177</v>
      </c>
      <c r="D943" s="3" t="s">
        <v>409</v>
      </c>
      <c r="E943" s="3" t="s">
        <v>22</v>
      </c>
      <c r="F943" s="3">
        <v>0.39</v>
      </c>
      <c r="G943" s="3">
        <v>480</v>
      </c>
      <c r="H943" s="3">
        <f t="shared" si="16"/>
        <v>187.2</v>
      </c>
      <c r="I943" s="3"/>
      <c r="J943" s="3">
        <v>9.13</v>
      </c>
    </row>
    <row r="944" customHeight="1" spans="1:10">
      <c r="A944" s="3">
        <v>990</v>
      </c>
      <c r="B944" s="3" t="s">
        <v>371</v>
      </c>
      <c r="C944" s="3" t="s">
        <v>177</v>
      </c>
      <c r="D944" s="3" t="s">
        <v>410</v>
      </c>
      <c r="E944" s="3" t="s">
        <v>22</v>
      </c>
      <c r="F944" s="3">
        <v>0.46</v>
      </c>
      <c r="G944" s="3">
        <v>480</v>
      </c>
      <c r="H944" s="3">
        <f t="shared" si="16"/>
        <v>220.8</v>
      </c>
      <c r="I944" s="3"/>
      <c r="J944" s="3">
        <v>9.13</v>
      </c>
    </row>
    <row r="945" customHeight="1" spans="1:10">
      <c r="A945" s="3">
        <v>991</v>
      </c>
      <c r="B945" s="3" t="s">
        <v>375</v>
      </c>
      <c r="C945" s="3" t="s">
        <v>177</v>
      </c>
      <c r="D945" s="3" t="s">
        <v>410</v>
      </c>
      <c r="E945" s="3" t="s">
        <v>22</v>
      </c>
      <c r="F945" s="3">
        <v>0.2</v>
      </c>
      <c r="G945" s="3">
        <v>480</v>
      </c>
      <c r="H945" s="3">
        <f t="shared" si="16"/>
        <v>96</v>
      </c>
      <c r="I945" s="3"/>
      <c r="J945" s="3">
        <v>9.13</v>
      </c>
    </row>
    <row r="946" customHeight="1" spans="1:10">
      <c r="A946" s="3">
        <v>992</v>
      </c>
      <c r="B946" s="3" t="s">
        <v>381</v>
      </c>
      <c r="C946" s="3" t="s">
        <v>177</v>
      </c>
      <c r="D946" s="3" t="s">
        <v>410</v>
      </c>
      <c r="E946" s="3" t="s">
        <v>22</v>
      </c>
      <c r="F946" s="3">
        <v>0.3</v>
      </c>
      <c r="G946" s="3">
        <v>480</v>
      </c>
      <c r="H946" s="3">
        <f t="shared" si="16"/>
        <v>144</v>
      </c>
      <c r="I946" s="3"/>
      <c r="J946" s="3">
        <v>9.13</v>
      </c>
    </row>
    <row r="947" customHeight="1" spans="1:10">
      <c r="A947" s="3">
        <v>993</v>
      </c>
      <c r="B947" s="3" t="s">
        <v>358</v>
      </c>
      <c r="C947" s="3" t="s">
        <v>177</v>
      </c>
      <c r="D947" s="3" t="s">
        <v>410</v>
      </c>
      <c r="E947" s="3" t="s">
        <v>22</v>
      </c>
      <c r="F947" s="3">
        <v>0.5</v>
      </c>
      <c r="G947" s="3">
        <v>480</v>
      </c>
      <c r="H947" s="3">
        <f t="shared" si="16"/>
        <v>240</v>
      </c>
      <c r="I947" s="3"/>
      <c r="J947" s="3">
        <v>9.13</v>
      </c>
    </row>
    <row r="948" customHeight="1" spans="1:10">
      <c r="A948" s="3">
        <v>994</v>
      </c>
      <c r="B948" s="3" t="s">
        <v>356</v>
      </c>
      <c r="C948" s="3" t="s">
        <v>177</v>
      </c>
      <c r="D948" s="3" t="s">
        <v>410</v>
      </c>
      <c r="E948" s="3" t="s">
        <v>22</v>
      </c>
      <c r="F948" s="3">
        <v>0.4</v>
      </c>
      <c r="G948" s="3">
        <v>480</v>
      </c>
      <c r="H948" s="3">
        <f t="shared" si="16"/>
        <v>192</v>
      </c>
      <c r="I948" s="3"/>
      <c r="J948" s="3">
        <v>9.13</v>
      </c>
    </row>
    <row r="949" customHeight="1" spans="1:10">
      <c r="A949" s="3">
        <v>995</v>
      </c>
      <c r="B949" s="3" t="s">
        <v>356</v>
      </c>
      <c r="C949" s="3" t="s">
        <v>177</v>
      </c>
      <c r="D949" s="3" t="s">
        <v>410</v>
      </c>
      <c r="E949" s="3" t="s">
        <v>22</v>
      </c>
      <c r="F949" s="3">
        <v>0.25</v>
      </c>
      <c r="G949" s="3">
        <v>480</v>
      </c>
      <c r="H949" s="3">
        <f t="shared" si="16"/>
        <v>120</v>
      </c>
      <c r="I949" s="3"/>
      <c r="J949" s="3">
        <v>9.13</v>
      </c>
    </row>
    <row r="950" customHeight="1" spans="1:10">
      <c r="A950" s="3">
        <v>996</v>
      </c>
      <c r="B950" s="3" t="s">
        <v>107</v>
      </c>
      <c r="C950" s="3" t="s">
        <v>177</v>
      </c>
      <c r="D950" s="3" t="s">
        <v>410</v>
      </c>
      <c r="E950" s="3" t="s">
        <v>22</v>
      </c>
      <c r="F950" s="3">
        <v>0.39</v>
      </c>
      <c r="G950" s="3">
        <v>480</v>
      </c>
      <c r="H950" s="3">
        <f t="shared" si="16"/>
        <v>187.2</v>
      </c>
      <c r="I950" s="3"/>
      <c r="J950" s="3">
        <v>9.13</v>
      </c>
    </row>
    <row r="951" customHeight="1" spans="1:10">
      <c r="A951" s="3">
        <v>997</v>
      </c>
      <c r="B951" s="3" t="s">
        <v>380</v>
      </c>
      <c r="C951" s="3" t="s">
        <v>177</v>
      </c>
      <c r="D951" s="3" t="s">
        <v>410</v>
      </c>
      <c r="E951" s="3" t="s">
        <v>22</v>
      </c>
      <c r="F951" s="3">
        <v>0.17</v>
      </c>
      <c r="G951" s="3">
        <v>480</v>
      </c>
      <c r="H951" s="3">
        <f t="shared" si="16"/>
        <v>81.6</v>
      </c>
      <c r="I951" s="3"/>
      <c r="J951" s="3">
        <v>9.13</v>
      </c>
    </row>
    <row r="952" customHeight="1" spans="1:10">
      <c r="A952" s="3">
        <v>998</v>
      </c>
      <c r="B952" s="3" t="s">
        <v>183</v>
      </c>
      <c r="C952" s="3" t="s">
        <v>177</v>
      </c>
      <c r="D952" s="3" t="s">
        <v>411</v>
      </c>
      <c r="E952" s="3" t="s">
        <v>22</v>
      </c>
      <c r="F952" s="3">
        <v>0.26</v>
      </c>
      <c r="G952" s="3">
        <v>480</v>
      </c>
      <c r="H952" s="3">
        <f t="shared" si="16"/>
        <v>124.8</v>
      </c>
      <c r="I952" s="3"/>
      <c r="J952" s="3">
        <v>9.13</v>
      </c>
    </row>
    <row r="953" customHeight="1" spans="1:10">
      <c r="A953" s="3">
        <v>999</v>
      </c>
      <c r="B953" s="3" t="s">
        <v>186</v>
      </c>
      <c r="C953" s="3" t="s">
        <v>177</v>
      </c>
      <c r="D953" s="3" t="s">
        <v>411</v>
      </c>
      <c r="E953" s="3" t="s">
        <v>22</v>
      </c>
      <c r="F953" s="3">
        <v>0.49</v>
      </c>
      <c r="G953" s="3">
        <v>480</v>
      </c>
      <c r="H953" s="3">
        <f t="shared" si="16"/>
        <v>235.2</v>
      </c>
      <c r="I953" s="3"/>
      <c r="J953" s="3">
        <v>9.13</v>
      </c>
    </row>
    <row r="954" customHeight="1" spans="1:10">
      <c r="A954" s="3">
        <v>1000</v>
      </c>
      <c r="B954" s="3" t="s">
        <v>223</v>
      </c>
      <c r="C954" s="3" t="s">
        <v>177</v>
      </c>
      <c r="D954" s="3" t="s">
        <v>411</v>
      </c>
      <c r="E954" s="3" t="s">
        <v>22</v>
      </c>
      <c r="F954" s="3">
        <v>0.25</v>
      </c>
      <c r="G954" s="3">
        <v>480</v>
      </c>
      <c r="H954" s="3">
        <f t="shared" si="16"/>
        <v>120</v>
      </c>
      <c r="I954" s="3"/>
      <c r="J954" s="3">
        <v>9.13</v>
      </c>
    </row>
    <row r="955" customHeight="1" spans="1:10">
      <c r="A955" s="3">
        <v>1001</v>
      </c>
      <c r="B955" s="3" t="s">
        <v>210</v>
      </c>
      <c r="C955" s="3" t="s">
        <v>177</v>
      </c>
      <c r="D955" s="3" t="s">
        <v>411</v>
      </c>
      <c r="E955" s="3" t="s">
        <v>22</v>
      </c>
      <c r="F955" s="3">
        <v>0.21</v>
      </c>
      <c r="G955" s="3">
        <v>480</v>
      </c>
      <c r="H955" s="3">
        <f t="shared" si="16"/>
        <v>100.8</v>
      </c>
      <c r="I955" s="3"/>
      <c r="J955" s="3">
        <v>9.13</v>
      </c>
    </row>
    <row r="956" customHeight="1" spans="1:10">
      <c r="A956" s="3">
        <v>1002</v>
      </c>
      <c r="B956" s="3" t="s">
        <v>182</v>
      </c>
      <c r="C956" s="3" t="s">
        <v>177</v>
      </c>
      <c r="D956" s="3" t="s">
        <v>216</v>
      </c>
      <c r="E956" s="3" t="s">
        <v>22</v>
      </c>
      <c r="F956" s="3">
        <v>0.57</v>
      </c>
      <c r="G956" s="3">
        <v>480</v>
      </c>
      <c r="H956" s="3">
        <f t="shared" si="16"/>
        <v>273.6</v>
      </c>
      <c r="I956" s="3"/>
      <c r="J956" s="3">
        <v>9.13</v>
      </c>
    </row>
    <row r="957" customHeight="1" spans="1:10">
      <c r="A957" s="3">
        <v>1003</v>
      </c>
      <c r="B957" s="3" t="s">
        <v>211</v>
      </c>
      <c r="C957" s="3" t="s">
        <v>177</v>
      </c>
      <c r="D957" s="3" t="s">
        <v>216</v>
      </c>
      <c r="E957" s="3" t="s">
        <v>22</v>
      </c>
      <c r="F957" s="3">
        <v>0.52</v>
      </c>
      <c r="G957" s="3">
        <v>480</v>
      </c>
      <c r="H957" s="3">
        <f t="shared" si="16"/>
        <v>249.6</v>
      </c>
      <c r="I957" s="3"/>
      <c r="J957" s="3">
        <v>9.13</v>
      </c>
    </row>
    <row r="958" customHeight="1" spans="1:10">
      <c r="A958" s="3">
        <v>1004</v>
      </c>
      <c r="B958" s="3" t="s">
        <v>211</v>
      </c>
      <c r="C958" s="3" t="s">
        <v>177</v>
      </c>
      <c r="D958" s="3" t="s">
        <v>412</v>
      </c>
      <c r="E958" s="3" t="s">
        <v>13</v>
      </c>
      <c r="F958" s="3">
        <v>0.3</v>
      </c>
      <c r="G958" s="3">
        <v>380</v>
      </c>
      <c r="H958" s="3">
        <f t="shared" si="16"/>
        <v>114</v>
      </c>
      <c r="I958" s="3"/>
      <c r="J958" s="3">
        <v>9.13</v>
      </c>
    </row>
    <row r="959" customHeight="1" spans="1:10">
      <c r="A959" s="3">
        <v>1005</v>
      </c>
      <c r="B959" s="3" t="s">
        <v>413</v>
      </c>
      <c r="C959" s="3" t="s">
        <v>177</v>
      </c>
      <c r="D959" s="3" t="s">
        <v>412</v>
      </c>
      <c r="E959" s="3" t="s">
        <v>13</v>
      </c>
      <c r="F959" s="3">
        <v>0.08</v>
      </c>
      <c r="G959" s="3">
        <v>380</v>
      </c>
      <c r="H959" s="3">
        <f t="shared" si="16"/>
        <v>30.4</v>
      </c>
      <c r="I959" s="3"/>
      <c r="J959" s="3">
        <v>9.13</v>
      </c>
    </row>
    <row r="960" customHeight="1" spans="1:10">
      <c r="A960" s="3">
        <v>1006</v>
      </c>
      <c r="B960" s="3" t="s">
        <v>192</v>
      </c>
      <c r="C960" s="3" t="s">
        <v>177</v>
      </c>
      <c r="D960" s="3" t="s">
        <v>412</v>
      </c>
      <c r="E960" s="3" t="s">
        <v>13</v>
      </c>
      <c r="F960" s="3">
        <v>0.16</v>
      </c>
      <c r="G960" s="3">
        <v>380</v>
      </c>
      <c r="H960" s="3">
        <f t="shared" si="16"/>
        <v>60.8</v>
      </c>
      <c r="I960" s="3"/>
      <c r="J960" s="3">
        <v>9.13</v>
      </c>
    </row>
    <row r="961" customHeight="1" spans="1:10">
      <c r="A961" s="3">
        <v>1007</v>
      </c>
      <c r="B961" s="3" t="s">
        <v>414</v>
      </c>
      <c r="C961" s="3" t="s">
        <v>177</v>
      </c>
      <c r="D961" s="3" t="s">
        <v>412</v>
      </c>
      <c r="E961" s="3" t="s">
        <v>13</v>
      </c>
      <c r="F961" s="3">
        <v>0.65</v>
      </c>
      <c r="G961" s="3">
        <v>380</v>
      </c>
      <c r="H961" s="3">
        <f t="shared" si="16"/>
        <v>247</v>
      </c>
      <c r="I961" s="3"/>
      <c r="J961" s="3">
        <v>9.13</v>
      </c>
    </row>
    <row r="962" customHeight="1" spans="1:10">
      <c r="A962" s="3">
        <v>1008</v>
      </c>
      <c r="B962" s="3" t="s">
        <v>414</v>
      </c>
      <c r="C962" s="3" t="s">
        <v>177</v>
      </c>
      <c r="D962" s="3" t="s">
        <v>415</v>
      </c>
      <c r="E962" s="3" t="s">
        <v>22</v>
      </c>
      <c r="F962" s="3">
        <v>0.42</v>
      </c>
      <c r="G962" s="3">
        <v>480</v>
      </c>
      <c r="H962" s="3">
        <f t="shared" si="16"/>
        <v>201.6</v>
      </c>
      <c r="I962" s="3"/>
      <c r="J962" s="3">
        <v>9.13</v>
      </c>
    </row>
    <row r="963" customHeight="1" spans="1:10">
      <c r="A963" s="3">
        <v>1009</v>
      </c>
      <c r="B963" s="3" t="s">
        <v>416</v>
      </c>
      <c r="C963" s="3" t="s">
        <v>177</v>
      </c>
      <c r="D963" s="3" t="s">
        <v>415</v>
      </c>
      <c r="E963" s="3" t="s">
        <v>22</v>
      </c>
      <c r="F963" s="3">
        <v>0.3</v>
      </c>
      <c r="G963" s="3">
        <v>480</v>
      </c>
      <c r="H963" s="3">
        <f t="shared" si="16"/>
        <v>144</v>
      </c>
      <c r="I963" s="3"/>
      <c r="J963" s="3">
        <v>9.13</v>
      </c>
    </row>
    <row r="964" customHeight="1" spans="1:10">
      <c r="A964" s="3">
        <v>1010</v>
      </c>
      <c r="B964" s="3" t="s">
        <v>361</v>
      </c>
      <c r="C964" s="3" t="s">
        <v>177</v>
      </c>
      <c r="D964" s="3" t="s">
        <v>319</v>
      </c>
      <c r="E964" s="3" t="s">
        <v>13</v>
      </c>
      <c r="F964" s="3">
        <v>0.71</v>
      </c>
      <c r="G964" s="3">
        <v>380</v>
      </c>
      <c r="H964" s="3">
        <f t="shared" si="16"/>
        <v>269.8</v>
      </c>
      <c r="I964" s="3"/>
      <c r="J964" s="3">
        <v>9.13</v>
      </c>
    </row>
    <row r="965" customHeight="1" spans="1:10">
      <c r="A965" s="3">
        <v>1011</v>
      </c>
      <c r="B965" s="3" t="s">
        <v>360</v>
      </c>
      <c r="C965" s="3" t="s">
        <v>177</v>
      </c>
      <c r="D965" s="3" t="s">
        <v>319</v>
      </c>
      <c r="E965" s="3" t="s">
        <v>13</v>
      </c>
      <c r="F965" s="3">
        <v>0.2</v>
      </c>
      <c r="G965" s="3">
        <v>380</v>
      </c>
      <c r="H965" s="3">
        <f t="shared" si="16"/>
        <v>76</v>
      </c>
      <c r="I965" s="3"/>
      <c r="J965" s="3">
        <v>9.13</v>
      </c>
    </row>
    <row r="966" customHeight="1" spans="1:10">
      <c r="A966" s="3">
        <v>1012</v>
      </c>
      <c r="B966" s="3" t="s">
        <v>377</v>
      </c>
      <c r="C966" s="3" t="s">
        <v>177</v>
      </c>
      <c r="D966" s="3" t="s">
        <v>319</v>
      </c>
      <c r="E966" s="3" t="s">
        <v>13</v>
      </c>
      <c r="F966" s="3">
        <v>0.14</v>
      </c>
      <c r="G966" s="3">
        <v>380</v>
      </c>
      <c r="H966" s="3">
        <f t="shared" si="16"/>
        <v>53.2</v>
      </c>
      <c r="I966" s="3"/>
      <c r="J966" s="3">
        <v>9.13</v>
      </c>
    </row>
    <row r="967" customHeight="1" spans="1:10">
      <c r="A967" s="3">
        <v>1013</v>
      </c>
      <c r="B967" s="3" t="s">
        <v>375</v>
      </c>
      <c r="C967" s="3" t="s">
        <v>177</v>
      </c>
      <c r="D967" s="3" t="s">
        <v>319</v>
      </c>
      <c r="E967" s="3" t="s">
        <v>13</v>
      </c>
      <c r="F967" s="3">
        <v>0.1</v>
      </c>
      <c r="G967" s="3">
        <v>380</v>
      </c>
      <c r="H967" s="3">
        <f t="shared" si="16"/>
        <v>38</v>
      </c>
      <c r="I967" s="3"/>
      <c r="J967" s="3">
        <v>9.13</v>
      </c>
    </row>
    <row r="968" customHeight="1" spans="1:10">
      <c r="A968" s="3">
        <v>1014</v>
      </c>
      <c r="B968" s="3" t="s">
        <v>366</v>
      </c>
      <c r="C968" s="3" t="s">
        <v>177</v>
      </c>
      <c r="D968" s="3" t="s">
        <v>319</v>
      </c>
      <c r="E968" s="3" t="s">
        <v>13</v>
      </c>
      <c r="F968" s="3">
        <v>0.47</v>
      </c>
      <c r="G968" s="3">
        <v>380</v>
      </c>
      <c r="H968" s="3">
        <f t="shared" ref="H968:H1031" si="17">G968*F968</f>
        <v>178.6</v>
      </c>
      <c r="I968" s="3"/>
      <c r="J968" s="3">
        <v>9.13</v>
      </c>
    </row>
    <row r="969" customHeight="1" spans="1:10">
      <c r="A969" s="3">
        <v>1015</v>
      </c>
      <c r="B969" s="3" t="s">
        <v>231</v>
      </c>
      <c r="C969" s="3" t="s">
        <v>177</v>
      </c>
      <c r="D969" s="3" t="s">
        <v>319</v>
      </c>
      <c r="E969" s="3" t="s">
        <v>13</v>
      </c>
      <c r="F969" s="3">
        <v>0.15</v>
      </c>
      <c r="G969" s="3">
        <v>380</v>
      </c>
      <c r="H969" s="3">
        <f t="shared" si="17"/>
        <v>57</v>
      </c>
      <c r="I969" s="3"/>
      <c r="J969" s="3">
        <v>9.13</v>
      </c>
    </row>
    <row r="970" customHeight="1" spans="1:10">
      <c r="A970" s="3">
        <v>1016</v>
      </c>
      <c r="B970" s="3" t="s">
        <v>235</v>
      </c>
      <c r="C970" s="3" t="s">
        <v>177</v>
      </c>
      <c r="D970" s="3" t="s">
        <v>319</v>
      </c>
      <c r="E970" s="3" t="s">
        <v>13</v>
      </c>
      <c r="F970" s="3">
        <v>0.27</v>
      </c>
      <c r="G970" s="3">
        <v>380</v>
      </c>
      <c r="H970" s="3">
        <f t="shared" si="17"/>
        <v>102.6</v>
      </c>
      <c r="I970" s="3"/>
      <c r="J970" s="3">
        <v>9.13</v>
      </c>
    </row>
    <row r="971" customHeight="1" spans="1:10">
      <c r="A971" s="3">
        <v>1017</v>
      </c>
      <c r="B971" s="3" t="s">
        <v>235</v>
      </c>
      <c r="C971" s="3" t="s">
        <v>177</v>
      </c>
      <c r="D971" s="3" t="s">
        <v>319</v>
      </c>
      <c r="E971" s="3" t="s">
        <v>13</v>
      </c>
      <c r="F971" s="3">
        <v>0.15</v>
      </c>
      <c r="G971" s="3">
        <v>380</v>
      </c>
      <c r="H971" s="3">
        <f t="shared" si="17"/>
        <v>57</v>
      </c>
      <c r="I971" s="3"/>
      <c r="J971" s="3">
        <v>9.13</v>
      </c>
    </row>
    <row r="972" customHeight="1" spans="1:10">
      <c r="A972" s="3">
        <v>1018</v>
      </c>
      <c r="B972" s="3" t="s">
        <v>356</v>
      </c>
      <c r="C972" s="3" t="s">
        <v>177</v>
      </c>
      <c r="D972" s="3" t="s">
        <v>319</v>
      </c>
      <c r="E972" s="3" t="s">
        <v>13</v>
      </c>
      <c r="F972" s="3">
        <v>0.21</v>
      </c>
      <c r="G972" s="3">
        <v>380</v>
      </c>
      <c r="H972" s="3">
        <f t="shared" si="17"/>
        <v>79.8</v>
      </c>
      <c r="I972" s="3"/>
      <c r="J972" s="3">
        <v>9.13</v>
      </c>
    </row>
    <row r="973" customHeight="1" spans="1:10">
      <c r="A973" s="3">
        <v>1019</v>
      </c>
      <c r="B973" s="3" t="s">
        <v>189</v>
      </c>
      <c r="C973" s="3" t="s">
        <v>177</v>
      </c>
      <c r="D973" s="3" t="s">
        <v>417</v>
      </c>
      <c r="E973" s="3" t="s">
        <v>22</v>
      </c>
      <c r="F973" s="3">
        <v>0.26</v>
      </c>
      <c r="G973" s="3">
        <v>480</v>
      </c>
      <c r="H973" s="3">
        <f t="shared" si="17"/>
        <v>124.8</v>
      </c>
      <c r="I973" s="3"/>
      <c r="J973" s="3">
        <v>9.13</v>
      </c>
    </row>
    <row r="974" customHeight="1" spans="1:10">
      <c r="A974" s="3">
        <v>1020</v>
      </c>
      <c r="B974" s="3" t="s">
        <v>414</v>
      </c>
      <c r="C974" s="3" t="s">
        <v>177</v>
      </c>
      <c r="D974" s="3" t="s">
        <v>417</v>
      </c>
      <c r="E974" s="3" t="s">
        <v>22</v>
      </c>
      <c r="F974" s="3">
        <v>0.25</v>
      </c>
      <c r="G974" s="3">
        <v>480</v>
      </c>
      <c r="H974" s="3">
        <f t="shared" si="17"/>
        <v>120</v>
      </c>
      <c r="I974" s="3"/>
      <c r="J974" s="3">
        <v>9.13</v>
      </c>
    </row>
    <row r="975" customHeight="1" spans="1:10">
      <c r="A975" s="3">
        <v>1021</v>
      </c>
      <c r="B975" s="3" t="s">
        <v>186</v>
      </c>
      <c r="C975" s="3" t="s">
        <v>177</v>
      </c>
      <c r="D975" s="3" t="s">
        <v>417</v>
      </c>
      <c r="E975" s="3" t="s">
        <v>22</v>
      </c>
      <c r="F975" s="3">
        <v>0.42</v>
      </c>
      <c r="G975" s="3">
        <v>480</v>
      </c>
      <c r="H975" s="3">
        <f t="shared" si="17"/>
        <v>201.6</v>
      </c>
      <c r="I975" s="3"/>
      <c r="J975" s="3">
        <v>9.13</v>
      </c>
    </row>
    <row r="976" customHeight="1" spans="1:10">
      <c r="A976" s="3">
        <v>1022</v>
      </c>
      <c r="B976" s="3" t="s">
        <v>418</v>
      </c>
      <c r="C976" s="3" t="s">
        <v>177</v>
      </c>
      <c r="D976" s="3" t="s">
        <v>417</v>
      </c>
      <c r="E976" s="3" t="s">
        <v>22</v>
      </c>
      <c r="F976" s="3">
        <v>0.11</v>
      </c>
      <c r="G976" s="3">
        <v>480</v>
      </c>
      <c r="H976" s="3">
        <f t="shared" si="17"/>
        <v>52.8</v>
      </c>
      <c r="I976" s="3"/>
      <c r="J976" s="3">
        <v>9.13</v>
      </c>
    </row>
    <row r="977" customHeight="1" spans="1:10">
      <c r="A977" s="3">
        <v>1023</v>
      </c>
      <c r="B977" s="3" t="s">
        <v>223</v>
      </c>
      <c r="C977" s="3" t="s">
        <v>177</v>
      </c>
      <c r="D977" s="3" t="s">
        <v>417</v>
      </c>
      <c r="E977" s="3" t="s">
        <v>22</v>
      </c>
      <c r="F977" s="3">
        <v>0.22</v>
      </c>
      <c r="G977" s="3">
        <v>480</v>
      </c>
      <c r="H977" s="3">
        <f t="shared" si="17"/>
        <v>105.6</v>
      </c>
      <c r="I977" s="3"/>
      <c r="J977" s="3">
        <v>9.13</v>
      </c>
    </row>
    <row r="978" customHeight="1" spans="1:10">
      <c r="A978" s="3">
        <v>1024</v>
      </c>
      <c r="B978" s="3" t="s">
        <v>404</v>
      </c>
      <c r="C978" s="3" t="s">
        <v>177</v>
      </c>
      <c r="D978" s="3" t="s">
        <v>419</v>
      </c>
      <c r="E978" s="3" t="s">
        <v>13</v>
      </c>
      <c r="F978" s="3">
        <v>0.16</v>
      </c>
      <c r="G978" s="3">
        <v>380</v>
      </c>
      <c r="H978" s="3">
        <f t="shared" si="17"/>
        <v>60.8</v>
      </c>
      <c r="I978" s="3"/>
      <c r="J978" s="3">
        <v>9.13</v>
      </c>
    </row>
    <row r="979" customHeight="1" spans="1:10">
      <c r="A979" s="3">
        <v>1025</v>
      </c>
      <c r="B979" s="3" t="s">
        <v>370</v>
      </c>
      <c r="C979" s="3" t="s">
        <v>177</v>
      </c>
      <c r="D979" s="3" t="s">
        <v>420</v>
      </c>
      <c r="E979" s="3" t="s">
        <v>13</v>
      </c>
      <c r="F979" s="3">
        <v>0.17</v>
      </c>
      <c r="G979" s="3">
        <v>380</v>
      </c>
      <c r="H979" s="3">
        <f t="shared" si="17"/>
        <v>64.6</v>
      </c>
      <c r="I979" s="3"/>
      <c r="J979" s="3">
        <v>9.13</v>
      </c>
    </row>
    <row r="980" customHeight="1" spans="1:10">
      <c r="A980" s="3">
        <v>1026</v>
      </c>
      <c r="B980" s="3" t="s">
        <v>107</v>
      </c>
      <c r="C980" s="3" t="s">
        <v>177</v>
      </c>
      <c r="D980" s="3" t="s">
        <v>421</v>
      </c>
      <c r="E980" s="3" t="s">
        <v>13</v>
      </c>
      <c r="F980" s="3">
        <v>0.25</v>
      </c>
      <c r="G980" s="3">
        <v>380</v>
      </c>
      <c r="H980" s="3">
        <f t="shared" si="17"/>
        <v>95</v>
      </c>
      <c r="I980" s="3"/>
      <c r="J980" s="3">
        <v>9.13</v>
      </c>
    </row>
    <row r="981" customHeight="1" spans="1:10">
      <c r="A981" s="3">
        <v>1027</v>
      </c>
      <c r="B981" s="3" t="s">
        <v>255</v>
      </c>
      <c r="C981" s="3" t="s">
        <v>177</v>
      </c>
      <c r="D981" s="3" t="s">
        <v>421</v>
      </c>
      <c r="E981" s="3" t="s">
        <v>13</v>
      </c>
      <c r="F981" s="3">
        <v>0.14</v>
      </c>
      <c r="G981" s="3">
        <v>380</v>
      </c>
      <c r="H981" s="3">
        <f t="shared" si="17"/>
        <v>53.2</v>
      </c>
      <c r="I981" s="3"/>
      <c r="J981" s="3">
        <v>9.13</v>
      </c>
    </row>
    <row r="982" customHeight="1" spans="1:10">
      <c r="A982" s="3">
        <v>1028</v>
      </c>
      <c r="B982" s="3" t="s">
        <v>368</v>
      </c>
      <c r="C982" s="3" t="s">
        <v>177</v>
      </c>
      <c r="D982" s="3" t="s">
        <v>422</v>
      </c>
      <c r="E982" s="3" t="s">
        <v>13</v>
      </c>
      <c r="F982" s="3">
        <v>0.21</v>
      </c>
      <c r="G982" s="3">
        <v>380</v>
      </c>
      <c r="H982" s="3">
        <f t="shared" si="17"/>
        <v>79.8</v>
      </c>
      <c r="I982" s="3"/>
      <c r="J982" s="3">
        <v>9.13</v>
      </c>
    </row>
    <row r="983" customHeight="1" spans="1:10">
      <c r="A983" s="3">
        <v>1029</v>
      </c>
      <c r="B983" s="3" t="s">
        <v>390</v>
      </c>
      <c r="C983" s="3" t="s">
        <v>177</v>
      </c>
      <c r="D983" s="3" t="s">
        <v>422</v>
      </c>
      <c r="E983" s="3" t="s">
        <v>13</v>
      </c>
      <c r="F983" s="3">
        <v>0.15</v>
      </c>
      <c r="G983" s="3">
        <v>380</v>
      </c>
      <c r="H983" s="3">
        <f t="shared" si="17"/>
        <v>57</v>
      </c>
      <c r="I983" s="3"/>
      <c r="J983" s="3">
        <v>9.13</v>
      </c>
    </row>
    <row r="984" customHeight="1" spans="1:10">
      <c r="A984" s="3">
        <v>1030</v>
      </c>
      <c r="B984" s="3" t="s">
        <v>387</v>
      </c>
      <c r="C984" s="3" t="s">
        <v>177</v>
      </c>
      <c r="D984" s="3" t="s">
        <v>421</v>
      </c>
      <c r="E984" s="3" t="s">
        <v>13</v>
      </c>
      <c r="F984" s="3">
        <v>0.07</v>
      </c>
      <c r="G984" s="3">
        <v>380</v>
      </c>
      <c r="H984" s="3">
        <f t="shared" si="17"/>
        <v>26.6</v>
      </c>
      <c r="I984" s="3"/>
      <c r="J984" s="3">
        <v>9.13</v>
      </c>
    </row>
    <row r="985" customHeight="1" spans="1:10">
      <c r="A985" s="3">
        <v>1031</v>
      </c>
      <c r="B985" s="3" t="s">
        <v>387</v>
      </c>
      <c r="C985" s="3" t="s">
        <v>177</v>
      </c>
      <c r="D985" s="3" t="s">
        <v>423</v>
      </c>
      <c r="E985" s="3" t="s">
        <v>13</v>
      </c>
      <c r="F985" s="3">
        <v>0.1</v>
      </c>
      <c r="G985" s="3">
        <v>380</v>
      </c>
      <c r="H985" s="3">
        <f t="shared" si="17"/>
        <v>38</v>
      </c>
      <c r="I985" s="3"/>
      <c r="J985" s="3">
        <v>9.13</v>
      </c>
    </row>
    <row r="986" customHeight="1" spans="1:10">
      <c r="A986" s="3">
        <v>1032</v>
      </c>
      <c r="B986" s="3" t="s">
        <v>255</v>
      </c>
      <c r="C986" s="3" t="s">
        <v>177</v>
      </c>
      <c r="D986" s="3" t="s">
        <v>236</v>
      </c>
      <c r="E986" s="3" t="s">
        <v>13</v>
      </c>
      <c r="F986" s="3">
        <v>0.35</v>
      </c>
      <c r="G986" s="3">
        <v>380</v>
      </c>
      <c r="H986" s="3">
        <f t="shared" si="17"/>
        <v>133</v>
      </c>
      <c r="I986" s="3"/>
      <c r="J986" s="3">
        <v>9.13</v>
      </c>
    </row>
    <row r="987" customHeight="1" spans="1:10">
      <c r="A987" s="3">
        <v>1033</v>
      </c>
      <c r="B987" s="3" t="s">
        <v>368</v>
      </c>
      <c r="C987" s="3" t="s">
        <v>177</v>
      </c>
      <c r="D987" s="3" t="s">
        <v>236</v>
      </c>
      <c r="E987" s="3" t="s">
        <v>13</v>
      </c>
      <c r="F987" s="3">
        <v>0.25</v>
      </c>
      <c r="G987" s="3">
        <v>380</v>
      </c>
      <c r="H987" s="3">
        <f t="shared" si="17"/>
        <v>95</v>
      </c>
      <c r="I987" s="3"/>
      <c r="J987" s="3">
        <v>9.13</v>
      </c>
    </row>
    <row r="988" customHeight="1" spans="1:10">
      <c r="A988" s="3">
        <v>1034</v>
      </c>
      <c r="B988" s="3" t="s">
        <v>366</v>
      </c>
      <c r="C988" s="3" t="s">
        <v>177</v>
      </c>
      <c r="D988" s="3" t="s">
        <v>424</v>
      </c>
      <c r="E988" s="3" t="s">
        <v>13</v>
      </c>
      <c r="F988" s="3">
        <v>0.16</v>
      </c>
      <c r="G988" s="3">
        <v>380</v>
      </c>
      <c r="H988" s="3">
        <f t="shared" si="17"/>
        <v>60.8</v>
      </c>
      <c r="I988" s="3"/>
      <c r="J988" s="3">
        <v>9.13</v>
      </c>
    </row>
    <row r="989" customHeight="1" spans="1:10">
      <c r="A989" s="3">
        <v>1035</v>
      </c>
      <c r="B989" s="3" t="s">
        <v>404</v>
      </c>
      <c r="C989" s="3" t="s">
        <v>177</v>
      </c>
      <c r="D989" s="3" t="s">
        <v>236</v>
      </c>
      <c r="E989" s="3" t="s">
        <v>13</v>
      </c>
      <c r="F989" s="3">
        <v>0.11</v>
      </c>
      <c r="G989" s="3">
        <v>380</v>
      </c>
      <c r="H989" s="3">
        <f t="shared" si="17"/>
        <v>41.8</v>
      </c>
      <c r="I989" s="3"/>
      <c r="J989" s="3">
        <v>9.13</v>
      </c>
    </row>
    <row r="990" customHeight="1" spans="1:10">
      <c r="A990" s="3">
        <v>1036</v>
      </c>
      <c r="B990" s="3" t="s">
        <v>371</v>
      </c>
      <c r="C990" s="3" t="s">
        <v>177</v>
      </c>
      <c r="D990" s="3" t="s">
        <v>236</v>
      </c>
      <c r="E990" s="3" t="s">
        <v>13</v>
      </c>
      <c r="F990" s="3">
        <v>0.14</v>
      </c>
      <c r="G990" s="3">
        <v>380</v>
      </c>
      <c r="H990" s="3">
        <f t="shared" si="17"/>
        <v>53.2</v>
      </c>
      <c r="I990" s="3"/>
      <c r="J990" s="3">
        <v>9.13</v>
      </c>
    </row>
    <row r="991" customHeight="1" spans="1:10">
      <c r="A991" s="3">
        <v>1037</v>
      </c>
      <c r="B991" s="3" t="s">
        <v>404</v>
      </c>
      <c r="C991" s="3" t="s">
        <v>177</v>
      </c>
      <c r="D991" s="3" t="s">
        <v>425</v>
      </c>
      <c r="E991" s="3" t="s">
        <v>13</v>
      </c>
      <c r="F991" s="3">
        <v>0.1</v>
      </c>
      <c r="G991" s="3">
        <v>380</v>
      </c>
      <c r="H991" s="3">
        <f t="shared" si="17"/>
        <v>38</v>
      </c>
      <c r="I991" s="3"/>
      <c r="J991" s="3">
        <v>9.13</v>
      </c>
    </row>
    <row r="992" customHeight="1" spans="1:10">
      <c r="A992" s="3">
        <v>1038</v>
      </c>
      <c r="B992" s="3" t="s">
        <v>231</v>
      </c>
      <c r="C992" s="3" t="s">
        <v>177</v>
      </c>
      <c r="D992" s="3" t="s">
        <v>426</v>
      </c>
      <c r="E992" s="3" t="s">
        <v>13</v>
      </c>
      <c r="F992" s="3">
        <v>0.28</v>
      </c>
      <c r="G992" s="3">
        <v>380</v>
      </c>
      <c r="H992" s="3">
        <f t="shared" si="17"/>
        <v>106.4</v>
      </c>
      <c r="I992" s="3"/>
      <c r="J992" s="3">
        <v>9.13</v>
      </c>
    </row>
    <row r="993" customHeight="1" spans="1:10">
      <c r="A993" s="3">
        <v>1039</v>
      </c>
      <c r="B993" s="3" t="s">
        <v>375</v>
      </c>
      <c r="C993" s="3" t="s">
        <v>177</v>
      </c>
      <c r="D993" s="3" t="s">
        <v>427</v>
      </c>
      <c r="E993" s="3" t="s">
        <v>13</v>
      </c>
      <c r="F993" s="3">
        <v>0.51</v>
      </c>
      <c r="G993" s="3">
        <v>380</v>
      </c>
      <c r="H993" s="3">
        <f t="shared" si="17"/>
        <v>193.8</v>
      </c>
      <c r="I993" s="3"/>
      <c r="J993" s="3">
        <v>9.13</v>
      </c>
    </row>
    <row r="994" customHeight="1" spans="1:10">
      <c r="A994" s="3">
        <v>1040</v>
      </c>
      <c r="B994" s="3" t="s">
        <v>381</v>
      </c>
      <c r="C994" s="3" t="s">
        <v>177</v>
      </c>
      <c r="D994" s="3" t="s">
        <v>428</v>
      </c>
      <c r="E994" s="3" t="s">
        <v>13</v>
      </c>
      <c r="F994" s="3">
        <v>0.97</v>
      </c>
      <c r="G994" s="3">
        <v>380</v>
      </c>
      <c r="H994" s="3">
        <f t="shared" si="17"/>
        <v>368.6</v>
      </c>
      <c r="I994" s="3"/>
      <c r="J994" s="3">
        <v>9.13</v>
      </c>
    </row>
    <row r="995" customHeight="1" spans="1:10">
      <c r="A995" s="3">
        <v>1041</v>
      </c>
      <c r="B995" s="3" t="s">
        <v>361</v>
      </c>
      <c r="C995" s="3" t="s">
        <v>177</v>
      </c>
      <c r="D995" s="3" t="s">
        <v>331</v>
      </c>
      <c r="E995" s="3" t="s">
        <v>13</v>
      </c>
      <c r="F995" s="3">
        <v>0.08</v>
      </c>
      <c r="G995" s="3">
        <v>380</v>
      </c>
      <c r="H995" s="3">
        <f t="shared" si="17"/>
        <v>30.4</v>
      </c>
      <c r="I995" s="3"/>
      <c r="J995" s="3">
        <v>9.13</v>
      </c>
    </row>
    <row r="996" customHeight="1" spans="1:10">
      <c r="A996" s="3">
        <v>1042</v>
      </c>
      <c r="B996" s="3" t="s">
        <v>361</v>
      </c>
      <c r="C996" s="3" t="s">
        <v>177</v>
      </c>
      <c r="D996" s="3" t="s">
        <v>428</v>
      </c>
      <c r="E996" s="3" t="s">
        <v>13</v>
      </c>
      <c r="F996" s="3">
        <v>0.08</v>
      </c>
      <c r="G996" s="3">
        <v>380</v>
      </c>
      <c r="H996" s="3">
        <f t="shared" si="17"/>
        <v>30.4</v>
      </c>
      <c r="I996" s="3"/>
      <c r="J996" s="3">
        <v>9.13</v>
      </c>
    </row>
    <row r="997" customHeight="1" spans="1:10">
      <c r="A997" s="3">
        <v>1043</v>
      </c>
      <c r="B997" s="3" t="s">
        <v>404</v>
      </c>
      <c r="C997" s="3" t="s">
        <v>177</v>
      </c>
      <c r="D997" s="3" t="s">
        <v>428</v>
      </c>
      <c r="E997" s="3" t="s">
        <v>13</v>
      </c>
      <c r="F997" s="3">
        <v>0.08</v>
      </c>
      <c r="G997" s="3">
        <v>380</v>
      </c>
      <c r="H997" s="3">
        <f t="shared" si="17"/>
        <v>30.4</v>
      </c>
      <c r="I997" s="3"/>
      <c r="J997" s="3">
        <v>9.13</v>
      </c>
    </row>
    <row r="998" customHeight="1" spans="1:10">
      <c r="A998" s="3">
        <v>1044</v>
      </c>
      <c r="B998" s="3" t="s">
        <v>375</v>
      </c>
      <c r="C998" s="3" t="s">
        <v>177</v>
      </c>
      <c r="D998" s="3" t="s">
        <v>428</v>
      </c>
      <c r="E998" s="3" t="s">
        <v>13</v>
      </c>
      <c r="F998" s="3">
        <v>0.12</v>
      </c>
      <c r="G998" s="3">
        <v>380</v>
      </c>
      <c r="H998" s="3">
        <f t="shared" si="17"/>
        <v>45.6</v>
      </c>
      <c r="I998" s="3"/>
      <c r="J998" s="3">
        <v>9.13</v>
      </c>
    </row>
    <row r="999" customHeight="1" spans="1:10">
      <c r="A999" s="3">
        <v>1045</v>
      </c>
      <c r="B999" s="3" t="s">
        <v>107</v>
      </c>
      <c r="C999" s="3" t="s">
        <v>177</v>
      </c>
      <c r="D999" s="3" t="s">
        <v>331</v>
      </c>
      <c r="E999" s="3" t="s">
        <v>13</v>
      </c>
      <c r="F999" s="3">
        <v>0.75</v>
      </c>
      <c r="G999" s="3">
        <v>380</v>
      </c>
      <c r="H999" s="3">
        <f t="shared" si="17"/>
        <v>285</v>
      </c>
      <c r="I999" s="3"/>
      <c r="J999" s="3">
        <v>9.13</v>
      </c>
    </row>
    <row r="1000" customHeight="1" spans="1:10">
      <c r="A1000" s="3">
        <v>1046</v>
      </c>
      <c r="B1000" s="3" t="s">
        <v>235</v>
      </c>
      <c r="C1000" s="3" t="s">
        <v>177</v>
      </c>
      <c r="D1000" s="3" t="s">
        <v>331</v>
      </c>
      <c r="E1000" s="3" t="s">
        <v>13</v>
      </c>
      <c r="F1000" s="3">
        <v>0.23</v>
      </c>
      <c r="G1000" s="3">
        <v>380</v>
      </c>
      <c r="H1000" s="3">
        <f t="shared" si="17"/>
        <v>87.4</v>
      </c>
      <c r="I1000" s="3"/>
      <c r="J1000" s="3">
        <v>9.13</v>
      </c>
    </row>
    <row r="1001" customHeight="1" spans="1:10">
      <c r="A1001" s="3">
        <v>1047</v>
      </c>
      <c r="B1001" s="3" t="s">
        <v>387</v>
      </c>
      <c r="C1001" s="3" t="s">
        <v>177</v>
      </c>
      <c r="D1001" s="3" t="s">
        <v>428</v>
      </c>
      <c r="E1001" s="3" t="s">
        <v>13</v>
      </c>
      <c r="F1001" s="3">
        <v>0.8</v>
      </c>
      <c r="G1001" s="3">
        <v>380</v>
      </c>
      <c r="H1001" s="3">
        <f t="shared" si="17"/>
        <v>304</v>
      </c>
      <c r="I1001" s="3"/>
      <c r="J1001" s="3">
        <v>9.13</v>
      </c>
    </row>
    <row r="1002" customHeight="1" spans="1:10">
      <c r="A1002" s="3">
        <v>1048</v>
      </c>
      <c r="B1002" s="3" t="s">
        <v>367</v>
      </c>
      <c r="C1002" s="3" t="s">
        <v>177</v>
      </c>
      <c r="D1002" s="3" t="s">
        <v>428</v>
      </c>
      <c r="E1002" s="3" t="s">
        <v>13</v>
      </c>
      <c r="F1002" s="3">
        <v>0.8</v>
      </c>
      <c r="G1002" s="3">
        <v>380</v>
      </c>
      <c r="H1002" s="3">
        <f t="shared" si="17"/>
        <v>304</v>
      </c>
      <c r="I1002" s="3"/>
      <c r="J1002" s="3">
        <v>9.13</v>
      </c>
    </row>
    <row r="1003" customHeight="1" spans="1:10">
      <c r="A1003" s="3">
        <v>1049</v>
      </c>
      <c r="B1003" s="3" t="s">
        <v>404</v>
      </c>
      <c r="C1003" s="3" t="s">
        <v>177</v>
      </c>
      <c r="D1003" s="3" t="s">
        <v>429</v>
      </c>
      <c r="E1003" s="3" t="s">
        <v>13</v>
      </c>
      <c r="F1003" s="3">
        <v>0.6</v>
      </c>
      <c r="G1003" s="3">
        <v>380</v>
      </c>
      <c r="H1003" s="3">
        <f t="shared" si="17"/>
        <v>228</v>
      </c>
      <c r="I1003" s="3"/>
      <c r="J1003" s="3">
        <v>9.13</v>
      </c>
    </row>
    <row r="1004" customHeight="1" spans="1:10">
      <c r="A1004" s="3">
        <v>1050</v>
      </c>
      <c r="B1004" s="3" t="s">
        <v>361</v>
      </c>
      <c r="C1004" s="3" t="s">
        <v>177</v>
      </c>
      <c r="D1004" s="3" t="s">
        <v>429</v>
      </c>
      <c r="E1004" s="3" t="s">
        <v>13</v>
      </c>
      <c r="F1004" s="3">
        <v>0.03</v>
      </c>
      <c r="G1004" s="3">
        <v>380</v>
      </c>
      <c r="H1004" s="3">
        <f t="shared" si="17"/>
        <v>11.4</v>
      </c>
      <c r="I1004" s="3"/>
      <c r="J1004" s="3">
        <v>9.13</v>
      </c>
    </row>
    <row r="1005" customHeight="1" spans="1:10">
      <c r="A1005" s="3">
        <v>1051</v>
      </c>
      <c r="B1005" s="3" t="s">
        <v>358</v>
      </c>
      <c r="C1005" s="3" t="s">
        <v>177</v>
      </c>
      <c r="D1005" s="3" t="s">
        <v>429</v>
      </c>
      <c r="E1005" s="3" t="s">
        <v>13</v>
      </c>
      <c r="F1005" s="3">
        <v>1.7</v>
      </c>
      <c r="G1005" s="3">
        <v>380</v>
      </c>
      <c r="H1005" s="3">
        <f t="shared" si="17"/>
        <v>646</v>
      </c>
      <c r="I1005" s="3"/>
      <c r="J1005" s="3">
        <v>9.13</v>
      </c>
    </row>
    <row r="1006" customHeight="1" spans="1:10">
      <c r="A1006" s="3">
        <v>1052</v>
      </c>
      <c r="B1006" s="3" t="s">
        <v>368</v>
      </c>
      <c r="C1006" s="3" t="s">
        <v>177</v>
      </c>
      <c r="D1006" s="3" t="s">
        <v>428</v>
      </c>
      <c r="E1006" s="3" t="s">
        <v>13</v>
      </c>
      <c r="F1006" s="3">
        <v>0.45</v>
      </c>
      <c r="G1006" s="3">
        <v>380</v>
      </c>
      <c r="H1006" s="3">
        <f t="shared" si="17"/>
        <v>171</v>
      </c>
      <c r="I1006" s="3"/>
      <c r="J1006" s="3">
        <v>9.13</v>
      </c>
    </row>
    <row r="1007" customHeight="1" spans="1:10">
      <c r="A1007" s="3">
        <v>1053</v>
      </c>
      <c r="B1007" s="3" t="s">
        <v>367</v>
      </c>
      <c r="C1007" s="3" t="s">
        <v>177</v>
      </c>
      <c r="D1007" s="3" t="s">
        <v>430</v>
      </c>
      <c r="E1007" s="3" t="s">
        <v>13</v>
      </c>
      <c r="F1007" s="3">
        <v>0.15</v>
      </c>
      <c r="G1007" s="3">
        <v>380</v>
      </c>
      <c r="H1007" s="3">
        <f t="shared" si="17"/>
        <v>57</v>
      </c>
      <c r="I1007" s="3"/>
      <c r="J1007" s="3">
        <v>9.13</v>
      </c>
    </row>
    <row r="1008" customHeight="1" spans="1:10">
      <c r="A1008" s="3">
        <v>1054</v>
      </c>
      <c r="B1008" s="3" t="s">
        <v>371</v>
      </c>
      <c r="C1008" s="3" t="s">
        <v>177</v>
      </c>
      <c r="D1008" s="3" t="s">
        <v>431</v>
      </c>
      <c r="E1008" s="3" t="s">
        <v>13</v>
      </c>
      <c r="F1008" s="3">
        <v>0.76</v>
      </c>
      <c r="G1008" s="3">
        <v>380</v>
      </c>
      <c r="H1008" s="3">
        <f t="shared" si="17"/>
        <v>288.8</v>
      </c>
      <c r="I1008" s="3"/>
      <c r="J1008" s="3">
        <v>9.13</v>
      </c>
    </row>
    <row r="1009" customHeight="1" spans="1:10">
      <c r="A1009" s="3">
        <v>1055</v>
      </c>
      <c r="B1009" s="3" t="s">
        <v>368</v>
      </c>
      <c r="C1009" s="3" t="s">
        <v>177</v>
      </c>
      <c r="D1009" s="3" t="s">
        <v>432</v>
      </c>
      <c r="E1009" s="3" t="s">
        <v>13</v>
      </c>
      <c r="F1009" s="3">
        <v>0.45</v>
      </c>
      <c r="G1009" s="3">
        <v>380</v>
      </c>
      <c r="H1009" s="3">
        <f t="shared" si="17"/>
        <v>171</v>
      </c>
      <c r="I1009" s="3"/>
      <c r="J1009" s="3">
        <v>9.13</v>
      </c>
    </row>
    <row r="1010" customHeight="1" spans="1:10">
      <c r="A1010" s="3">
        <v>1056</v>
      </c>
      <c r="B1010" s="3" t="s">
        <v>234</v>
      </c>
      <c r="C1010" s="3" t="s">
        <v>177</v>
      </c>
      <c r="D1010" s="3" t="s">
        <v>433</v>
      </c>
      <c r="E1010" s="3" t="s">
        <v>13</v>
      </c>
      <c r="F1010" s="3">
        <v>0.35</v>
      </c>
      <c r="G1010" s="3">
        <v>380</v>
      </c>
      <c r="H1010" s="3">
        <f t="shared" si="17"/>
        <v>133</v>
      </c>
      <c r="I1010" s="3"/>
      <c r="J1010" s="3">
        <v>9.13</v>
      </c>
    </row>
    <row r="1011" customHeight="1" spans="1:10">
      <c r="A1011" s="3">
        <v>1057</v>
      </c>
      <c r="B1011" s="3" t="s">
        <v>361</v>
      </c>
      <c r="C1011" s="3" t="s">
        <v>177</v>
      </c>
      <c r="D1011" s="3" t="s">
        <v>431</v>
      </c>
      <c r="E1011" s="3" t="s">
        <v>13</v>
      </c>
      <c r="F1011" s="3">
        <v>0.76</v>
      </c>
      <c r="G1011" s="3">
        <v>380</v>
      </c>
      <c r="H1011" s="3">
        <f t="shared" si="17"/>
        <v>288.8</v>
      </c>
      <c r="I1011" s="3"/>
      <c r="J1011" s="3">
        <v>9.13</v>
      </c>
    </row>
    <row r="1012" customHeight="1" spans="1:10">
      <c r="A1012" s="3">
        <v>1058</v>
      </c>
      <c r="B1012" s="3" t="s">
        <v>404</v>
      </c>
      <c r="C1012" s="3" t="s">
        <v>177</v>
      </c>
      <c r="D1012" s="3" t="s">
        <v>401</v>
      </c>
      <c r="E1012" s="3" t="s">
        <v>13</v>
      </c>
      <c r="F1012" s="3">
        <v>0.32</v>
      </c>
      <c r="G1012" s="3">
        <v>380</v>
      </c>
      <c r="H1012" s="3">
        <f t="shared" si="17"/>
        <v>121.6</v>
      </c>
      <c r="I1012" s="3"/>
      <c r="J1012" s="3">
        <v>9.13</v>
      </c>
    </row>
    <row r="1013" customHeight="1" spans="1:10">
      <c r="A1013" s="3">
        <v>1059</v>
      </c>
      <c r="B1013" s="3" t="s">
        <v>234</v>
      </c>
      <c r="C1013" s="3" t="s">
        <v>177</v>
      </c>
      <c r="D1013" s="3" t="s">
        <v>431</v>
      </c>
      <c r="E1013" s="3" t="s">
        <v>13</v>
      </c>
      <c r="F1013" s="3">
        <v>0.05</v>
      </c>
      <c r="G1013" s="3">
        <v>380</v>
      </c>
      <c r="H1013" s="3">
        <f t="shared" si="17"/>
        <v>19</v>
      </c>
      <c r="I1013" s="3"/>
      <c r="J1013" s="3">
        <v>9.13</v>
      </c>
    </row>
    <row r="1014" customHeight="1" spans="1:10">
      <c r="A1014" s="3">
        <v>1060</v>
      </c>
      <c r="B1014" s="3" t="s">
        <v>360</v>
      </c>
      <c r="C1014" s="3" t="s">
        <v>177</v>
      </c>
      <c r="D1014" s="3" t="s">
        <v>431</v>
      </c>
      <c r="E1014" s="3" t="s">
        <v>13</v>
      </c>
      <c r="F1014" s="3">
        <v>0.05</v>
      </c>
      <c r="G1014" s="3">
        <v>380</v>
      </c>
      <c r="H1014" s="3">
        <f t="shared" si="17"/>
        <v>19</v>
      </c>
      <c r="I1014" s="3"/>
      <c r="J1014" s="3">
        <v>9.13</v>
      </c>
    </row>
    <row r="1015" customHeight="1" spans="1:10">
      <c r="A1015" s="3">
        <v>1061</v>
      </c>
      <c r="B1015" s="3" t="s">
        <v>360</v>
      </c>
      <c r="C1015" s="3" t="s">
        <v>177</v>
      </c>
      <c r="D1015" s="3" t="s">
        <v>431</v>
      </c>
      <c r="E1015" s="3" t="s">
        <v>13</v>
      </c>
      <c r="F1015" s="3">
        <v>1.45</v>
      </c>
      <c r="G1015" s="3">
        <v>380</v>
      </c>
      <c r="H1015" s="3">
        <f t="shared" si="17"/>
        <v>551</v>
      </c>
      <c r="I1015" s="3"/>
      <c r="J1015" s="3">
        <v>9.13</v>
      </c>
    </row>
    <row r="1016" customHeight="1" spans="1:10">
      <c r="A1016" s="3">
        <v>1062</v>
      </c>
      <c r="B1016" s="3" t="s">
        <v>404</v>
      </c>
      <c r="C1016" s="3" t="s">
        <v>177</v>
      </c>
      <c r="D1016" s="3" t="s">
        <v>319</v>
      </c>
      <c r="E1016" s="3" t="s">
        <v>13</v>
      </c>
      <c r="F1016" s="3">
        <v>0.15</v>
      </c>
      <c r="G1016" s="3">
        <v>380</v>
      </c>
      <c r="H1016" s="3">
        <f t="shared" si="17"/>
        <v>57</v>
      </c>
      <c r="I1016" s="3"/>
      <c r="J1016" s="3">
        <v>9.13</v>
      </c>
    </row>
    <row r="1017" customHeight="1" spans="1:10">
      <c r="A1017" s="3">
        <v>1063</v>
      </c>
      <c r="B1017" s="3" t="s">
        <v>434</v>
      </c>
      <c r="C1017" s="3" t="s">
        <v>177</v>
      </c>
      <c r="D1017" s="3" t="s">
        <v>435</v>
      </c>
      <c r="E1017" s="3" t="s">
        <v>22</v>
      </c>
      <c r="F1017" s="3">
        <v>0.11</v>
      </c>
      <c r="G1017" s="3">
        <v>480</v>
      </c>
      <c r="H1017" s="3">
        <f t="shared" si="17"/>
        <v>52.8</v>
      </c>
      <c r="I1017" s="3"/>
      <c r="J1017" s="3">
        <v>9.13</v>
      </c>
    </row>
    <row r="1018" customHeight="1" spans="1:10">
      <c r="A1018" s="3">
        <v>1064</v>
      </c>
      <c r="B1018" s="3" t="s">
        <v>436</v>
      </c>
      <c r="C1018" s="3" t="s">
        <v>177</v>
      </c>
      <c r="D1018" s="3" t="s">
        <v>435</v>
      </c>
      <c r="E1018" s="3" t="s">
        <v>22</v>
      </c>
      <c r="F1018" s="3">
        <v>0.6</v>
      </c>
      <c r="G1018" s="3">
        <v>480</v>
      </c>
      <c r="H1018" s="3">
        <f t="shared" si="17"/>
        <v>288</v>
      </c>
      <c r="I1018" s="3"/>
      <c r="J1018" s="3">
        <v>9.13</v>
      </c>
    </row>
    <row r="1019" customHeight="1" spans="1:10">
      <c r="A1019" s="3">
        <v>1065</v>
      </c>
      <c r="B1019" s="3" t="s">
        <v>414</v>
      </c>
      <c r="C1019" s="3" t="s">
        <v>177</v>
      </c>
      <c r="D1019" s="3" t="s">
        <v>435</v>
      </c>
      <c r="E1019" s="3" t="s">
        <v>22</v>
      </c>
      <c r="F1019" s="3">
        <v>0.6</v>
      </c>
      <c r="G1019" s="3">
        <v>480</v>
      </c>
      <c r="H1019" s="3">
        <f t="shared" si="17"/>
        <v>288</v>
      </c>
      <c r="I1019" s="3"/>
      <c r="J1019" s="3">
        <v>9.13</v>
      </c>
    </row>
    <row r="1020" customHeight="1" spans="1:10">
      <c r="A1020" s="3">
        <v>1066</v>
      </c>
      <c r="B1020" s="3" t="s">
        <v>192</v>
      </c>
      <c r="C1020" s="3" t="s">
        <v>177</v>
      </c>
      <c r="D1020" s="3" t="s">
        <v>417</v>
      </c>
      <c r="E1020" s="3" t="s">
        <v>22</v>
      </c>
      <c r="F1020" s="3">
        <v>0.2</v>
      </c>
      <c r="G1020" s="3">
        <v>480</v>
      </c>
      <c r="H1020" s="3">
        <f t="shared" si="17"/>
        <v>96</v>
      </c>
      <c r="I1020" s="3"/>
      <c r="J1020" s="3">
        <v>9.13</v>
      </c>
    </row>
    <row r="1021" customHeight="1" spans="1:10">
      <c r="A1021" s="3">
        <v>1067</v>
      </c>
      <c r="B1021" s="3" t="s">
        <v>189</v>
      </c>
      <c r="C1021" s="3" t="s">
        <v>177</v>
      </c>
      <c r="D1021" s="3" t="s">
        <v>417</v>
      </c>
      <c r="E1021" s="3" t="s">
        <v>22</v>
      </c>
      <c r="F1021" s="3">
        <v>0.39</v>
      </c>
      <c r="G1021" s="3">
        <v>480</v>
      </c>
      <c r="H1021" s="3">
        <f t="shared" si="17"/>
        <v>187.2</v>
      </c>
      <c r="I1021" s="3"/>
      <c r="J1021" s="3">
        <v>9.13</v>
      </c>
    </row>
    <row r="1022" customHeight="1" spans="1:10">
      <c r="A1022" s="3">
        <v>1068</v>
      </c>
      <c r="B1022" s="3" t="s">
        <v>223</v>
      </c>
      <c r="C1022" s="3" t="s">
        <v>177</v>
      </c>
      <c r="D1022" s="3" t="s">
        <v>417</v>
      </c>
      <c r="E1022" s="3" t="s">
        <v>22</v>
      </c>
      <c r="F1022" s="3">
        <v>0.3</v>
      </c>
      <c r="G1022" s="3">
        <v>480</v>
      </c>
      <c r="H1022" s="3">
        <f t="shared" si="17"/>
        <v>144</v>
      </c>
      <c r="I1022" s="3"/>
      <c r="J1022" s="3">
        <v>9.13</v>
      </c>
    </row>
    <row r="1023" customHeight="1" spans="1:10">
      <c r="A1023" s="3">
        <v>1069</v>
      </c>
      <c r="B1023" s="3" t="s">
        <v>190</v>
      </c>
      <c r="C1023" s="3" t="s">
        <v>177</v>
      </c>
      <c r="D1023" s="3" t="s">
        <v>417</v>
      </c>
      <c r="E1023" s="3" t="s">
        <v>22</v>
      </c>
      <c r="F1023" s="3">
        <v>0.39</v>
      </c>
      <c r="G1023" s="3">
        <v>480</v>
      </c>
      <c r="H1023" s="3">
        <f t="shared" si="17"/>
        <v>187.2</v>
      </c>
      <c r="I1023" s="3"/>
      <c r="J1023" s="3">
        <v>9.13</v>
      </c>
    </row>
    <row r="1024" customHeight="1" spans="1:10">
      <c r="A1024" s="3">
        <v>1070</v>
      </c>
      <c r="B1024" s="3" t="s">
        <v>437</v>
      </c>
      <c r="C1024" s="3" t="s">
        <v>177</v>
      </c>
      <c r="D1024" s="3" t="s">
        <v>417</v>
      </c>
      <c r="E1024" s="3" t="s">
        <v>22</v>
      </c>
      <c r="F1024" s="3">
        <v>0.51</v>
      </c>
      <c r="G1024" s="3">
        <v>480</v>
      </c>
      <c r="H1024" s="3">
        <f t="shared" si="17"/>
        <v>244.8</v>
      </c>
      <c r="I1024" s="3"/>
      <c r="J1024" s="3">
        <v>9.13</v>
      </c>
    </row>
    <row r="1025" customHeight="1" spans="1:10">
      <c r="A1025" s="3">
        <v>1071</v>
      </c>
      <c r="B1025" s="3" t="s">
        <v>182</v>
      </c>
      <c r="C1025" s="3" t="s">
        <v>177</v>
      </c>
      <c r="D1025" s="3" t="s">
        <v>417</v>
      </c>
      <c r="E1025" s="3" t="s">
        <v>22</v>
      </c>
      <c r="F1025" s="3">
        <v>0.64</v>
      </c>
      <c r="G1025" s="3">
        <v>480</v>
      </c>
      <c r="H1025" s="3">
        <f t="shared" si="17"/>
        <v>307.2</v>
      </c>
      <c r="I1025" s="3"/>
      <c r="J1025" s="3">
        <v>9.13</v>
      </c>
    </row>
    <row r="1026" customHeight="1" spans="1:10">
      <c r="A1026" s="3">
        <v>1072</v>
      </c>
      <c r="B1026" s="3" t="s">
        <v>176</v>
      </c>
      <c r="C1026" s="3" t="s">
        <v>177</v>
      </c>
      <c r="D1026" s="3" t="s">
        <v>417</v>
      </c>
      <c r="E1026" s="3" t="s">
        <v>22</v>
      </c>
      <c r="F1026" s="3">
        <v>0.39</v>
      </c>
      <c r="G1026" s="3">
        <v>480</v>
      </c>
      <c r="H1026" s="3">
        <f t="shared" si="17"/>
        <v>187.2</v>
      </c>
      <c r="I1026" s="3"/>
      <c r="J1026" s="3">
        <v>9.13</v>
      </c>
    </row>
    <row r="1027" customHeight="1" spans="1:10">
      <c r="A1027" s="3">
        <v>1073</v>
      </c>
      <c r="B1027" s="3" t="s">
        <v>206</v>
      </c>
      <c r="C1027" s="3" t="s">
        <v>177</v>
      </c>
      <c r="D1027" s="3" t="s">
        <v>435</v>
      </c>
      <c r="E1027" s="3" t="s">
        <v>22</v>
      </c>
      <c r="F1027" s="3">
        <v>0.26</v>
      </c>
      <c r="G1027" s="3">
        <v>480</v>
      </c>
      <c r="H1027" s="3">
        <f t="shared" si="17"/>
        <v>124.8</v>
      </c>
      <c r="I1027" s="3"/>
      <c r="J1027" s="3">
        <v>9.13</v>
      </c>
    </row>
    <row r="1028" customHeight="1" spans="1:10">
      <c r="A1028" s="3">
        <v>1074</v>
      </c>
      <c r="B1028" s="3" t="s">
        <v>192</v>
      </c>
      <c r="C1028" s="3" t="s">
        <v>177</v>
      </c>
      <c r="D1028" s="3" t="s">
        <v>435</v>
      </c>
      <c r="E1028" s="3" t="s">
        <v>22</v>
      </c>
      <c r="F1028" s="3">
        <v>0.17</v>
      </c>
      <c r="G1028" s="3">
        <v>480</v>
      </c>
      <c r="H1028" s="3">
        <f t="shared" si="17"/>
        <v>81.6</v>
      </c>
      <c r="I1028" s="3"/>
      <c r="J1028" s="3">
        <v>9.13</v>
      </c>
    </row>
    <row r="1029" customHeight="1" spans="1:10">
      <c r="A1029" s="3">
        <v>1075</v>
      </c>
      <c r="B1029" s="3" t="s">
        <v>176</v>
      </c>
      <c r="C1029" s="3" t="s">
        <v>177</v>
      </c>
      <c r="D1029" s="3" t="s">
        <v>417</v>
      </c>
      <c r="E1029" s="3" t="s">
        <v>22</v>
      </c>
      <c r="F1029" s="3">
        <v>0.3</v>
      </c>
      <c r="G1029" s="3">
        <v>480</v>
      </c>
      <c r="H1029" s="3">
        <f t="shared" si="17"/>
        <v>144</v>
      </c>
      <c r="I1029" s="3"/>
      <c r="J1029" s="3">
        <v>9.13</v>
      </c>
    </row>
    <row r="1030" customHeight="1" spans="1:10">
      <c r="A1030" s="3">
        <v>1076</v>
      </c>
      <c r="B1030" s="3" t="s">
        <v>438</v>
      </c>
      <c r="C1030" s="3" t="s">
        <v>177</v>
      </c>
      <c r="D1030" s="3" t="s">
        <v>417</v>
      </c>
      <c r="E1030" s="3" t="s">
        <v>22</v>
      </c>
      <c r="F1030" s="3">
        <v>0.43</v>
      </c>
      <c r="G1030" s="3">
        <v>480</v>
      </c>
      <c r="H1030" s="3">
        <f t="shared" si="17"/>
        <v>206.4</v>
      </c>
      <c r="I1030" s="3"/>
      <c r="J1030" s="3">
        <v>9.13</v>
      </c>
    </row>
    <row r="1031" customHeight="1" spans="1:10">
      <c r="A1031" s="3">
        <v>1077</v>
      </c>
      <c r="B1031" s="3" t="s">
        <v>192</v>
      </c>
      <c r="C1031" s="3" t="s">
        <v>177</v>
      </c>
      <c r="D1031" s="3" t="s">
        <v>417</v>
      </c>
      <c r="E1031" s="3" t="s">
        <v>22</v>
      </c>
      <c r="F1031" s="3">
        <v>0.06</v>
      </c>
      <c r="G1031" s="3">
        <v>480</v>
      </c>
      <c r="H1031" s="3">
        <f t="shared" si="17"/>
        <v>28.8</v>
      </c>
      <c r="I1031" s="3"/>
      <c r="J1031" s="3">
        <v>9.13</v>
      </c>
    </row>
    <row r="1032" customHeight="1" spans="1:10">
      <c r="A1032" s="3">
        <v>1078</v>
      </c>
      <c r="B1032" s="3" t="s">
        <v>414</v>
      </c>
      <c r="C1032" s="3" t="s">
        <v>177</v>
      </c>
      <c r="D1032" s="3" t="s">
        <v>439</v>
      </c>
      <c r="E1032" s="3" t="s">
        <v>22</v>
      </c>
      <c r="F1032" s="3">
        <v>0.2</v>
      </c>
      <c r="G1032" s="3">
        <v>480</v>
      </c>
      <c r="H1032" s="3">
        <f t="shared" ref="H1032:H1095" si="18">G1032*F1032</f>
        <v>96</v>
      </c>
      <c r="I1032" s="3"/>
      <c r="J1032" s="3">
        <v>9.13</v>
      </c>
    </row>
    <row r="1033" customHeight="1" spans="1:10">
      <c r="A1033" s="3">
        <v>1079</v>
      </c>
      <c r="B1033" s="3" t="s">
        <v>223</v>
      </c>
      <c r="C1033" s="3" t="s">
        <v>177</v>
      </c>
      <c r="D1033" s="3" t="s">
        <v>439</v>
      </c>
      <c r="E1033" s="3" t="s">
        <v>22</v>
      </c>
      <c r="F1033" s="3">
        <v>0.79</v>
      </c>
      <c r="G1033" s="3">
        <v>480</v>
      </c>
      <c r="H1033" s="3">
        <f t="shared" si="18"/>
        <v>379.2</v>
      </c>
      <c r="I1033" s="3"/>
      <c r="J1033" s="3">
        <v>9.13</v>
      </c>
    </row>
    <row r="1034" customHeight="1" spans="1:10">
      <c r="A1034" s="3">
        <v>1080</v>
      </c>
      <c r="B1034" s="3" t="s">
        <v>223</v>
      </c>
      <c r="C1034" s="3" t="s">
        <v>177</v>
      </c>
      <c r="D1034" s="3" t="s">
        <v>439</v>
      </c>
      <c r="E1034" s="3" t="s">
        <v>22</v>
      </c>
      <c r="F1034" s="3">
        <v>1.16</v>
      </c>
      <c r="G1034" s="3">
        <v>480</v>
      </c>
      <c r="H1034" s="3">
        <f t="shared" si="18"/>
        <v>556.8</v>
      </c>
      <c r="I1034" s="3"/>
      <c r="J1034" s="3">
        <v>9.13</v>
      </c>
    </row>
    <row r="1035" customHeight="1" spans="1:10">
      <c r="A1035" s="3">
        <v>1081</v>
      </c>
      <c r="B1035" s="3" t="s">
        <v>440</v>
      </c>
      <c r="C1035" s="3" t="s">
        <v>177</v>
      </c>
      <c r="D1035" s="3" t="s">
        <v>439</v>
      </c>
      <c r="E1035" s="3" t="s">
        <v>22</v>
      </c>
      <c r="F1035" s="3">
        <v>1.39</v>
      </c>
      <c r="G1035" s="3">
        <v>480</v>
      </c>
      <c r="H1035" s="3">
        <f t="shared" si="18"/>
        <v>667.2</v>
      </c>
      <c r="I1035" s="3"/>
      <c r="J1035" s="3">
        <v>9.13</v>
      </c>
    </row>
    <row r="1036" customHeight="1" spans="1:10">
      <c r="A1036" s="3">
        <v>1082</v>
      </c>
      <c r="B1036" s="3" t="s">
        <v>437</v>
      </c>
      <c r="C1036" s="3" t="s">
        <v>177</v>
      </c>
      <c r="D1036" s="3" t="s">
        <v>439</v>
      </c>
      <c r="E1036" s="3" t="s">
        <v>22</v>
      </c>
      <c r="F1036" s="3">
        <v>0.17</v>
      </c>
      <c r="G1036" s="3">
        <v>480</v>
      </c>
      <c r="H1036" s="3">
        <f t="shared" si="18"/>
        <v>81.6</v>
      </c>
      <c r="I1036" s="3"/>
      <c r="J1036" s="3">
        <v>9.13</v>
      </c>
    </row>
    <row r="1037" customHeight="1" spans="1:10">
      <c r="A1037" s="3">
        <v>1083</v>
      </c>
      <c r="B1037" s="3" t="s">
        <v>440</v>
      </c>
      <c r="C1037" s="3" t="s">
        <v>177</v>
      </c>
      <c r="D1037" s="3" t="s">
        <v>439</v>
      </c>
      <c r="E1037" s="3" t="s">
        <v>22</v>
      </c>
      <c r="F1037" s="3">
        <v>0.21</v>
      </c>
      <c r="G1037" s="3">
        <v>480</v>
      </c>
      <c r="H1037" s="3">
        <f t="shared" si="18"/>
        <v>100.8</v>
      </c>
      <c r="I1037" s="3"/>
      <c r="J1037" s="3">
        <v>9.13</v>
      </c>
    </row>
    <row r="1038" customHeight="1" spans="1:10">
      <c r="A1038" s="3">
        <v>1084</v>
      </c>
      <c r="B1038" s="3" t="s">
        <v>441</v>
      </c>
      <c r="C1038" s="3" t="s">
        <v>177</v>
      </c>
      <c r="D1038" s="3" t="s">
        <v>439</v>
      </c>
      <c r="E1038" s="3" t="s">
        <v>22</v>
      </c>
      <c r="F1038" s="3">
        <v>0.17</v>
      </c>
      <c r="G1038" s="3">
        <v>480</v>
      </c>
      <c r="H1038" s="3">
        <f t="shared" si="18"/>
        <v>81.6</v>
      </c>
      <c r="I1038" s="3"/>
      <c r="J1038" s="3">
        <v>9.13</v>
      </c>
    </row>
    <row r="1039" customHeight="1" spans="1:10">
      <c r="A1039" s="3">
        <v>1085</v>
      </c>
      <c r="B1039" s="3" t="s">
        <v>414</v>
      </c>
      <c r="C1039" s="3" t="s">
        <v>177</v>
      </c>
      <c r="D1039" s="3" t="s">
        <v>442</v>
      </c>
      <c r="E1039" s="3" t="s">
        <v>22</v>
      </c>
      <c r="F1039" s="3">
        <v>0.1</v>
      </c>
      <c r="G1039" s="3">
        <v>480</v>
      </c>
      <c r="H1039" s="3">
        <f t="shared" si="18"/>
        <v>48</v>
      </c>
      <c r="I1039" s="3"/>
      <c r="J1039" s="3">
        <v>9.13</v>
      </c>
    </row>
    <row r="1040" customHeight="1" spans="1:10">
      <c r="A1040" s="3">
        <v>1086</v>
      </c>
      <c r="B1040" s="3" t="s">
        <v>220</v>
      </c>
      <c r="C1040" s="3" t="s">
        <v>177</v>
      </c>
      <c r="D1040" s="3" t="s">
        <v>401</v>
      </c>
      <c r="E1040" s="3" t="s">
        <v>22</v>
      </c>
      <c r="F1040" s="3">
        <v>0.95</v>
      </c>
      <c r="G1040" s="3">
        <v>480</v>
      </c>
      <c r="H1040" s="3">
        <f t="shared" si="18"/>
        <v>456</v>
      </c>
      <c r="I1040" s="3"/>
      <c r="J1040" s="3">
        <v>9.13</v>
      </c>
    </row>
    <row r="1041" customHeight="1" spans="1:10">
      <c r="A1041" s="3">
        <v>1087</v>
      </c>
      <c r="B1041" s="3" t="s">
        <v>220</v>
      </c>
      <c r="C1041" s="3" t="s">
        <v>177</v>
      </c>
      <c r="D1041" s="3" t="s">
        <v>216</v>
      </c>
      <c r="E1041" s="3" t="s">
        <v>22</v>
      </c>
      <c r="F1041" s="3">
        <v>0.24</v>
      </c>
      <c r="G1041" s="3">
        <v>480</v>
      </c>
      <c r="H1041" s="3">
        <f t="shared" si="18"/>
        <v>115.2</v>
      </c>
      <c r="I1041" s="3"/>
      <c r="J1041" s="3">
        <v>9.13</v>
      </c>
    </row>
    <row r="1042" customHeight="1" spans="1:10">
      <c r="A1042" s="3">
        <v>1088</v>
      </c>
      <c r="B1042" s="3" t="s">
        <v>436</v>
      </c>
      <c r="C1042" s="3" t="s">
        <v>177</v>
      </c>
      <c r="D1042" s="3" t="s">
        <v>216</v>
      </c>
      <c r="E1042" s="3" t="s">
        <v>22</v>
      </c>
      <c r="F1042" s="3">
        <v>0.09</v>
      </c>
      <c r="G1042" s="3">
        <v>480</v>
      </c>
      <c r="H1042" s="3">
        <f t="shared" si="18"/>
        <v>43.2</v>
      </c>
      <c r="I1042" s="3"/>
      <c r="J1042" s="3">
        <v>9.13</v>
      </c>
    </row>
    <row r="1043" customHeight="1" spans="1:10">
      <c r="A1043" s="3">
        <v>1089</v>
      </c>
      <c r="B1043" s="3" t="s">
        <v>189</v>
      </c>
      <c r="C1043" s="3" t="s">
        <v>177</v>
      </c>
      <c r="D1043" s="3" t="s">
        <v>216</v>
      </c>
      <c r="E1043" s="3" t="s">
        <v>22</v>
      </c>
      <c r="F1043" s="3">
        <v>0.22</v>
      </c>
      <c r="G1043" s="3">
        <v>480</v>
      </c>
      <c r="H1043" s="3">
        <f t="shared" si="18"/>
        <v>105.6</v>
      </c>
      <c r="I1043" s="3"/>
      <c r="J1043" s="3">
        <v>9.13</v>
      </c>
    </row>
    <row r="1044" customHeight="1" spans="1:10">
      <c r="A1044" s="3">
        <v>1090</v>
      </c>
      <c r="B1044" s="3" t="s">
        <v>176</v>
      </c>
      <c r="C1044" s="3" t="s">
        <v>177</v>
      </c>
      <c r="D1044" s="3" t="s">
        <v>443</v>
      </c>
      <c r="E1044" s="3" t="s">
        <v>22</v>
      </c>
      <c r="F1044" s="3">
        <v>0.46</v>
      </c>
      <c r="G1044" s="3">
        <v>480</v>
      </c>
      <c r="H1044" s="3">
        <f t="shared" si="18"/>
        <v>220.8</v>
      </c>
      <c r="I1044" s="3"/>
      <c r="J1044" s="3">
        <v>9.13</v>
      </c>
    </row>
    <row r="1045" customHeight="1" spans="1:10">
      <c r="A1045" s="3">
        <v>1091</v>
      </c>
      <c r="B1045" s="3" t="s">
        <v>444</v>
      </c>
      <c r="C1045" s="3" t="s">
        <v>177</v>
      </c>
      <c r="D1045" s="3" t="s">
        <v>443</v>
      </c>
      <c r="E1045" s="3" t="s">
        <v>22</v>
      </c>
      <c r="F1045" s="3">
        <v>0.1</v>
      </c>
      <c r="G1045" s="3">
        <v>480</v>
      </c>
      <c r="H1045" s="3">
        <f t="shared" si="18"/>
        <v>48</v>
      </c>
      <c r="I1045" s="3"/>
      <c r="J1045" s="3">
        <v>9.13</v>
      </c>
    </row>
    <row r="1046" customHeight="1" spans="1:10">
      <c r="A1046" s="3">
        <v>1092</v>
      </c>
      <c r="B1046" s="3" t="s">
        <v>374</v>
      </c>
      <c r="C1046" s="3" t="s">
        <v>177</v>
      </c>
      <c r="D1046" s="3" t="s">
        <v>443</v>
      </c>
      <c r="E1046" s="3" t="s">
        <v>22</v>
      </c>
      <c r="F1046" s="3">
        <v>0.41</v>
      </c>
      <c r="G1046" s="3">
        <v>480</v>
      </c>
      <c r="H1046" s="3">
        <f t="shared" si="18"/>
        <v>196.8</v>
      </c>
      <c r="I1046" s="3"/>
      <c r="J1046" s="3">
        <v>9.13</v>
      </c>
    </row>
    <row r="1047" customHeight="1" spans="1:10">
      <c r="A1047" s="3">
        <v>1093</v>
      </c>
      <c r="B1047" s="3" t="s">
        <v>384</v>
      </c>
      <c r="C1047" s="3" t="s">
        <v>177</v>
      </c>
      <c r="D1047" s="3" t="s">
        <v>154</v>
      </c>
      <c r="E1047" s="3" t="s">
        <v>13</v>
      </c>
      <c r="F1047" s="3">
        <v>0.72</v>
      </c>
      <c r="G1047" s="3">
        <v>380</v>
      </c>
      <c r="H1047" s="3">
        <f t="shared" si="18"/>
        <v>273.6</v>
      </c>
      <c r="I1047" s="3"/>
      <c r="J1047" s="3">
        <v>9.13</v>
      </c>
    </row>
    <row r="1048" customHeight="1" spans="1:10">
      <c r="A1048" s="3">
        <v>1094</v>
      </c>
      <c r="B1048" s="3" t="s">
        <v>107</v>
      </c>
      <c r="C1048" s="3" t="s">
        <v>177</v>
      </c>
      <c r="D1048" s="3" t="s">
        <v>154</v>
      </c>
      <c r="E1048" s="3" t="s">
        <v>13</v>
      </c>
      <c r="F1048" s="3">
        <v>0.84</v>
      </c>
      <c r="G1048" s="3">
        <v>380</v>
      </c>
      <c r="H1048" s="3">
        <f t="shared" si="18"/>
        <v>319.2</v>
      </c>
      <c r="I1048" s="3"/>
      <c r="J1048" s="3">
        <v>9.13</v>
      </c>
    </row>
    <row r="1049" customHeight="1" spans="1:10">
      <c r="A1049" s="3">
        <v>1095</v>
      </c>
      <c r="B1049" s="3" t="s">
        <v>235</v>
      </c>
      <c r="C1049" s="3" t="s">
        <v>177</v>
      </c>
      <c r="D1049" s="3" t="s">
        <v>236</v>
      </c>
      <c r="E1049" s="3" t="s">
        <v>13</v>
      </c>
      <c r="F1049" s="3">
        <v>0.69</v>
      </c>
      <c r="G1049" s="3">
        <v>380</v>
      </c>
      <c r="H1049" s="3">
        <f t="shared" si="18"/>
        <v>262.2</v>
      </c>
      <c r="I1049" s="3"/>
      <c r="J1049" s="3">
        <v>9.13</v>
      </c>
    </row>
    <row r="1050" customHeight="1" spans="1:10">
      <c r="A1050" s="3">
        <v>1096</v>
      </c>
      <c r="B1050" s="3" t="s">
        <v>380</v>
      </c>
      <c r="C1050" s="3" t="s">
        <v>177</v>
      </c>
      <c r="D1050" s="3" t="s">
        <v>318</v>
      </c>
      <c r="E1050" s="3" t="s">
        <v>13</v>
      </c>
      <c r="F1050" s="3">
        <v>0.43</v>
      </c>
      <c r="G1050" s="3">
        <v>380</v>
      </c>
      <c r="H1050" s="3">
        <f t="shared" si="18"/>
        <v>163.4</v>
      </c>
      <c r="I1050" s="3"/>
      <c r="J1050" s="3">
        <v>9.13</v>
      </c>
    </row>
    <row r="1051" customHeight="1" spans="1:10">
      <c r="A1051" s="3">
        <v>1097</v>
      </c>
      <c r="B1051" s="3" t="s">
        <v>358</v>
      </c>
      <c r="C1051" s="3" t="s">
        <v>177</v>
      </c>
      <c r="D1051" s="3" t="s">
        <v>236</v>
      </c>
      <c r="E1051" s="3" t="s">
        <v>13</v>
      </c>
      <c r="F1051" s="3">
        <v>0.15</v>
      </c>
      <c r="G1051" s="3">
        <v>380</v>
      </c>
      <c r="H1051" s="3">
        <f t="shared" si="18"/>
        <v>57</v>
      </c>
      <c r="I1051" s="3"/>
      <c r="J1051" s="3">
        <v>9.13</v>
      </c>
    </row>
    <row r="1052" customHeight="1" spans="1:10">
      <c r="A1052" s="3">
        <v>1098</v>
      </c>
      <c r="B1052" s="3" t="s">
        <v>107</v>
      </c>
      <c r="C1052" s="3" t="s">
        <v>177</v>
      </c>
      <c r="D1052" s="3" t="s">
        <v>425</v>
      </c>
      <c r="E1052" s="3" t="s">
        <v>13</v>
      </c>
      <c r="F1052" s="3">
        <v>0.9</v>
      </c>
      <c r="G1052" s="3">
        <v>380</v>
      </c>
      <c r="H1052" s="3">
        <f t="shared" si="18"/>
        <v>342</v>
      </c>
      <c r="I1052" s="3"/>
      <c r="J1052" s="3">
        <v>9.13</v>
      </c>
    </row>
    <row r="1053" customHeight="1" spans="1:10">
      <c r="A1053" s="3">
        <v>1099</v>
      </c>
      <c r="B1053" s="3" t="s">
        <v>387</v>
      </c>
      <c r="C1053" s="3" t="s">
        <v>177</v>
      </c>
      <c r="D1053" s="3" t="s">
        <v>236</v>
      </c>
      <c r="E1053" s="3" t="s">
        <v>13</v>
      </c>
      <c r="F1053" s="3">
        <v>0.35</v>
      </c>
      <c r="G1053" s="3">
        <v>380</v>
      </c>
      <c r="H1053" s="3">
        <f t="shared" si="18"/>
        <v>133</v>
      </c>
      <c r="I1053" s="3"/>
      <c r="J1053" s="3">
        <v>9.13</v>
      </c>
    </row>
    <row r="1054" customHeight="1" spans="1:10">
      <c r="A1054" s="3">
        <v>1100</v>
      </c>
      <c r="B1054" s="3" t="s">
        <v>366</v>
      </c>
      <c r="C1054" s="3" t="s">
        <v>177</v>
      </c>
      <c r="D1054" s="3" t="s">
        <v>236</v>
      </c>
      <c r="E1054" s="3" t="s">
        <v>13</v>
      </c>
      <c r="F1054" s="3">
        <v>0.14</v>
      </c>
      <c r="G1054" s="3">
        <v>380</v>
      </c>
      <c r="H1054" s="3">
        <f t="shared" si="18"/>
        <v>53.2</v>
      </c>
      <c r="I1054" s="3"/>
      <c r="J1054" s="3">
        <v>9.13</v>
      </c>
    </row>
    <row r="1055" customHeight="1" spans="1:10">
      <c r="A1055" s="3">
        <v>1101</v>
      </c>
      <c r="B1055" s="3" t="s">
        <v>234</v>
      </c>
      <c r="C1055" s="3" t="s">
        <v>177</v>
      </c>
      <c r="D1055" s="3" t="s">
        <v>158</v>
      </c>
      <c r="E1055" s="3" t="s">
        <v>13</v>
      </c>
      <c r="F1055" s="3">
        <v>1.94</v>
      </c>
      <c r="G1055" s="3">
        <v>380</v>
      </c>
      <c r="H1055" s="3">
        <f t="shared" si="18"/>
        <v>737.2</v>
      </c>
      <c r="I1055" s="3"/>
      <c r="J1055" s="3">
        <v>9.13</v>
      </c>
    </row>
    <row r="1056" customHeight="1" spans="1:10">
      <c r="A1056" s="3">
        <v>1102</v>
      </c>
      <c r="B1056" s="3" t="s">
        <v>360</v>
      </c>
      <c r="C1056" s="3" t="s">
        <v>177</v>
      </c>
      <c r="D1056" s="3" t="s">
        <v>158</v>
      </c>
      <c r="E1056" s="3" t="s">
        <v>13</v>
      </c>
      <c r="F1056" s="3">
        <v>0.21</v>
      </c>
      <c r="G1056" s="3">
        <v>380</v>
      </c>
      <c r="H1056" s="3">
        <f t="shared" si="18"/>
        <v>79.8</v>
      </c>
      <c r="I1056" s="3"/>
      <c r="J1056" s="3">
        <v>9.13</v>
      </c>
    </row>
    <row r="1057" customHeight="1" spans="1:10">
      <c r="A1057" s="3">
        <v>1103</v>
      </c>
      <c r="B1057" s="3" t="s">
        <v>380</v>
      </c>
      <c r="C1057" s="3" t="s">
        <v>177</v>
      </c>
      <c r="D1057" s="3" t="s">
        <v>421</v>
      </c>
      <c r="E1057" s="3" t="s">
        <v>13</v>
      </c>
      <c r="F1057" s="3">
        <v>0.2</v>
      </c>
      <c r="G1057" s="3">
        <v>380</v>
      </c>
      <c r="H1057" s="3">
        <f t="shared" si="18"/>
        <v>76</v>
      </c>
      <c r="I1057" s="3"/>
      <c r="J1057" s="3">
        <v>9.13</v>
      </c>
    </row>
    <row r="1058" customHeight="1" spans="1:10">
      <c r="A1058" s="3">
        <v>1104</v>
      </c>
      <c r="B1058" s="3" t="s">
        <v>366</v>
      </c>
      <c r="C1058" s="3" t="s">
        <v>177</v>
      </c>
      <c r="D1058" s="3" t="s">
        <v>421</v>
      </c>
      <c r="E1058" s="3" t="s">
        <v>13</v>
      </c>
      <c r="F1058" s="3">
        <v>0.1</v>
      </c>
      <c r="G1058" s="3">
        <v>380</v>
      </c>
      <c r="H1058" s="3">
        <f t="shared" si="18"/>
        <v>38</v>
      </c>
      <c r="I1058" s="3"/>
      <c r="J1058" s="3">
        <v>9.13</v>
      </c>
    </row>
    <row r="1059" customHeight="1" spans="1:10">
      <c r="A1059" s="3">
        <v>1105</v>
      </c>
      <c r="B1059" s="3" t="s">
        <v>234</v>
      </c>
      <c r="C1059" s="3" t="s">
        <v>177</v>
      </c>
      <c r="D1059" s="3" t="s">
        <v>421</v>
      </c>
      <c r="E1059" s="3" t="s">
        <v>13</v>
      </c>
      <c r="F1059" s="3">
        <v>0.3</v>
      </c>
      <c r="G1059" s="3">
        <v>380</v>
      </c>
      <c r="H1059" s="3">
        <f t="shared" si="18"/>
        <v>114</v>
      </c>
      <c r="I1059" s="3"/>
      <c r="J1059" s="3">
        <v>9.13</v>
      </c>
    </row>
    <row r="1060" customHeight="1" spans="1:10">
      <c r="A1060" s="3">
        <v>1106</v>
      </c>
      <c r="B1060" s="3" t="s">
        <v>235</v>
      </c>
      <c r="C1060" s="3" t="s">
        <v>177</v>
      </c>
      <c r="D1060" s="3" t="s">
        <v>421</v>
      </c>
      <c r="E1060" s="3" t="s">
        <v>13</v>
      </c>
      <c r="F1060" s="3">
        <v>0.13</v>
      </c>
      <c r="G1060" s="3">
        <v>380</v>
      </c>
      <c r="H1060" s="3">
        <f t="shared" si="18"/>
        <v>49.4</v>
      </c>
      <c r="I1060" s="3"/>
      <c r="J1060" s="3">
        <v>9.13</v>
      </c>
    </row>
    <row r="1061" customHeight="1" spans="1:10">
      <c r="A1061" s="3">
        <v>1107</v>
      </c>
      <c r="B1061" s="3" t="s">
        <v>391</v>
      </c>
      <c r="C1061" s="3" t="s">
        <v>177</v>
      </c>
      <c r="D1061" s="3" t="s">
        <v>421</v>
      </c>
      <c r="E1061" s="3" t="s">
        <v>13</v>
      </c>
      <c r="F1061" s="3">
        <v>0.12</v>
      </c>
      <c r="G1061" s="3">
        <v>380</v>
      </c>
      <c r="H1061" s="3">
        <f t="shared" si="18"/>
        <v>45.6</v>
      </c>
      <c r="I1061" s="3"/>
      <c r="J1061" s="3">
        <v>9.13</v>
      </c>
    </row>
    <row r="1062" customHeight="1" spans="1:10">
      <c r="A1062" s="3">
        <v>1108</v>
      </c>
      <c r="B1062" s="3" t="s">
        <v>223</v>
      </c>
      <c r="C1062" s="3" t="s">
        <v>177</v>
      </c>
      <c r="D1062" s="3"/>
      <c r="E1062" s="3" t="s">
        <v>22</v>
      </c>
      <c r="F1062" s="3">
        <v>0.28</v>
      </c>
      <c r="G1062" s="3">
        <v>480</v>
      </c>
      <c r="H1062" s="3">
        <f t="shared" si="18"/>
        <v>134.4</v>
      </c>
      <c r="I1062" s="3"/>
      <c r="J1062" s="3">
        <v>9.13</v>
      </c>
    </row>
    <row r="1063" customHeight="1" spans="1:10">
      <c r="A1063" s="3">
        <v>1109</v>
      </c>
      <c r="B1063" s="3" t="s">
        <v>445</v>
      </c>
      <c r="C1063" s="3" t="s">
        <v>177</v>
      </c>
      <c r="D1063" s="3"/>
      <c r="E1063" s="3" t="s">
        <v>22</v>
      </c>
      <c r="F1063" s="3">
        <v>1.5</v>
      </c>
      <c r="G1063" s="3">
        <v>480</v>
      </c>
      <c r="H1063" s="3">
        <f t="shared" si="18"/>
        <v>720</v>
      </c>
      <c r="I1063" s="3"/>
      <c r="J1063" s="3">
        <v>9.13</v>
      </c>
    </row>
    <row r="1064" customHeight="1" spans="1:10">
      <c r="A1064" s="3">
        <v>1110</v>
      </c>
      <c r="B1064" s="3" t="s">
        <v>192</v>
      </c>
      <c r="C1064" s="3" t="s">
        <v>177</v>
      </c>
      <c r="D1064" s="3"/>
      <c r="E1064" s="3" t="s">
        <v>22</v>
      </c>
      <c r="F1064" s="3">
        <v>0.24</v>
      </c>
      <c r="G1064" s="3">
        <v>480</v>
      </c>
      <c r="H1064" s="3">
        <f t="shared" si="18"/>
        <v>115.2</v>
      </c>
      <c r="I1064" s="3"/>
      <c r="J1064" s="3">
        <v>9.13</v>
      </c>
    </row>
    <row r="1065" customHeight="1" spans="1:10">
      <c r="A1065" s="3">
        <v>1111</v>
      </c>
      <c r="B1065" s="3" t="s">
        <v>437</v>
      </c>
      <c r="C1065" s="3" t="s">
        <v>177</v>
      </c>
      <c r="D1065" s="3"/>
      <c r="E1065" s="3" t="s">
        <v>22</v>
      </c>
      <c r="F1065" s="3">
        <v>0.38</v>
      </c>
      <c r="G1065" s="3">
        <v>480</v>
      </c>
      <c r="H1065" s="3">
        <f t="shared" si="18"/>
        <v>182.4</v>
      </c>
      <c r="I1065" s="3"/>
      <c r="J1065" s="3">
        <v>9.13</v>
      </c>
    </row>
    <row r="1066" customHeight="1" spans="1:10">
      <c r="A1066" s="3">
        <v>1112</v>
      </c>
      <c r="B1066" s="3" t="s">
        <v>186</v>
      </c>
      <c r="C1066" s="3" t="s">
        <v>177</v>
      </c>
      <c r="D1066" s="3"/>
      <c r="E1066" s="3" t="s">
        <v>22</v>
      </c>
      <c r="F1066" s="3">
        <v>0.4</v>
      </c>
      <c r="G1066" s="3">
        <v>480</v>
      </c>
      <c r="H1066" s="3">
        <f t="shared" si="18"/>
        <v>192</v>
      </c>
      <c r="I1066" s="3"/>
      <c r="J1066" s="3">
        <v>9.13</v>
      </c>
    </row>
    <row r="1067" customHeight="1" spans="1:10">
      <c r="A1067" s="3">
        <v>1113</v>
      </c>
      <c r="B1067" s="3" t="s">
        <v>190</v>
      </c>
      <c r="C1067" s="3" t="s">
        <v>177</v>
      </c>
      <c r="D1067" s="3"/>
      <c r="E1067" s="3" t="s">
        <v>22</v>
      </c>
      <c r="F1067" s="3">
        <v>0.63</v>
      </c>
      <c r="G1067" s="3">
        <v>480</v>
      </c>
      <c r="H1067" s="3">
        <f t="shared" si="18"/>
        <v>302.4</v>
      </c>
      <c r="I1067" s="3"/>
      <c r="J1067" s="3">
        <v>9.13</v>
      </c>
    </row>
    <row r="1068" customHeight="1" spans="1:10">
      <c r="A1068" s="3">
        <v>1114</v>
      </c>
      <c r="B1068" s="3" t="s">
        <v>234</v>
      </c>
      <c r="C1068" s="3" t="s">
        <v>177</v>
      </c>
      <c r="D1068" s="3"/>
      <c r="E1068" s="3" t="s">
        <v>22</v>
      </c>
      <c r="F1068" s="3">
        <v>0.54</v>
      </c>
      <c r="G1068" s="3">
        <v>480</v>
      </c>
      <c r="H1068" s="3">
        <f t="shared" si="18"/>
        <v>259.2</v>
      </c>
      <c r="I1068" s="3"/>
      <c r="J1068" s="3">
        <v>9.13</v>
      </c>
    </row>
    <row r="1069" customHeight="1" spans="1:10">
      <c r="A1069" s="3">
        <v>1115</v>
      </c>
      <c r="B1069" s="3" t="s">
        <v>446</v>
      </c>
      <c r="C1069" s="3" t="s">
        <v>177</v>
      </c>
      <c r="D1069" s="3"/>
      <c r="E1069" s="3" t="s">
        <v>22</v>
      </c>
      <c r="F1069" s="3">
        <v>0.22</v>
      </c>
      <c r="G1069" s="3">
        <v>480</v>
      </c>
      <c r="H1069" s="3">
        <f t="shared" si="18"/>
        <v>105.6</v>
      </c>
      <c r="I1069" s="3"/>
      <c r="J1069" s="3">
        <v>9.13</v>
      </c>
    </row>
    <row r="1070" customHeight="1" spans="1:10">
      <c r="A1070" s="3">
        <v>1116</v>
      </c>
      <c r="B1070" s="3" t="s">
        <v>234</v>
      </c>
      <c r="C1070" s="3" t="s">
        <v>177</v>
      </c>
      <c r="D1070" s="3"/>
      <c r="E1070" s="3" t="s">
        <v>22</v>
      </c>
      <c r="F1070" s="3">
        <v>0.38</v>
      </c>
      <c r="G1070" s="3">
        <v>480</v>
      </c>
      <c r="H1070" s="3">
        <f t="shared" si="18"/>
        <v>182.4</v>
      </c>
      <c r="I1070" s="3"/>
      <c r="J1070" s="3">
        <v>9.13</v>
      </c>
    </row>
    <row r="1071" customHeight="1" spans="1:10">
      <c r="A1071" s="3">
        <v>1117</v>
      </c>
      <c r="B1071" s="3" t="s">
        <v>375</v>
      </c>
      <c r="C1071" s="3" t="s">
        <v>177</v>
      </c>
      <c r="D1071" s="3"/>
      <c r="E1071" s="3" t="s">
        <v>22</v>
      </c>
      <c r="F1071" s="3">
        <v>0.6</v>
      </c>
      <c r="G1071" s="3">
        <v>480</v>
      </c>
      <c r="H1071" s="3">
        <f t="shared" si="18"/>
        <v>288</v>
      </c>
      <c r="I1071" s="3"/>
      <c r="J1071" s="3">
        <v>9.13</v>
      </c>
    </row>
    <row r="1072" customHeight="1" spans="1:10">
      <c r="A1072" s="3">
        <v>1118</v>
      </c>
      <c r="B1072" s="3" t="s">
        <v>447</v>
      </c>
      <c r="C1072" s="3" t="s">
        <v>177</v>
      </c>
      <c r="D1072" s="3"/>
      <c r="E1072" s="3" t="s">
        <v>22</v>
      </c>
      <c r="F1072" s="3">
        <v>0.03</v>
      </c>
      <c r="G1072" s="3">
        <v>480</v>
      </c>
      <c r="H1072" s="3">
        <f t="shared" si="18"/>
        <v>14.4</v>
      </c>
      <c r="I1072" s="3"/>
      <c r="J1072" s="3">
        <v>9.13</v>
      </c>
    </row>
    <row r="1073" customHeight="1" spans="1:10">
      <c r="A1073" s="3">
        <v>1119</v>
      </c>
      <c r="B1073" s="3" t="s">
        <v>186</v>
      </c>
      <c r="C1073" s="3" t="s">
        <v>177</v>
      </c>
      <c r="D1073" s="3"/>
      <c r="E1073" s="3" t="s">
        <v>22</v>
      </c>
      <c r="F1073" s="3">
        <v>0.51</v>
      </c>
      <c r="G1073" s="3">
        <v>480</v>
      </c>
      <c r="H1073" s="3">
        <f t="shared" si="18"/>
        <v>244.8</v>
      </c>
      <c r="I1073" s="3"/>
      <c r="J1073" s="3">
        <v>9.13</v>
      </c>
    </row>
    <row r="1074" customHeight="1" spans="1:10">
      <c r="A1074" s="3">
        <v>1120</v>
      </c>
      <c r="B1074" s="3" t="s">
        <v>448</v>
      </c>
      <c r="C1074" s="3" t="s">
        <v>177</v>
      </c>
      <c r="D1074" s="3"/>
      <c r="E1074" s="3" t="s">
        <v>22</v>
      </c>
      <c r="F1074" s="3">
        <v>1.81</v>
      </c>
      <c r="G1074" s="3">
        <v>480</v>
      </c>
      <c r="H1074" s="3">
        <f t="shared" si="18"/>
        <v>868.8</v>
      </c>
      <c r="I1074" s="3" t="s">
        <v>449</v>
      </c>
      <c r="J1074" s="3">
        <v>9.13</v>
      </c>
    </row>
    <row r="1075" customHeight="1" spans="1:10">
      <c r="A1075" s="3">
        <v>1121</v>
      </c>
      <c r="B1075" s="3" t="s">
        <v>200</v>
      </c>
      <c r="C1075" s="3" t="s">
        <v>177</v>
      </c>
      <c r="D1075" s="3"/>
      <c r="E1075" s="3" t="s">
        <v>22</v>
      </c>
      <c r="F1075" s="3">
        <v>1.98</v>
      </c>
      <c r="G1075" s="3">
        <v>480</v>
      </c>
      <c r="H1075" s="3">
        <f t="shared" si="18"/>
        <v>950.4</v>
      </c>
      <c r="I1075" s="3"/>
      <c r="J1075" s="3">
        <v>9.13</v>
      </c>
    </row>
    <row r="1076" customHeight="1" spans="1:10">
      <c r="A1076" s="3">
        <v>1122</v>
      </c>
      <c r="B1076" s="3" t="s">
        <v>192</v>
      </c>
      <c r="C1076" s="3" t="s">
        <v>177</v>
      </c>
      <c r="D1076" s="3"/>
      <c r="E1076" s="3" t="s">
        <v>22</v>
      </c>
      <c r="F1076" s="3">
        <v>0.1</v>
      </c>
      <c r="G1076" s="3">
        <v>480</v>
      </c>
      <c r="H1076" s="3">
        <f t="shared" si="18"/>
        <v>48</v>
      </c>
      <c r="I1076" s="3"/>
      <c r="J1076" s="3">
        <v>9.13</v>
      </c>
    </row>
    <row r="1077" customHeight="1" spans="1:10">
      <c r="A1077" s="3">
        <v>1123</v>
      </c>
      <c r="B1077" s="3" t="s">
        <v>199</v>
      </c>
      <c r="C1077" s="3" t="s">
        <v>177</v>
      </c>
      <c r="D1077" s="3"/>
      <c r="E1077" s="3" t="s">
        <v>22</v>
      </c>
      <c r="F1077" s="3">
        <v>0.7</v>
      </c>
      <c r="G1077" s="3">
        <v>480</v>
      </c>
      <c r="H1077" s="3">
        <f t="shared" si="18"/>
        <v>336</v>
      </c>
      <c r="I1077" s="3"/>
      <c r="J1077" s="3">
        <v>9.13</v>
      </c>
    </row>
    <row r="1078" customHeight="1" spans="1:10">
      <c r="A1078" s="3">
        <v>1124</v>
      </c>
      <c r="B1078" s="3" t="s">
        <v>368</v>
      </c>
      <c r="C1078" s="3" t="s">
        <v>177</v>
      </c>
      <c r="D1078" s="3"/>
      <c r="E1078" s="3" t="s">
        <v>22</v>
      </c>
      <c r="F1078" s="3">
        <v>0.32</v>
      </c>
      <c r="G1078" s="3">
        <v>480</v>
      </c>
      <c r="H1078" s="3">
        <f t="shared" si="18"/>
        <v>153.6</v>
      </c>
      <c r="I1078" s="3"/>
      <c r="J1078" s="3">
        <v>9.13</v>
      </c>
    </row>
    <row r="1079" customHeight="1" spans="1:10">
      <c r="A1079" s="3">
        <v>1125</v>
      </c>
      <c r="B1079" s="3" t="s">
        <v>390</v>
      </c>
      <c r="C1079" s="3" t="s">
        <v>177</v>
      </c>
      <c r="D1079" s="3"/>
      <c r="E1079" s="3" t="s">
        <v>22</v>
      </c>
      <c r="F1079" s="3">
        <v>0.03</v>
      </c>
      <c r="G1079" s="3">
        <v>480</v>
      </c>
      <c r="H1079" s="3">
        <f t="shared" si="18"/>
        <v>14.4</v>
      </c>
      <c r="I1079" s="3"/>
      <c r="J1079" s="3">
        <v>9.13</v>
      </c>
    </row>
    <row r="1080" customHeight="1" spans="1:10">
      <c r="A1080" s="3">
        <v>1126</v>
      </c>
      <c r="B1080" s="3" t="s">
        <v>391</v>
      </c>
      <c r="C1080" s="3" t="s">
        <v>177</v>
      </c>
      <c r="D1080" s="3"/>
      <c r="E1080" s="3" t="s">
        <v>22</v>
      </c>
      <c r="F1080" s="3">
        <v>0.33</v>
      </c>
      <c r="G1080" s="3">
        <v>480</v>
      </c>
      <c r="H1080" s="3">
        <f t="shared" si="18"/>
        <v>158.4</v>
      </c>
      <c r="I1080" s="3"/>
      <c r="J1080" s="3">
        <v>9.13</v>
      </c>
    </row>
    <row r="1081" customHeight="1" spans="1:10">
      <c r="A1081" s="3">
        <v>1127</v>
      </c>
      <c r="B1081" s="3" t="s">
        <v>391</v>
      </c>
      <c r="C1081" s="3" t="s">
        <v>177</v>
      </c>
      <c r="D1081" s="3"/>
      <c r="E1081" s="3" t="s">
        <v>22</v>
      </c>
      <c r="F1081" s="3">
        <v>0.38</v>
      </c>
      <c r="G1081" s="3">
        <v>480</v>
      </c>
      <c r="H1081" s="3">
        <f t="shared" si="18"/>
        <v>182.4</v>
      </c>
      <c r="I1081" s="3"/>
      <c r="J1081" s="3">
        <v>9.13</v>
      </c>
    </row>
    <row r="1082" customHeight="1" spans="1:10">
      <c r="A1082" s="3">
        <v>1128</v>
      </c>
      <c r="B1082" s="3" t="s">
        <v>370</v>
      </c>
      <c r="C1082" s="3" t="s">
        <v>177</v>
      </c>
      <c r="D1082" s="3"/>
      <c r="E1082" s="3" t="s">
        <v>22</v>
      </c>
      <c r="F1082" s="3">
        <v>0.18</v>
      </c>
      <c r="G1082" s="3">
        <v>480</v>
      </c>
      <c r="H1082" s="3">
        <f t="shared" si="18"/>
        <v>86.4</v>
      </c>
      <c r="I1082" s="3"/>
      <c r="J1082" s="3">
        <v>9.13</v>
      </c>
    </row>
    <row r="1083" customHeight="1" spans="1:10">
      <c r="A1083" s="3">
        <v>1129</v>
      </c>
      <c r="B1083" s="3" t="s">
        <v>361</v>
      </c>
      <c r="C1083" s="3" t="s">
        <v>177</v>
      </c>
      <c r="D1083" s="3"/>
      <c r="E1083" s="3" t="s">
        <v>22</v>
      </c>
      <c r="F1083" s="3">
        <v>0.21</v>
      </c>
      <c r="G1083" s="3">
        <v>480</v>
      </c>
      <c r="H1083" s="3">
        <f t="shared" si="18"/>
        <v>100.8</v>
      </c>
      <c r="I1083" s="3"/>
      <c r="J1083" s="3">
        <v>9.13</v>
      </c>
    </row>
    <row r="1084" customHeight="1" spans="1:10">
      <c r="A1084" s="3">
        <v>1130</v>
      </c>
      <c r="B1084" s="3" t="s">
        <v>436</v>
      </c>
      <c r="C1084" s="3" t="s">
        <v>177</v>
      </c>
      <c r="D1084" s="3"/>
      <c r="E1084" s="3" t="s">
        <v>22</v>
      </c>
      <c r="F1084" s="3">
        <v>0.53</v>
      </c>
      <c r="G1084" s="3">
        <v>480</v>
      </c>
      <c r="H1084" s="3">
        <f t="shared" si="18"/>
        <v>254.4</v>
      </c>
      <c r="I1084" s="3"/>
      <c r="J1084" s="3">
        <v>9.13</v>
      </c>
    </row>
    <row r="1085" customHeight="1" spans="1:10">
      <c r="A1085" s="3">
        <v>1131</v>
      </c>
      <c r="B1085" s="3" t="s">
        <v>199</v>
      </c>
      <c r="C1085" s="3" t="s">
        <v>177</v>
      </c>
      <c r="D1085" s="3" t="s">
        <v>450</v>
      </c>
      <c r="E1085" s="3" t="s">
        <v>13</v>
      </c>
      <c r="F1085" s="3">
        <v>0.62</v>
      </c>
      <c r="G1085" s="3">
        <v>380</v>
      </c>
      <c r="H1085" s="3">
        <f t="shared" si="18"/>
        <v>235.6</v>
      </c>
      <c r="I1085" s="3"/>
      <c r="J1085" s="3">
        <v>9.14</v>
      </c>
    </row>
    <row r="1086" customHeight="1" spans="1:10">
      <c r="A1086" s="3">
        <v>1132</v>
      </c>
      <c r="B1086" s="3" t="s">
        <v>222</v>
      </c>
      <c r="C1086" s="3" t="s">
        <v>177</v>
      </c>
      <c r="D1086" s="3" t="s">
        <v>450</v>
      </c>
      <c r="E1086" s="3" t="s">
        <v>13</v>
      </c>
      <c r="F1086" s="3">
        <v>0.12</v>
      </c>
      <c r="G1086" s="3">
        <v>380</v>
      </c>
      <c r="H1086" s="3">
        <f t="shared" si="18"/>
        <v>45.6</v>
      </c>
      <c r="I1086" s="3"/>
      <c r="J1086" s="3">
        <v>9.14</v>
      </c>
    </row>
    <row r="1087" customHeight="1" spans="1:10">
      <c r="A1087" s="3">
        <v>1133</v>
      </c>
      <c r="B1087" s="3" t="s">
        <v>416</v>
      </c>
      <c r="C1087" s="3" t="s">
        <v>177</v>
      </c>
      <c r="D1087" s="3" t="s">
        <v>450</v>
      </c>
      <c r="E1087" s="3" t="s">
        <v>13</v>
      </c>
      <c r="F1087" s="3">
        <v>0.4</v>
      </c>
      <c r="G1087" s="3">
        <v>380</v>
      </c>
      <c r="H1087" s="3">
        <f t="shared" si="18"/>
        <v>152</v>
      </c>
      <c r="I1087" s="3"/>
      <c r="J1087" s="3">
        <v>9.14</v>
      </c>
    </row>
    <row r="1088" customHeight="1" spans="1:10">
      <c r="A1088" s="3">
        <v>1134</v>
      </c>
      <c r="B1088" s="3" t="s">
        <v>189</v>
      </c>
      <c r="C1088" s="3" t="s">
        <v>177</v>
      </c>
      <c r="D1088" s="3" t="s">
        <v>450</v>
      </c>
      <c r="E1088" s="3" t="s">
        <v>13</v>
      </c>
      <c r="F1088" s="3">
        <v>0.35</v>
      </c>
      <c r="G1088" s="3">
        <v>380</v>
      </c>
      <c r="H1088" s="3">
        <f t="shared" si="18"/>
        <v>133</v>
      </c>
      <c r="I1088" s="3"/>
      <c r="J1088" s="3">
        <v>9.14</v>
      </c>
    </row>
    <row r="1089" customHeight="1" spans="1:10">
      <c r="A1089" s="3">
        <v>1135</v>
      </c>
      <c r="B1089" s="3" t="s">
        <v>198</v>
      </c>
      <c r="C1089" s="3" t="s">
        <v>177</v>
      </c>
      <c r="D1089" s="3" t="s">
        <v>417</v>
      </c>
      <c r="E1089" s="3" t="s">
        <v>13</v>
      </c>
      <c r="F1089" s="3">
        <v>0.23</v>
      </c>
      <c r="G1089" s="3">
        <v>380</v>
      </c>
      <c r="H1089" s="3">
        <f t="shared" si="18"/>
        <v>87.4</v>
      </c>
      <c r="I1089" s="3"/>
      <c r="J1089" s="3">
        <v>9.14</v>
      </c>
    </row>
    <row r="1090" customHeight="1" spans="1:10">
      <c r="A1090" s="3">
        <v>1136</v>
      </c>
      <c r="B1090" s="3" t="s">
        <v>202</v>
      </c>
      <c r="C1090" s="3" t="s">
        <v>177</v>
      </c>
      <c r="D1090" s="3" t="s">
        <v>451</v>
      </c>
      <c r="E1090" s="3" t="s">
        <v>13</v>
      </c>
      <c r="F1090" s="3">
        <v>0.26</v>
      </c>
      <c r="G1090" s="3">
        <v>380</v>
      </c>
      <c r="H1090" s="3">
        <f t="shared" si="18"/>
        <v>98.8</v>
      </c>
      <c r="I1090" s="3"/>
      <c r="J1090" s="3">
        <v>9.14</v>
      </c>
    </row>
    <row r="1091" customHeight="1" spans="1:10">
      <c r="A1091" s="3">
        <v>1137</v>
      </c>
      <c r="B1091" s="3" t="s">
        <v>201</v>
      </c>
      <c r="C1091" s="3" t="s">
        <v>177</v>
      </c>
      <c r="D1091" s="3" t="s">
        <v>417</v>
      </c>
      <c r="E1091" s="3" t="s">
        <v>13</v>
      </c>
      <c r="F1091" s="3">
        <v>0.93</v>
      </c>
      <c r="G1091" s="3">
        <v>380</v>
      </c>
      <c r="H1091" s="3">
        <f t="shared" si="18"/>
        <v>353.4</v>
      </c>
      <c r="I1091" s="3"/>
      <c r="J1091" s="3">
        <v>9.14</v>
      </c>
    </row>
    <row r="1092" customHeight="1" spans="1:10">
      <c r="A1092" s="3">
        <v>1138</v>
      </c>
      <c r="B1092" s="3" t="s">
        <v>222</v>
      </c>
      <c r="C1092" s="3" t="s">
        <v>177</v>
      </c>
      <c r="D1092" s="3" t="s">
        <v>417</v>
      </c>
      <c r="E1092" s="3" t="s">
        <v>13</v>
      </c>
      <c r="F1092" s="3">
        <v>0.3</v>
      </c>
      <c r="G1092" s="3">
        <v>380</v>
      </c>
      <c r="H1092" s="3">
        <f t="shared" si="18"/>
        <v>114</v>
      </c>
      <c r="I1092" s="3"/>
      <c r="J1092" s="3">
        <v>9.14</v>
      </c>
    </row>
    <row r="1093" customHeight="1" spans="1:10">
      <c r="A1093" s="3">
        <v>1139</v>
      </c>
      <c r="B1093" s="3" t="s">
        <v>452</v>
      </c>
      <c r="C1093" s="3" t="s">
        <v>177</v>
      </c>
      <c r="D1093" s="3" t="s">
        <v>417</v>
      </c>
      <c r="E1093" s="3" t="s">
        <v>13</v>
      </c>
      <c r="F1093" s="3">
        <v>0.69</v>
      </c>
      <c r="G1093" s="3">
        <v>380</v>
      </c>
      <c r="H1093" s="3">
        <f t="shared" si="18"/>
        <v>262.2</v>
      </c>
      <c r="I1093" s="3"/>
      <c r="J1093" s="3">
        <v>9.14</v>
      </c>
    </row>
    <row r="1094" customHeight="1" spans="1:10">
      <c r="A1094" s="3">
        <v>1140</v>
      </c>
      <c r="B1094" s="3" t="s">
        <v>221</v>
      </c>
      <c r="C1094" s="3" t="s">
        <v>177</v>
      </c>
      <c r="D1094" s="3" t="s">
        <v>417</v>
      </c>
      <c r="E1094" s="3" t="s">
        <v>13</v>
      </c>
      <c r="F1094" s="3">
        <v>0.7</v>
      </c>
      <c r="G1094" s="3">
        <v>380</v>
      </c>
      <c r="H1094" s="3">
        <f t="shared" si="18"/>
        <v>266</v>
      </c>
      <c r="I1094" s="3"/>
      <c r="J1094" s="3">
        <v>9.14</v>
      </c>
    </row>
    <row r="1095" customHeight="1" spans="1:10">
      <c r="A1095" s="3">
        <v>1142</v>
      </c>
      <c r="B1095" s="3" t="s">
        <v>189</v>
      </c>
      <c r="C1095" s="3" t="s">
        <v>177</v>
      </c>
      <c r="D1095" s="3" t="s">
        <v>417</v>
      </c>
      <c r="E1095" s="3" t="s">
        <v>13</v>
      </c>
      <c r="F1095" s="3">
        <v>0.31</v>
      </c>
      <c r="G1095" s="3">
        <v>380</v>
      </c>
      <c r="H1095" s="3">
        <f t="shared" si="18"/>
        <v>117.8</v>
      </c>
      <c r="I1095" s="3"/>
      <c r="J1095" s="3">
        <v>9.14</v>
      </c>
    </row>
    <row r="1096" customHeight="1" spans="1:10">
      <c r="A1096" s="3">
        <v>1143</v>
      </c>
      <c r="B1096" s="3" t="s">
        <v>453</v>
      </c>
      <c r="C1096" s="3" t="s">
        <v>177</v>
      </c>
      <c r="D1096" s="3" t="s">
        <v>417</v>
      </c>
      <c r="E1096" s="3" t="s">
        <v>13</v>
      </c>
      <c r="F1096" s="3">
        <v>0.34</v>
      </c>
      <c r="G1096" s="3">
        <v>380</v>
      </c>
      <c r="H1096" s="3">
        <f t="shared" ref="H1096:H1130" si="19">G1096*F1096</f>
        <v>129.2</v>
      </c>
      <c r="I1096" s="3"/>
      <c r="J1096" s="3">
        <v>9.14</v>
      </c>
    </row>
    <row r="1097" customHeight="1" spans="1:10">
      <c r="A1097" s="3">
        <v>1144</v>
      </c>
      <c r="B1097" s="3" t="s">
        <v>209</v>
      </c>
      <c r="C1097" s="3" t="s">
        <v>177</v>
      </c>
      <c r="D1097" s="3" t="s">
        <v>417</v>
      </c>
      <c r="E1097" s="3" t="s">
        <v>13</v>
      </c>
      <c r="F1097" s="3">
        <v>1.63</v>
      </c>
      <c r="G1097" s="3">
        <v>380</v>
      </c>
      <c r="H1097" s="3">
        <f t="shared" si="19"/>
        <v>619.4</v>
      </c>
      <c r="I1097" s="3"/>
      <c r="J1097" s="3">
        <v>9.14</v>
      </c>
    </row>
    <row r="1098" customHeight="1" spans="1:10">
      <c r="A1098" s="3">
        <v>1145</v>
      </c>
      <c r="B1098" s="3" t="s">
        <v>209</v>
      </c>
      <c r="C1098" s="3" t="s">
        <v>177</v>
      </c>
      <c r="D1098" s="3" t="s">
        <v>454</v>
      </c>
      <c r="E1098" s="3" t="s">
        <v>22</v>
      </c>
      <c r="F1098" s="3">
        <v>0.2</v>
      </c>
      <c r="G1098" s="3">
        <v>480</v>
      </c>
      <c r="H1098" s="3">
        <f t="shared" si="19"/>
        <v>96</v>
      </c>
      <c r="I1098" s="3"/>
      <c r="J1098" s="3">
        <v>9.14</v>
      </c>
    </row>
    <row r="1099" customHeight="1" spans="1:10">
      <c r="A1099" s="3">
        <v>1146</v>
      </c>
      <c r="B1099" s="3" t="s">
        <v>209</v>
      </c>
      <c r="C1099" s="3" t="s">
        <v>177</v>
      </c>
      <c r="D1099" s="3" t="s">
        <v>454</v>
      </c>
      <c r="E1099" s="3" t="s">
        <v>22</v>
      </c>
      <c r="F1099" s="3">
        <v>0.22</v>
      </c>
      <c r="G1099" s="3">
        <v>480</v>
      </c>
      <c r="H1099" s="3">
        <f t="shared" si="19"/>
        <v>105.6</v>
      </c>
      <c r="I1099" s="3"/>
      <c r="J1099" s="3">
        <v>9.14</v>
      </c>
    </row>
    <row r="1100" customHeight="1" spans="1:10">
      <c r="A1100" s="3">
        <v>1147</v>
      </c>
      <c r="B1100" s="3" t="s">
        <v>189</v>
      </c>
      <c r="C1100" s="3" t="s">
        <v>177</v>
      </c>
      <c r="D1100" s="3" t="s">
        <v>254</v>
      </c>
      <c r="E1100" s="3" t="s">
        <v>13</v>
      </c>
      <c r="F1100" s="3">
        <v>0.22</v>
      </c>
      <c r="G1100" s="3">
        <v>380</v>
      </c>
      <c r="H1100" s="3">
        <f t="shared" si="19"/>
        <v>83.6</v>
      </c>
      <c r="I1100" s="3"/>
      <c r="J1100" s="3">
        <v>9.14</v>
      </c>
    </row>
    <row r="1101" customHeight="1" spans="1:10">
      <c r="A1101" s="3">
        <v>1148</v>
      </c>
      <c r="B1101" s="3" t="s">
        <v>455</v>
      </c>
      <c r="C1101" s="3" t="s">
        <v>177</v>
      </c>
      <c r="D1101" s="3" t="s">
        <v>456</v>
      </c>
      <c r="E1101" s="3" t="s">
        <v>13</v>
      </c>
      <c r="F1101" s="3">
        <v>0.12</v>
      </c>
      <c r="G1101" s="3">
        <v>380</v>
      </c>
      <c r="H1101" s="3">
        <f t="shared" si="19"/>
        <v>45.6</v>
      </c>
      <c r="I1101" s="3"/>
      <c r="J1101" s="3">
        <v>9.14</v>
      </c>
    </row>
    <row r="1102" customHeight="1" spans="1:10">
      <c r="A1102" s="3">
        <v>1149</v>
      </c>
      <c r="B1102" s="3" t="s">
        <v>416</v>
      </c>
      <c r="C1102" s="3" t="s">
        <v>177</v>
      </c>
      <c r="D1102" s="3" t="s">
        <v>456</v>
      </c>
      <c r="E1102" s="3" t="s">
        <v>13</v>
      </c>
      <c r="F1102" s="3">
        <v>0.54</v>
      </c>
      <c r="G1102" s="3">
        <v>380</v>
      </c>
      <c r="H1102" s="3">
        <f t="shared" si="19"/>
        <v>205.2</v>
      </c>
      <c r="I1102" s="3"/>
      <c r="J1102" s="3">
        <v>9.14</v>
      </c>
    </row>
    <row r="1103" customHeight="1" spans="1:10">
      <c r="A1103" s="3">
        <v>1150</v>
      </c>
      <c r="B1103" s="3" t="s">
        <v>452</v>
      </c>
      <c r="C1103" s="3" t="s">
        <v>177</v>
      </c>
      <c r="D1103" s="3" t="s">
        <v>318</v>
      </c>
      <c r="E1103" s="3" t="s">
        <v>13</v>
      </c>
      <c r="F1103" s="3">
        <v>0.3</v>
      </c>
      <c r="G1103" s="3">
        <v>380</v>
      </c>
      <c r="H1103" s="3">
        <f t="shared" si="19"/>
        <v>114</v>
      </c>
      <c r="I1103" s="3"/>
      <c r="J1103" s="3">
        <v>9.14</v>
      </c>
    </row>
    <row r="1104" customHeight="1" spans="1:10">
      <c r="A1104" s="3">
        <v>1151</v>
      </c>
      <c r="B1104" s="3" t="s">
        <v>266</v>
      </c>
      <c r="C1104" s="3" t="s">
        <v>177</v>
      </c>
      <c r="D1104" s="3" t="s">
        <v>402</v>
      </c>
      <c r="E1104" s="3" t="s">
        <v>13</v>
      </c>
      <c r="F1104" s="3">
        <v>0.8</v>
      </c>
      <c r="G1104" s="3">
        <v>380</v>
      </c>
      <c r="H1104" s="3">
        <f t="shared" si="19"/>
        <v>304</v>
      </c>
      <c r="I1104" s="3"/>
      <c r="J1104" s="3">
        <v>9.14</v>
      </c>
    </row>
    <row r="1105" customHeight="1" spans="1:10">
      <c r="A1105" s="3">
        <v>1152</v>
      </c>
      <c r="B1105" s="3" t="s">
        <v>186</v>
      </c>
      <c r="C1105" s="3" t="s">
        <v>177</v>
      </c>
      <c r="D1105" s="3" t="s">
        <v>402</v>
      </c>
      <c r="E1105" s="3" t="s">
        <v>13</v>
      </c>
      <c r="F1105" s="3">
        <v>0.16</v>
      </c>
      <c r="G1105" s="3">
        <v>380</v>
      </c>
      <c r="H1105" s="3">
        <f t="shared" si="19"/>
        <v>60.8</v>
      </c>
      <c r="I1105" s="3"/>
      <c r="J1105" s="3">
        <v>9.14</v>
      </c>
    </row>
    <row r="1106" customHeight="1" spans="1:10">
      <c r="A1106" s="3">
        <v>1153</v>
      </c>
      <c r="B1106" s="3" t="s">
        <v>186</v>
      </c>
      <c r="C1106" s="3" t="s">
        <v>177</v>
      </c>
      <c r="D1106" s="3" t="s">
        <v>457</v>
      </c>
      <c r="E1106" s="3" t="s">
        <v>13</v>
      </c>
      <c r="F1106" s="3">
        <v>0.36</v>
      </c>
      <c r="G1106" s="3">
        <v>380</v>
      </c>
      <c r="H1106" s="3">
        <f t="shared" si="19"/>
        <v>136.8</v>
      </c>
      <c r="I1106" s="3"/>
      <c r="J1106" s="3">
        <v>9.14</v>
      </c>
    </row>
    <row r="1107" customHeight="1" spans="1:10">
      <c r="A1107" s="3">
        <v>1154</v>
      </c>
      <c r="B1107" s="3" t="s">
        <v>448</v>
      </c>
      <c r="C1107" s="3" t="s">
        <v>177</v>
      </c>
      <c r="D1107" s="3" t="s">
        <v>457</v>
      </c>
      <c r="E1107" s="3" t="s">
        <v>13</v>
      </c>
      <c r="F1107" s="3">
        <v>0.43</v>
      </c>
      <c r="G1107" s="3">
        <v>380</v>
      </c>
      <c r="H1107" s="3">
        <f t="shared" si="19"/>
        <v>163.4</v>
      </c>
      <c r="I1107" s="3"/>
      <c r="J1107" s="3">
        <v>9.14</v>
      </c>
    </row>
    <row r="1108" customHeight="1" spans="1:10">
      <c r="A1108" s="3">
        <v>1155</v>
      </c>
      <c r="B1108" s="3" t="s">
        <v>448</v>
      </c>
      <c r="C1108" s="3" t="s">
        <v>177</v>
      </c>
      <c r="D1108" s="3" t="s">
        <v>458</v>
      </c>
      <c r="E1108" s="3" t="s">
        <v>13</v>
      </c>
      <c r="F1108" s="3">
        <v>0.5</v>
      </c>
      <c r="G1108" s="3">
        <v>380</v>
      </c>
      <c r="H1108" s="3">
        <f t="shared" si="19"/>
        <v>190</v>
      </c>
      <c r="I1108" s="3"/>
      <c r="J1108" s="3">
        <v>9.14</v>
      </c>
    </row>
    <row r="1109" customHeight="1" spans="1:10">
      <c r="A1109" s="3">
        <v>1156</v>
      </c>
      <c r="B1109" s="3" t="s">
        <v>186</v>
      </c>
      <c r="C1109" s="3" t="s">
        <v>177</v>
      </c>
      <c r="D1109" s="3" t="s">
        <v>458</v>
      </c>
      <c r="E1109" s="3" t="s">
        <v>13</v>
      </c>
      <c r="F1109" s="3">
        <v>0.28</v>
      </c>
      <c r="G1109" s="3">
        <v>380</v>
      </c>
      <c r="H1109" s="3">
        <f t="shared" si="19"/>
        <v>106.4</v>
      </c>
      <c r="I1109" s="3"/>
      <c r="J1109" s="3">
        <v>9.14</v>
      </c>
    </row>
    <row r="1110" customHeight="1" spans="1:10">
      <c r="A1110" s="3">
        <v>1157</v>
      </c>
      <c r="B1110" s="3" t="s">
        <v>180</v>
      </c>
      <c r="C1110" s="3" t="s">
        <v>177</v>
      </c>
      <c r="D1110" s="3" t="s">
        <v>154</v>
      </c>
      <c r="E1110" s="3" t="s">
        <v>13</v>
      </c>
      <c r="F1110" s="3">
        <v>0.75</v>
      </c>
      <c r="G1110" s="3">
        <v>380</v>
      </c>
      <c r="H1110" s="3">
        <f t="shared" si="19"/>
        <v>285</v>
      </c>
      <c r="I1110" s="3"/>
      <c r="J1110" s="3">
        <v>9.14</v>
      </c>
    </row>
    <row r="1111" customHeight="1" spans="1:10">
      <c r="A1111" s="3">
        <v>1159</v>
      </c>
      <c r="B1111" s="3" t="s">
        <v>416</v>
      </c>
      <c r="C1111" s="3" t="s">
        <v>177</v>
      </c>
      <c r="D1111" s="3" t="s">
        <v>458</v>
      </c>
      <c r="E1111" s="3" t="s">
        <v>13</v>
      </c>
      <c r="F1111" s="3">
        <v>0.19</v>
      </c>
      <c r="G1111" s="3">
        <v>380</v>
      </c>
      <c r="H1111" s="3">
        <f t="shared" si="19"/>
        <v>72.2</v>
      </c>
      <c r="I1111" s="3"/>
      <c r="J1111" s="3">
        <v>9.14</v>
      </c>
    </row>
    <row r="1112" customHeight="1" spans="1:10">
      <c r="A1112" s="3">
        <v>1161</v>
      </c>
      <c r="B1112" s="3" t="s">
        <v>459</v>
      </c>
      <c r="C1112" s="3" t="s">
        <v>177</v>
      </c>
      <c r="D1112" s="3" t="s">
        <v>458</v>
      </c>
      <c r="E1112" s="3" t="s">
        <v>13</v>
      </c>
      <c r="F1112" s="3">
        <v>0.05</v>
      </c>
      <c r="G1112" s="3">
        <v>380</v>
      </c>
      <c r="H1112" s="3">
        <f t="shared" si="19"/>
        <v>19</v>
      </c>
      <c r="I1112" s="3"/>
      <c r="J1112" s="3">
        <v>9.14</v>
      </c>
    </row>
    <row r="1113" customHeight="1" spans="1:10">
      <c r="A1113" s="3">
        <v>1162</v>
      </c>
      <c r="B1113" s="3" t="s">
        <v>374</v>
      </c>
      <c r="C1113" s="3" t="s">
        <v>177</v>
      </c>
      <c r="D1113" s="3" t="s">
        <v>458</v>
      </c>
      <c r="E1113" s="3" t="s">
        <v>13</v>
      </c>
      <c r="F1113" s="3">
        <v>0.04</v>
      </c>
      <c r="G1113" s="3">
        <v>380</v>
      </c>
      <c r="H1113" s="3">
        <f t="shared" si="19"/>
        <v>15.2</v>
      </c>
      <c r="I1113" s="3"/>
      <c r="J1113" s="3">
        <v>9.14</v>
      </c>
    </row>
    <row r="1114" customHeight="1" spans="1:10">
      <c r="A1114" s="3">
        <v>1163</v>
      </c>
      <c r="B1114" s="3" t="s">
        <v>209</v>
      </c>
      <c r="C1114" s="3" t="s">
        <v>177</v>
      </c>
      <c r="D1114" s="3" t="s">
        <v>460</v>
      </c>
      <c r="E1114" s="3" t="s">
        <v>13</v>
      </c>
      <c r="F1114" s="3">
        <v>0.13</v>
      </c>
      <c r="G1114" s="3">
        <v>380</v>
      </c>
      <c r="H1114" s="3">
        <f t="shared" si="19"/>
        <v>49.4</v>
      </c>
      <c r="I1114" s="3"/>
      <c r="J1114" s="3">
        <v>9.14</v>
      </c>
    </row>
    <row r="1115" customHeight="1" spans="1:10">
      <c r="A1115" s="3">
        <v>1164</v>
      </c>
      <c r="B1115" s="3" t="s">
        <v>223</v>
      </c>
      <c r="C1115" s="3" t="s">
        <v>177</v>
      </c>
      <c r="D1115" s="3" t="s">
        <v>154</v>
      </c>
      <c r="E1115" s="3" t="s">
        <v>13</v>
      </c>
      <c r="F1115" s="3">
        <v>1.21</v>
      </c>
      <c r="G1115" s="3">
        <v>380</v>
      </c>
      <c r="H1115" s="3">
        <f t="shared" si="19"/>
        <v>459.8</v>
      </c>
      <c r="I1115" s="3"/>
      <c r="J1115" s="3">
        <v>9.14</v>
      </c>
    </row>
    <row r="1116" customHeight="1" spans="1:10">
      <c r="A1116" s="3">
        <v>1165</v>
      </c>
      <c r="B1116" s="3" t="s">
        <v>223</v>
      </c>
      <c r="C1116" s="3" t="s">
        <v>177</v>
      </c>
      <c r="D1116" s="3" t="s">
        <v>154</v>
      </c>
      <c r="E1116" s="3" t="s">
        <v>13</v>
      </c>
      <c r="F1116" s="3">
        <v>0.48</v>
      </c>
      <c r="G1116" s="3">
        <v>380</v>
      </c>
      <c r="H1116" s="3">
        <f t="shared" si="19"/>
        <v>182.4</v>
      </c>
      <c r="I1116" s="3"/>
      <c r="J1116" s="3">
        <v>9.14</v>
      </c>
    </row>
    <row r="1117" customHeight="1" spans="1:10">
      <c r="A1117" s="3">
        <v>1166</v>
      </c>
      <c r="B1117" s="3" t="s">
        <v>223</v>
      </c>
      <c r="C1117" s="3" t="s">
        <v>177</v>
      </c>
      <c r="D1117" s="3" t="s">
        <v>458</v>
      </c>
      <c r="E1117" s="3" t="s">
        <v>13</v>
      </c>
      <c r="F1117" s="3">
        <v>0.15</v>
      </c>
      <c r="G1117" s="3">
        <v>380</v>
      </c>
      <c r="H1117" s="3">
        <f t="shared" si="19"/>
        <v>57</v>
      </c>
      <c r="I1117" s="3"/>
      <c r="J1117" s="3">
        <v>9.14</v>
      </c>
    </row>
    <row r="1118" customHeight="1" spans="1:10">
      <c r="A1118" s="3">
        <v>1167</v>
      </c>
      <c r="B1118" s="3" t="s">
        <v>437</v>
      </c>
      <c r="C1118" s="3" t="s">
        <v>177</v>
      </c>
      <c r="D1118" s="3" t="s">
        <v>460</v>
      </c>
      <c r="E1118" s="3" t="s">
        <v>13</v>
      </c>
      <c r="F1118" s="3">
        <v>0.46</v>
      </c>
      <c r="G1118" s="3">
        <v>380</v>
      </c>
      <c r="H1118" s="3">
        <f t="shared" si="19"/>
        <v>174.8</v>
      </c>
      <c r="I1118" s="3"/>
      <c r="J1118" s="3">
        <v>9.14</v>
      </c>
    </row>
    <row r="1119" customHeight="1" spans="1:10">
      <c r="A1119" s="3">
        <v>1168</v>
      </c>
      <c r="B1119" s="3" t="s">
        <v>461</v>
      </c>
      <c r="C1119" s="3" t="s">
        <v>177</v>
      </c>
      <c r="D1119" s="3" t="s">
        <v>460</v>
      </c>
      <c r="E1119" s="3" t="s">
        <v>13</v>
      </c>
      <c r="F1119" s="3">
        <v>0.48</v>
      </c>
      <c r="G1119" s="3">
        <v>380</v>
      </c>
      <c r="H1119" s="3">
        <f t="shared" si="19"/>
        <v>182.4</v>
      </c>
      <c r="I1119" s="3"/>
      <c r="J1119" s="3">
        <v>9.14</v>
      </c>
    </row>
    <row r="1120" customHeight="1" spans="1:10">
      <c r="A1120" s="3">
        <v>1169</v>
      </c>
      <c r="B1120" s="3" t="s">
        <v>448</v>
      </c>
      <c r="C1120" s="3" t="s">
        <v>177</v>
      </c>
      <c r="D1120" s="3" t="s">
        <v>462</v>
      </c>
      <c r="E1120" s="3" t="s">
        <v>13</v>
      </c>
      <c r="F1120" s="26">
        <v>1.4</v>
      </c>
      <c r="G1120" s="3">
        <v>380</v>
      </c>
      <c r="H1120" s="3">
        <f t="shared" si="19"/>
        <v>532</v>
      </c>
      <c r="I1120" s="3"/>
      <c r="J1120" s="3">
        <v>9.14</v>
      </c>
    </row>
    <row r="1121" customHeight="1" spans="1:10">
      <c r="A1121" s="3">
        <v>1170</v>
      </c>
      <c r="B1121" s="3" t="s">
        <v>463</v>
      </c>
      <c r="C1121" s="3" t="s">
        <v>177</v>
      </c>
      <c r="D1121" s="3" t="s">
        <v>464</v>
      </c>
      <c r="E1121" s="3" t="s">
        <v>13</v>
      </c>
      <c r="F1121" s="3">
        <v>0.26</v>
      </c>
      <c r="G1121" s="3">
        <v>380</v>
      </c>
      <c r="H1121" s="3">
        <f t="shared" si="19"/>
        <v>98.8</v>
      </c>
      <c r="I1121" s="3"/>
      <c r="J1121" s="3">
        <v>9.14</v>
      </c>
    </row>
    <row r="1122" customHeight="1" spans="1:10">
      <c r="A1122" s="3">
        <v>1171</v>
      </c>
      <c r="B1122" s="3" t="s">
        <v>461</v>
      </c>
      <c r="C1122" s="3" t="s">
        <v>177</v>
      </c>
      <c r="D1122" s="3" t="s">
        <v>154</v>
      </c>
      <c r="E1122" s="3" t="s">
        <v>13</v>
      </c>
      <c r="F1122" s="3">
        <v>0.2</v>
      </c>
      <c r="G1122" s="3">
        <v>380</v>
      </c>
      <c r="H1122" s="3">
        <f t="shared" si="19"/>
        <v>76</v>
      </c>
      <c r="I1122" s="3"/>
      <c r="J1122" s="3">
        <v>9.14</v>
      </c>
    </row>
    <row r="1123" customHeight="1" spans="1:10">
      <c r="A1123" s="3">
        <v>1172</v>
      </c>
      <c r="B1123" s="3" t="s">
        <v>186</v>
      </c>
      <c r="C1123" s="3" t="s">
        <v>177</v>
      </c>
      <c r="D1123" s="3" t="s">
        <v>465</v>
      </c>
      <c r="E1123" s="3" t="s">
        <v>13</v>
      </c>
      <c r="F1123" s="3">
        <v>0.23</v>
      </c>
      <c r="G1123" s="3">
        <v>380</v>
      </c>
      <c r="H1123" s="3">
        <f t="shared" si="19"/>
        <v>87.4</v>
      </c>
      <c r="I1123" s="3"/>
      <c r="J1123" s="3">
        <v>9.14</v>
      </c>
    </row>
    <row r="1124" customHeight="1" spans="1:10">
      <c r="A1124" s="3">
        <v>1173</v>
      </c>
      <c r="B1124" s="3" t="s">
        <v>466</v>
      </c>
      <c r="C1124" s="3" t="s">
        <v>177</v>
      </c>
      <c r="D1124" s="3" t="s">
        <v>467</v>
      </c>
      <c r="E1124" s="3" t="s">
        <v>13</v>
      </c>
      <c r="F1124" s="3">
        <v>0.5</v>
      </c>
      <c r="G1124" s="3">
        <v>380</v>
      </c>
      <c r="H1124" s="3">
        <f t="shared" si="19"/>
        <v>190</v>
      </c>
      <c r="I1124" s="3"/>
      <c r="J1124" s="3">
        <v>9.14</v>
      </c>
    </row>
    <row r="1125" customHeight="1" spans="1:10">
      <c r="A1125" s="3">
        <v>1174</v>
      </c>
      <c r="B1125" s="3" t="s">
        <v>466</v>
      </c>
      <c r="C1125" s="3" t="s">
        <v>177</v>
      </c>
      <c r="D1125" s="3" t="s">
        <v>467</v>
      </c>
      <c r="E1125" s="3" t="s">
        <v>13</v>
      </c>
      <c r="F1125" s="3">
        <v>0.88</v>
      </c>
      <c r="G1125" s="3">
        <v>380</v>
      </c>
      <c r="H1125" s="3">
        <f t="shared" si="19"/>
        <v>334.4</v>
      </c>
      <c r="I1125" s="3"/>
      <c r="J1125" s="3">
        <v>9.14</v>
      </c>
    </row>
    <row r="1126" customHeight="1" spans="1:10">
      <c r="A1126" s="3">
        <v>1175</v>
      </c>
      <c r="B1126" s="3" t="s">
        <v>184</v>
      </c>
      <c r="C1126" s="3" t="s">
        <v>177</v>
      </c>
      <c r="D1126" s="3" t="s">
        <v>467</v>
      </c>
      <c r="E1126" s="3" t="s">
        <v>13</v>
      </c>
      <c r="F1126" s="3">
        <v>0.88</v>
      </c>
      <c r="G1126" s="3">
        <v>380</v>
      </c>
      <c r="H1126" s="3">
        <f t="shared" si="19"/>
        <v>334.4</v>
      </c>
      <c r="I1126" s="3"/>
      <c r="J1126" s="3">
        <v>9.14</v>
      </c>
    </row>
    <row r="1127" customHeight="1" spans="1:10">
      <c r="A1127" s="3">
        <v>1176</v>
      </c>
      <c r="B1127" s="3" t="s">
        <v>468</v>
      </c>
      <c r="C1127" s="3" t="s">
        <v>177</v>
      </c>
      <c r="D1127" s="3" t="s">
        <v>457</v>
      </c>
      <c r="E1127" s="3" t="s">
        <v>13</v>
      </c>
      <c r="F1127" s="3">
        <v>0.52</v>
      </c>
      <c r="G1127" s="3">
        <v>380</v>
      </c>
      <c r="H1127" s="3">
        <f t="shared" si="19"/>
        <v>197.6</v>
      </c>
      <c r="I1127" s="3"/>
      <c r="J1127" s="3">
        <v>9.14</v>
      </c>
    </row>
    <row r="1128" customHeight="1" spans="1:10">
      <c r="A1128" s="3">
        <v>1177</v>
      </c>
      <c r="B1128" s="3" t="s">
        <v>211</v>
      </c>
      <c r="C1128" s="3" t="s">
        <v>177</v>
      </c>
      <c r="D1128" s="3" t="s">
        <v>469</v>
      </c>
      <c r="E1128" s="3" t="s">
        <v>13</v>
      </c>
      <c r="F1128" s="3">
        <v>0.16</v>
      </c>
      <c r="G1128" s="3">
        <v>380</v>
      </c>
      <c r="H1128" s="3">
        <f t="shared" si="19"/>
        <v>60.8</v>
      </c>
      <c r="I1128" s="3"/>
      <c r="J1128" s="3">
        <v>9.14</v>
      </c>
    </row>
    <row r="1129" customHeight="1" spans="1:10">
      <c r="A1129" s="3">
        <v>1178</v>
      </c>
      <c r="B1129" s="3" t="s">
        <v>198</v>
      </c>
      <c r="C1129" s="3" t="s">
        <v>177</v>
      </c>
      <c r="D1129" s="3" t="s">
        <v>470</v>
      </c>
      <c r="E1129" s="3" t="s">
        <v>13</v>
      </c>
      <c r="F1129" s="3">
        <v>0.19</v>
      </c>
      <c r="G1129" s="3">
        <v>380</v>
      </c>
      <c r="H1129" s="3">
        <f t="shared" si="19"/>
        <v>72.2</v>
      </c>
      <c r="I1129" s="3"/>
      <c r="J1129" s="3">
        <v>9.14</v>
      </c>
    </row>
    <row r="1130" customHeight="1" spans="1:10">
      <c r="A1130" s="3">
        <v>1179</v>
      </c>
      <c r="B1130" s="3" t="s">
        <v>198</v>
      </c>
      <c r="C1130" s="3" t="s">
        <v>177</v>
      </c>
      <c r="D1130" s="3" t="s">
        <v>457</v>
      </c>
      <c r="E1130" s="3" t="s">
        <v>13</v>
      </c>
      <c r="F1130" s="3">
        <v>0.44</v>
      </c>
      <c r="G1130" s="3">
        <v>380</v>
      </c>
      <c r="H1130" s="3">
        <f t="shared" si="19"/>
        <v>167.2</v>
      </c>
      <c r="I1130" s="3"/>
      <c r="J1130" s="3">
        <v>9.14</v>
      </c>
    </row>
    <row r="1131" customHeight="1" spans="1:10">
      <c r="A1131" s="3">
        <v>1181</v>
      </c>
      <c r="B1131" s="3" t="s">
        <v>471</v>
      </c>
      <c r="C1131" s="3" t="s">
        <v>177</v>
      </c>
      <c r="D1131" s="3" t="s">
        <v>472</v>
      </c>
      <c r="E1131" s="3" t="s">
        <v>13</v>
      </c>
      <c r="F1131" s="3">
        <v>0.76</v>
      </c>
      <c r="G1131" s="3">
        <v>380</v>
      </c>
      <c r="H1131" s="3">
        <f t="shared" ref="H1131:H1155" si="20">G1131*F1131</f>
        <v>288.8</v>
      </c>
      <c r="I1131" s="3"/>
      <c r="J1131" s="3">
        <v>9.14</v>
      </c>
    </row>
    <row r="1132" customHeight="1" spans="1:10">
      <c r="A1132" s="3">
        <v>1182</v>
      </c>
      <c r="B1132" s="3" t="s">
        <v>459</v>
      </c>
      <c r="C1132" s="3" t="s">
        <v>177</v>
      </c>
      <c r="D1132" s="3" t="s">
        <v>154</v>
      </c>
      <c r="E1132" s="3" t="s">
        <v>13</v>
      </c>
      <c r="F1132" s="3">
        <v>1.8</v>
      </c>
      <c r="G1132" s="3">
        <v>380</v>
      </c>
      <c r="H1132" s="3">
        <f t="shared" si="20"/>
        <v>684</v>
      </c>
      <c r="I1132" s="3"/>
      <c r="J1132" s="3">
        <v>9.14</v>
      </c>
    </row>
    <row r="1133" customHeight="1" spans="1:10">
      <c r="A1133" s="3">
        <v>1183</v>
      </c>
      <c r="B1133" s="3" t="s">
        <v>191</v>
      </c>
      <c r="C1133" s="3" t="s">
        <v>177</v>
      </c>
      <c r="D1133" s="3" t="s">
        <v>154</v>
      </c>
      <c r="E1133" s="3" t="s">
        <v>13</v>
      </c>
      <c r="F1133" s="3">
        <v>0.3</v>
      </c>
      <c r="G1133" s="3">
        <v>380</v>
      </c>
      <c r="H1133" s="3">
        <f t="shared" si="20"/>
        <v>114</v>
      </c>
      <c r="I1133" s="3"/>
      <c r="J1133" s="3">
        <v>9.14</v>
      </c>
    </row>
    <row r="1134" customHeight="1" spans="1:10">
      <c r="A1134" s="3">
        <v>1184</v>
      </c>
      <c r="B1134" s="3" t="s">
        <v>186</v>
      </c>
      <c r="C1134" s="3" t="s">
        <v>177</v>
      </c>
      <c r="D1134" s="3" t="s">
        <v>472</v>
      </c>
      <c r="E1134" s="3" t="s">
        <v>13</v>
      </c>
      <c r="F1134" s="3">
        <v>0.52</v>
      </c>
      <c r="G1134" s="3">
        <v>380</v>
      </c>
      <c r="H1134" s="3">
        <f t="shared" si="20"/>
        <v>197.6</v>
      </c>
      <c r="I1134" s="3"/>
      <c r="J1134" s="3">
        <v>9.14</v>
      </c>
    </row>
    <row r="1135" customHeight="1" spans="1:10">
      <c r="A1135" s="3">
        <v>1185</v>
      </c>
      <c r="B1135" s="3" t="s">
        <v>221</v>
      </c>
      <c r="C1135" s="3" t="s">
        <v>177</v>
      </c>
      <c r="D1135" s="3" t="s">
        <v>329</v>
      </c>
      <c r="E1135" s="3" t="s">
        <v>13</v>
      </c>
      <c r="F1135" s="3">
        <v>0.28</v>
      </c>
      <c r="G1135" s="3">
        <v>380</v>
      </c>
      <c r="H1135" s="3">
        <f t="shared" si="20"/>
        <v>106.4</v>
      </c>
      <c r="I1135" s="3"/>
      <c r="J1135" s="3">
        <v>9.14</v>
      </c>
    </row>
    <row r="1136" customHeight="1" spans="1:10">
      <c r="A1136" s="3">
        <v>1186</v>
      </c>
      <c r="B1136" s="3" t="s">
        <v>182</v>
      </c>
      <c r="C1136" s="3" t="s">
        <v>177</v>
      </c>
      <c r="D1136" s="3" t="s">
        <v>402</v>
      </c>
      <c r="E1136" s="3" t="s">
        <v>13</v>
      </c>
      <c r="F1136" s="3">
        <v>0.02</v>
      </c>
      <c r="G1136" s="3">
        <v>380</v>
      </c>
      <c r="H1136" s="3">
        <f t="shared" si="20"/>
        <v>7.6</v>
      </c>
      <c r="I1136" s="3"/>
      <c r="J1136" s="3">
        <v>9.14</v>
      </c>
    </row>
    <row r="1137" customHeight="1" spans="1:10">
      <c r="A1137" s="3">
        <v>1187</v>
      </c>
      <c r="B1137" s="3" t="s">
        <v>222</v>
      </c>
      <c r="C1137" s="3" t="s">
        <v>177</v>
      </c>
      <c r="D1137" s="3" t="s">
        <v>154</v>
      </c>
      <c r="E1137" s="3" t="s">
        <v>13</v>
      </c>
      <c r="F1137" s="3">
        <v>0.04</v>
      </c>
      <c r="G1137" s="3">
        <v>380</v>
      </c>
      <c r="H1137" s="3">
        <f t="shared" si="20"/>
        <v>15.2</v>
      </c>
      <c r="I1137" s="3"/>
      <c r="J1137" s="3">
        <v>9.14</v>
      </c>
    </row>
    <row r="1138" customHeight="1" spans="1:10">
      <c r="A1138" s="3">
        <v>1188</v>
      </c>
      <c r="B1138" s="3" t="s">
        <v>221</v>
      </c>
      <c r="C1138" s="3" t="s">
        <v>177</v>
      </c>
      <c r="D1138" s="3" t="s">
        <v>154</v>
      </c>
      <c r="E1138" s="3" t="s">
        <v>13</v>
      </c>
      <c r="F1138" s="3">
        <v>0.49</v>
      </c>
      <c r="G1138" s="3">
        <v>380</v>
      </c>
      <c r="H1138" s="3">
        <f t="shared" si="20"/>
        <v>186.2</v>
      </c>
      <c r="I1138" s="3"/>
      <c r="J1138" s="3">
        <v>9.14</v>
      </c>
    </row>
    <row r="1139" customHeight="1" spans="1:10">
      <c r="A1139" s="3">
        <v>1189</v>
      </c>
      <c r="B1139" s="3" t="s">
        <v>452</v>
      </c>
      <c r="C1139" s="3" t="s">
        <v>177</v>
      </c>
      <c r="D1139" s="3" t="s">
        <v>154</v>
      </c>
      <c r="E1139" s="3" t="s">
        <v>13</v>
      </c>
      <c r="F1139" s="3">
        <v>0.1</v>
      </c>
      <c r="G1139" s="3">
        <v>380</v>
      </c>
      <c r="H1139" s="3">
        <f t="shared" si="20"/>
        <v>38</v>
      </c>
      <c r="I1139" s="3"/>
      <c r="J1139" s="3">
        <v>9.14</v>
      </c>
    </row>
    <row r="1140" customHeight="1" spans="1:10">
      <c r="A1140" s="3">
        <v>1190</v>
      </c>
      <c r="B1140" s="3" t="s">
        <v>416</v>
      </c>
      <c r="C1140" s="3" t="s">
        <v>177</v>
      </c>
      <c r="D1140" s="3" t="s">
        <v>470</v>
      </c>
      <c r="E1140" s="3" t="s">
        <v>13</v>
      </c>
      <c r="F1140" s="3">
        <v>0.2</v>
      </c>
      <c r="G1140" s="3">
        <v>380</v>
      </c>
      <c r="H1140" s="3">
        <f t="shared" si="20"/>
        <v>76</v>
      </c>
      <c r="I1140" s="3"/>
      <c r="J1140" s="3">
        <v>9.14</v>
      </c>
    </row>
    <row r="1141" customHeight="1" spans="1:10">
      <c r="A1141" s="3">
        <v>1191</v>
      </c>
      <c r="B1141" s="3" t="s">
        <v>176</v>
      </c>
      <c r="C1141" s="3" t="s">
        <v>177</v>
      </c>
      <c r="D1141" s="3" t="s">
        <v>473</v>
      </c>
      <c r="E1141" s="3" t="s">
        <v>13</v>
      </c>
      <c r="F1141" s="3">
        <v>0.56</v>
      </c>
      <c r="G1141" s="3">
        <v>380</v>
      </c>
      <c r="H1141" s="3">
        <f t="shared" si="20"/>
        <v>212.8</v>
      </c>
      <c r="I1141" s="3"/>
      <c r="J1141" s="3">
        <v>9.14</v>
      </c>
    </row>
    <row r="1142" customHeight="1" spans="1:10">
      <c r="A1142" s="3">
        <v>1192</v>
      </c>
      <c r="B1142" s="3" t="s">
        <v>452</v>
      </c>
      <c r="C1142" s="3" t="s">
        <v>177</v>
      </c>
      <c r="D1142" s="3" t="s">
        <v>154</v>
      </c>
      <c r="E1142" s="3" t="s">
        <v>13</v>
      </c>
      <c r="F1142" s="3">
        <v>0.08</v>
      </c>
      <c r="G1142" s="3">
        <v>380</v>
      </c>
      <c r="H1142" s="3">
        <f t="shared" si="20"/>
        <v>30.4</v>
      </c>
      <c r="I1142" s="3"/>
      <c r="J1142" s="3">
        <v>9.14</v>
      </c>
    </row>
    <row r="1143" customHeight="1" spans="1:10">
      <c r="A1143" s="3">
        <v>1193</v>
      </c>
      <c r="B1143" s="3" t="s">
        <v>182</v>
      </c>
      <c r="C1143" s="3" t="s">
        <v>177</v>
      </c>
      <c r="D1143" s="3" t="s">
        <v>473</v>
      </c>
      <c r="E1143" s="3" t="s">
        <v>13</v>
      </c>
      <c r="F1143" s="3">
        <v>0.91</v>
      </c>
      <c r="G1143" s="3">
        <v>380</v>
      </c>
      <c r="H1143" s="3">
        <f t="shared" si="20"/>
        <v>345.8</v>
      </c>
      <c r="I1143" s="3"/>
      <c r="J1143" s="3">
        <v>9.14</v>
      </c>
    </row>
    <row r="1144" customHeight="1" spans="1:10">
      <c r="A1144" s="3">
        <v>1194</v>
      </c>
      <c r="B1144" s="3" t="s">
        <v>446</v>
      </c>
      <c r="C1144" s="3" t="s">
        <v>177</v>
      </c>
      <c r="D1144" s="3" t="s">
        <v>474</v>
      </c>
      <c r="E1144" s="3" t="s">
        <v>13</v>
      </c>
      <c r="F1144" s="3">
        <v>0.59</v>
      </c>
      <c r="G1144" s="3">
        <v>380</v>
      </c>
      <c r="H1144" s="3">
        <f t="shared" si="20"/>
        <v>224.2</v>
      </c>
      <c r="I1144" s="3"/>
      <c r="J1144" s="3">
        <v>9.14</v>
      </c>
    </row>
    <row r="1145" customHeight="1" spans="1:10">
      <c r="A1145" s="3">
        <v>1195</v>
      </c>
      <c r="B1145" s="3" t="s">
        <v>455</v>
      </c>
      <c r="C1145" s="3" t="s">
        <v>177</v>
      </c>
      <c r="D1145" s="3" t="s">
        <v>474</v>
      </c>
      <c r="E1145" s="3" t="s">
        <v>13</v>
      </c>
      <c r="F1145" s="3">
        <v>0.4</v>
      </c>
      <c r="G1145" s="3">
        <v>380</v>
      </c>
      <c r="H1145" s="3">
        <f t="shared" si="20"/>
        <v>152</v>
      </c>
      <c r="I1145" s="3"/>
      <c r="J1145" s="3">
        <v>9.14</v>
      </c>
    </row>
    <row r="1146" customHeight="1" spans="1:10">
      <c r="A1146" s="3">
        <v>1196</v>
      </c>
      <c r="B1146" s="3" t="s">
        <v>192</v>
      </c>
      <c r="C1146" s="3" t="s">
        <v>177</v>
      </c>
      <c r="D1146" s="3" t="s">
        <v>474</v>
      </c>
      <c r="E1146" s="3" t="s">
        <v>13</v>
      </c>
      <c r="F1146" s="3">
        <v>0.64</v>
      </c>
      <c r="G1146" s="3">
        <v>380</v>
      </c>
      <c r="H1146" s="3">
        <f t="shared" si="20"/>
        <v>243.2</v>
      </c>
      <c r="I1146" s="3"/>
      <c r="J1146" s="3">
        <v>9.14</v>
      </c>
    </row>
    <row r="1147" customHeight="1" spans="1:10">
      <c r="A1147" s="3">
        <v>1197</v>
      </c>
      <c r="B1147" s="3" t="s">
        <v>205</v>
      </c>
      <c r="C1147" s="3" t="s">
        <v>177</v>
      </c>
      <c r="D1147" s="3" t="s">
        <v>475</v>
      </c>
      <c r="E1147" s="3" t="s">
        <v>13</v>
      </c>
      <c r="F1147" s="3">
        <v>0.5</v>
      </c>
      <c r="G1147" s="3">
        <v>380</v>
      </c>
      <c r="H1147" s="3">
        <f t="shared" si="20"/>
        <v>190</v>
      </c>
      <c r="I1147" s="3"/>
      <c r="J1147" s="3">
        <v>9.14</v>
      </c>
    </row>
    <row r="1148" customHeight="1" spans="1:10">
      <c r="A1148" s="3">
        <v>1198</v>
      </c>
      <c r="B1148" s="3" t="s">
        <v>187</v>
      </c>
      <c r="C1148" s="3" t="s">
        <v>177</v>
      </c>
      <c r="D1148" s="3" t="s">
        <v>476</v>
      </c>
      <c r="E1148" s="3" t="s">
        <v>13</v>
      </c>
      <c r="F1148" s="3">
        <v>0.6</v>
      </c>
      <c r="G1148" s="3">
        <v>380</v>
      </c>
      <c r="H1148" s="3">
        <f t="shared" si="20"/>
        <v>228</v>
      </c>
      <c r="I1148" s="3"/>
      <c r="J1148" s="3">
        <v>9.14</v>
      </c>
    </row>
    <row r="1149" customHeight="1" spans="1:10">
      <c r="A1149" s="3">
        <v>1199</v>
      </c>
      <c r="B1149" s="3" t="s">
        <v>436</v>
      </c>
      <c r="C1149" s="3" t="s">
        <v>177</v>
      </c>
      <c r="D1149" s="3" t="s">
        <v>477</v>
      </c>
      <c r="E1149" s="3" t="s">
        <v>13</v>
      </c>
      <c r="F1149" s="3">
        <v>0.4</v>
      </c>
      <c r="G1149" s="3">
        <v>380</v>
      </c>
      <c r="H1149" s="3">
        <f t="shared" si="20"/>
        <v>152</v>
      </c>
      <c r="I1149" s="3"/>
      <c r="J1149" s="3">
        <v>9.14</v>
      </c>
    </row>
    <row r="1150" customHeight="1" spans="1:10">
      <c r="A1150" s="3">
        <v>1200</v>
      </c>
      <c r="B1150" s="3" t="s">
        <v>220</v>
      </c>
      <c r="C1150" s="3" t="s">
        <v>177</v>
      </c>
      <c r="D1150" s="3" t="s">
        <v>477</v>
      </c>
      <c r="E1150" s="3" t="s">
        <v>13</v>
      </c>
      <c r="F1150" s="3">
        <v>0.65</v>
      </c>
      <c r="G1150" s="3">
        <v>380</v>
      </c>
      <c r="H1150" s="3">
        <f t="shared" si="20"/>
        <v>247</v>
      </c>
      <c r="I1150" s="3"/>
      <c r="J1150" s="3">
        <v>9.14</v>
      </c>
    </row>
    <row r="1151" customHeight="1" spans="1:10">
      <c r="A1151" s="3">
        <v>1201</v>
      </c>
      <c r="B1151" s="3" t="s">
        <v>222</v>
      </c>
      <c r="C1151" s="3" t="s">
        <v>177</v>
      </c>
      <c r="D1151" s="3" t="s">
        <v>477</v>
      </c>
      <c r="E1151" s="3" t="s">
        <v>13</v>
      </c>
      <c r="F1151" s="3">
        <v>0.3</v>
      </c>
      <c r="G1151" s="3">
        <v>380</v>
      </c>
      <c r="H1151" s="3">
        <f t="shared" si="20"/>
        <v>114</v>
      </c>
      <c r="I1151" s="3"/>
      <c r="J1151" s="3">
        <v>9.14</v>
      </c>
    </row>
    <row r="1152" customHeight="1" spans="1:10">
      <c r="A1152" s="3">
        <v>1202</v>
      </c>
      <c r="B1152" s="3" t="s">
        <v>218</v>
      </c>
      <c r="C1152" s="3" t="s">
        <v>177</v>
      </c>
      <c r="D1152" s="3" t="s">
        <v>477</v>
      </c>
      <c r="E1152" s="3" t="s">
        <v>13</v>
      </c>
      <c r="F1152" s="3">
        <v>0.14</v>
      </c>
      <c r="G1152" s="3">
        <v>380</v>
      </c>
      <c r="H1152" s="3">
        <f t="shared" si="20"/>
        <v>53.2</v>
      </c>
      <c r="I1152" s="3"/>
      <c r="J1152" s="3">
        <v>9.14</v>
      </c>
    </row>
    <row r="1153" customHeight="1" spans="1:10">
      <c r="A1153" s="3">
        <v>1203</v>
      </c>
      <c r="B1153" s="3" t="s">
        <v>190</v>
      </c>
      <c r="C1153" s="3" t="s">
        <v>177</v>
      </c>
      <c r="D1153" s="3" t="s">
        <v>477</v>
      </c>
      <c r="E1153" s="3" t="s">
        <v>13</v>
      </c>
      <c r="F1153" s="3">
        <v>0.14</v>
      </c>
      <c r="G1153" s="3">
        <v>380</v>
      </c>
      <c r="H1153" s="3">
        <f t="shared" si="20"/>
        <v>53.2</v>
      </c>
      <c r="I1153" s="3"/>
      <c r="J1153" s="3">
        <v>9.14</v>
      </c>
    </row>
    <row r="1154" customHeight="1" spans="1:10">
      <c r="A1154" s="3">
        <v>1204</v>
      </c>
      <c r="B1154" s="3" t="s">
        <v>220</v>
      </c>
      <c r="C1154" s="3" t="s">
        <v>177</v>
      </c>
      <c r="D1154" s="3" t="s">
        <v>477</v>
      </c>
      <c r="E1154" s="3" t="s">
        <v>13</v>
      </c>
      <c r="F1154" s="3">
        <v>0.06</v>
      </c>
      <c r="G1154" s="3">
        <v>380</v>
      </c>
      <c r="H1154" s="3">
        <f t="shared" si="20"/>
        <v>22.8</v>
      </c>
      <c r="I1154" s="3"/>
      <c r="J1154" s="3">
        <v>9.14</v>
      </c>
    </row>
    <row r="1155" customHeight="1" spans="1:10">
      <c r="A1155" s="3">
        <v>1205</v>
      </c>
      <c r="B1155" s="3" t="s">
        <v>478</v>
      </c>
      <c r="C1155" s="3" t="s">
        <v>177</v>
      </c>
      <c r="D1155" s="3" t="s">
        <v>477</v>
      </c>
      <c r="E1155" s="3" t="s">
        <v>13</v>
      </c>
      <c r="F1155" s="3">
        <v>0.1</v>
      </c>
      <c r="G1155" s="3">
        <v>380</v>
      </c>
      <c r="H1155" s="3">
        <f t="shared" si="20"/>
        <v>38</v>
      </c>
      <c r="I1155" s="3"/>
      <c r="J1155" s="3">
        <v>9.14</v>
      </c>
    </row>
    <row r="1156" customHeight="1" spans="1:10">
      <c r="A1156" s="3">
        <v>1206</v>
      </c>
      <c r="B1156" s="3" t="s">
        <v>189</v>
      </c>
      <c r="C1156" s="3" t="s">
        <v>177</v>
      </c>
      <c r="D1156" s="3" t="s">
        <v>477</v>
      </c>
      <c r="E1156" s="3" t="s">
        <v>13</v>
      </c>
      <c r="F1156" s="3">
        <v>0.62</v>
      </c>
      <c r="G1156" s="3">
        <v>380</v>
      </c>
      <c r="H1156" s="3">
        <f t="shared" ref="H1156:H1217" si="21">G1156*F1156</f>
        <v>235.6</v>
      </c>
      <c r="I1156" s="3"/>
      <c r="J1156" s="3">
        <v>9.14</v>
      </c>
    </row>
    <row r="1157" customHeight="1" spans="1:10">
      <c r="A1157" s="3">
        <v>1207</v>
      </c>
      <c r="B1157" s="3" t="s">
        <v>220</v>
      </c>
      <c r="C1157" s="3" t="s">
        <v>177</v>
      </c>
      <c r="D1157" s="3" t="s">
        <v>477</v>
      </c>
      <c r="E1157" s="3" t="s">
        <v>13</v>
      </c>
      <c r="F1157" s="3">
        <v>0.2</v>
      </c>
      <c r="G1157" s="3">
        <v>380</v>
      </c>
      <c r="H1157" s="3">
        <f t="shared" si="21"/>
        <v>76</v>
      </c>
      <c r="I1157" s="3"/>
      <c r="J1157" s="3">
        <v>9.14</v>
      </c>
    </row>
    <row r="1158" customHeight="1" spans="1:10">
      <c r="A1158" s="3">
        <v>1208</v>
      </c>
      <c r="B1158" s="3" t="s">
        <v>436</v>
      </c>
      <c r="C1158" s="3" t="s">
        <v>177</v>
      </c>
      <c r="D1158" s="3" t="s">
        <v>477</v>
      </c>
      <c r="E1158" s="3" t="s">
        <v>13</v>
      </c>
      <c r="F1158" s="3">
        <v>0.15</v>
      </c>
      <c r="G1158" s="3">
        <v>380</v>
      </c>
      <c r="H1158" s="3">
        <f t="shared" si="21"/>
        <v>57</v>
      </c>
      <c r="I1158" s="3"/>
      <c r="J1158" s="3">
        <v>9.14</v>
      </c>
    </row>
    <row r="1159" customHeight="1" spans="1:10">
      <c r="A1159" s="3">
        <v>1209</v>
      </c>
      <c r="B1159" s="3" t="s">
        <v>190</v>
      </c>
      <c r="C1159" s="3" t="s">
        <v>177</v>
      </c>
      <c r="D1159" s="3" t="s">
        <v>477</v>
      </c>
      <c r="E1159" s="3" t="s">
        <v>13</v>
      </c>
      <c r="F1159" s="3">
        <v>0.23</v>
      </c>
      <c r="G1159" s="3">
        <v>380</v>
      </c>
      <c r="H1159" s="3">
        <f t="shared" si="21"/>
        <v>87.4</v>
      </c>
      <c r="I1159" s="3"/>
      <c r="J1159" s="3">
        <v>9.14</v>
      </c>
    </row>
    <row r="1160" customHeight="1" spans="1:10">
      <c r="A1160" s="3">
        <v>1210</v>
      </c>
      <c r="B1160" s="3" t="s">
        <v>446</v>
      </c>
      <c r="C1160" s="3" t="s">
        <v>177</v>
      </c>
      <c r="D1160" s="3" t="s">
        <v>477</v>
      </c>
      <c r="E1160" s="3" t="s">
        <v>13</v>
      </c>
      <c r="F1160" s="3">
        <v>0.24</v>
      </c>
      <c r="G1160" s="3">
        <v>380</v>
      </c>
      <c r="H1160" s="3">
        <f t="shared" si="21"/>
        <v>91.2</v>
      </c>
      <c r="I1160" s="3"/>
      <c r="J1160" s="3">
        <v>9.14</v>
      </c>
    </row>
    <row r="1161" customHeight="1" spans="1:10">
      <c r="A1161" s="3">
        <v>1211</v>
      </c>
      <c r="B1161" s="3" t="s">
        <v>179</v>
      </c>
      <c r="C1161" s="3" t="s">
        <v>177</v>
      </c>
      <c r="D1161" s="3" t="s">
        <v>477</v>
      </c>
      <c r="E1161" s="3" t="s">
        <v>13</v>
      </c>
      <c r="F1161" s="3">
        <v>0.1</v>
      </c>
      <c r="G1161" s="3">
        <v>380</v>
      </c>
      <c r="H1161" s="3">
        <f t="shared" si="21"/>
        <v>38</v>
      </c>
      <c r="I1161" s="3"/>
      <c r="J1161" s="3">
        <v>9.14</v>
      </c>
    </row>
    <row r="1162" customHeight="1" spans="1:10">
      <c r="A1162" s="3">
        <v>1212</v>
      </c>
      <c r="B1162" s="3" t="s">
        <v>441</v>
      </c>
      <c r="C1162" s="3" t="s">
        <v>177</v>
      </c>
      <c r="D1162" s="3" t="s">
        <v>477</v>
      </c>
      <c r="E1162" s="3" t="s">
        <v>13</v>
      </c>
      <c r="F1162" s="3">
        <v>0.28</v>
      </c>
      <c r="G1162" s="3">
        <v>380</v>
      </c>
      <c r="H1162" s="3">
        <f t="shared" si="21"/>
        <v>106.4</v>
      </c>
      <c r="I1162" s="3"/>
      <c r="J1162" s="3">
        <v>9.14</v>
      </c>
    </row>
    <row r="1163" customHeight="1" spans="1:10">
      <c r="A1163" s="3">
        <v>1213</v>
      </c>
      <c r="B1163" s="3" t="s">
        <v>191</v>
      </c>
      <c r="C1163" s="3" t="s">
        <v>177</v>
      </c>
      <c r="D1163" s="3" t="s">
        <v>477</v>
      </c>
      <c r="E1163" s="3" t="s">
        <v>13</v>
      </c>
      <c r="F1163" s="3">
        <v>0.3</v>
      </c>
      <c r="G1163" s="3">
        <v>380</v>
      </c>
      <c r="H1163" s="3">
        <f t="shared" si="21"/>
        <v>114</v>
      </c>
      <c r="I1163" s="3"/>
      <c r="J1163" s="3">
        <v>9.14</v>
      </c>
    </row>
    <row r="1164" customHeight="1" spans="1:10">
      <c r="A1164" s="3">
        <v>1214</v>
      </c>
      <c r="B1164" s="3" t="s">
        <v>176</v>
      </c>
      <c r="C1164" s="3" t="s">
        <v>177</v>
      </c>
      <c r="D1164" s="3" t="s">
        <v>473</v>
      </c>
      <c r="E1164" s="3" t="s">
        <v>13</v>
      </c>
      <c r="F1164" s="3">
        <v>0.26</v>
      </c>
      <c r="G1164" s="3">
        <v>380</v>
      </c>
      <c r="H1164" s="3">
        <f t="shared" si="21"/>
        <v>98.8</v>
      </c>
      <c r="I1164" s="3"/>
      <c r="J1164" s="3">
        <v>9.14</v>
      </c>
    </row>
    <row r="1165" customHeight="1" spans="1:10">
      <c r="A1165" s="3">
        <v>1215</v>
      </c>
      <c r="B1165" s="3" t="s">
        <v>446</v>
      </c>
      <c r="C1165" s="3" t="s">
        <v>177</v>
      </c>
      <c r="D1165" s="3" t="s">
        <v>154</v>
      </c>
      <c r="E1165" s="3" t="s">
        <v>13</v>
      </c>
      <c r="F1165" s="3">
        <v>0.6</v>
      </c>
      <c r="G1165" s="3">
        <v>380</v>
      </c>
      <c r="H1165" s="3">
        <f t="shared" si="21"/>
        <v>228</v>
      </c>
      <c r="I1165" s="3"/>
      <c r="J1165" s="3">
        <v>9.14</v>
      </c>
    </row>
    <row r="1166" customHeight="1" spans="1:10">
      <c r="A1166" s="3">
        <v>1216</v>
      </c>
      <c r="B1166" s="3" t="s">
        <v>176</v>
      </c>
      <c r="C1166" s="3" t="s">
        <v>177</v>
      </c>
      <c r="D1166" s="3" t="s">
        <v>329</v>
      </c>
      <c r="E1166" s="3" t="s">
        <v>13</v>
      </c>
      <c r="F1166" s="3">
        <v>0.24</v>
      </c>
      <c r="G1166" s="3">
        <v>380</v>
      </c>
      <c r="H1166" s="3">
        <f t="shared" si="21"/>
        <v>91.2</v>
      </c>
      <c r="I1166" s="3"/>
      <c r="J1166" s="3">
        <v>9.14</v>
      </c>
    </row>
    <row r="1167" customHeight="1" spans="1:10">
      <c r="A1167" s="3">
        <v>1217</v>
      </c>
      <c r="B1167" s="3" t="s">
        <v>221</v>
      </c>
      <c r="C1167" s="3" t="s">
        <v>177</v>
      </c>
      <c r="D1167" s="3" t="s">
        <v>467</v>
      </c>
      <c r="E1167" s="3" t="s">
        <v>13</v>
      </c>
      <c r="F1167" s="3">
        <v>0.7</v>
      </c>
      <c r="G1167" s="3">
        <v>380</v>
      </c>
      <c r="H1167" s="3">
        <f t="shared" si="21"/>
        <v>266</v>
      </c>
      <c r="I1167" s="3"/>
      <c r="J1167" s="3">
        <v>9.14</v>
      </c>
    </row>
    <row r="1168" customHeight="1" spans="1:10">
      <c r="A1168" s="3">
        <v>1218</v>
      </c>
      <c r="B1168" s="3" t="s">
        <v>222</v>
      </c>
      <c r="C1168" s="3" t="s">
        <v>177</v>
      </c>
      <c r="D1168" s="3" t="s">
        <v>473</v>
      </c>
      <c r="E1168" s="3" t="s">
        <v>13</v>
      </c>
      <c r="F1168" s="3">
        <v>0.08</v>
      </c>
      <c r="G1168" s="3">
        <v>380</v>
      </c>
      <c r="H1168" s="3">
        <f t="shared" si="21"/>
        <v>30.4</v>
      </c>
      <c r="I1168" s="3"/>
      <c r="J1168" s="3">
        <v>9.14</v>
      </c>
    </row>
    <row r="1169" customHeight="1" spans="1:10">
      <c r="A1169" s="3">
        <v>1219</v>
      </c>
      <c r="B1169" s="3" t="s">
        <v>191</v>
      </c>
      <c r="C1169" s="3" t="s">
        <v>177</v>
      </c>
      <c r="D1169" s="3" t="s">
        <v>473</v>
      </c>
      <c r="E1169" s="3" t="s">
        <v>13</v>
      </c>
      <c r="F1169" s="3">
        <v>0.08</v>
      </c>
      <c r="G1169" s="3">
        <v>380</v>
      </c>
      <c r="H1169" s="3">
        <f t="shared" si="21"/>
        <v>30.4</v>
      </c>
      <c r="I1169" s="3"/>
      <c r="J1169" s="3">
        <v>9.14</v>
      </c>
    </row>
    <row r="1170" customHeight="1" spans="1:10">
      <c r="A1170" s="3">
        <v>1220</v>
      </c>
      <c r="B1170" s="3" t="s">
        <v>200</v>
      </c>
      <c r="C1170" s="3" t="s">
        <v>177</v>
      </c>
      <c r="D1170" s="3" t="s">
        <v>473</v>
      </c>
      <c r="E1170" s="3" t="s">
        <v>13</v>
      </c>
      <c r="F1170" s="3">
        <v>0.08</v>
      </c>
      <c r="G1170" s="3">
        <v>380</v>
      </c>
      <c r="H1170" s="3">
        <f t="shared" si="21"/>
        <v>30.4</v>
      </c>
      <c r="I1170" s="3"/>
      <c r="J1170" s="3">
        <v>9.14</v>
      </c>
    </row>
    <row r="1171" customHeight="1" spans="1:10">
      <c r="A1171" s="3">
        <v>1221</v>
      </c>
      <c r="B1171" s="3" t="s">
        <v>222</v>
      </c>
      <c r="C1171" s="3" t="s">
        <v>177</v>
      </c>
      <c r="D1171" s="3" t="s">
        <v>479</v>
      </c>
      <c r="E1171" s="3" t="s">
        <v>13</v>
      </c>
      <c r="F1171" s="3">
        <v>0.82</v>
      </c>
      <c r="G1171" s="3">
        <v>380</v>
      </c>
      <c r="H1171" s="3">
        <f t="shared" si="21"/>
        <v>311.6</v>
      </c>
      <c r="I1171" s="3"/>
      <c r="J1171" s="3">
        <v>9.14</v>
      </c>
    </row>
    <row r="1172" customHeight="1" spans="1:10">
      <c r="A1172" s="3">
        <v>1222</v>
      </c>
      <c r="B1172" s="3" t="s">
        <v>209</v>
      </c>
      <c r="C1172" s="3" t="s">
        <v>177</v>
      </c>
      <c r="D1172" s="3" t="s">
        <v>421</v>
      </c>
      <c r="E1172" s="3" t="s">
        <v>13</v>
      </c>
      <c r="F1172" s="3">
        <v>2.2</v>
      </c>
      <c r="G1172" s="3">
        <v>380</v>
      </c>
      <c r="H1172" s="3">
        <f t="shared" si="21"/>
        <v>836</v>
      </c>
      <c r="I1172" s="3"/>
      <c r="J1172" s="3">
        <v>9.14</v>
      </c>
    </row>
    <row r="1173" customHeight="1" spans="1:10">
      <c r="A1173" s="3">
        <v>1223</v>
      </c>
      <c r="B1173" s="3" t="s">
        <v>181</v>
      </c>
      <c r="C1173" s="3" t="s">
        <v>177</v>
      </c>
      <c r="D1173" s="3" t="s">
        <v>479</v>
      </c>
      <c r="E1173" s="3" t="s">
        <v>13</v>
      </c>
      <c r="F1173" s="3">
        <v>0.35</v>
      </c>
      <c r="G1173" s="3">
        <v>380</v>
      </c>
      <c r="H1173" s="3">
        <f t="shared" si="21"/>
        <v>133</v>
      </c>
      <c r="I1173" s="3"/>
      <c r="J1173" s="3">
        <v>9.14</v>
      </c>
    </row>
    <row r="1174" customHeight="1" spans="1:10">
      <c r="A1174" s="3">
        <v>1224</v>
      </c>
      <c r="B1174" s="3" t="s">
        <v>436</v>
      </c>
      <c r="C1174" s="3" t="s">
        <v>177</v>
      </c>
      <c r="D1174" s="3" t="s">
        <v>450</v>
      </c>
      <c r="E1174" s="3" t="s">
        <v>13</v>
      </c>
      <c r="F1174" s="3">
        <v>0.33</v>
      </c>
      <c r="G1174" s="3">
        <v>380</v>
      </c>
      <c r="H1174" s="3">
        <f t="shared" si="21"/>
        <v>125.4</v>
      </c>
      <c r="I1174" s="3"/>
      <c r="J1174" s="3">
        <v>9.14</v>
      </c>
    </row>
    <row r="1175" customHeight="1" spans="1:10">
      <c r="A1175" s="3">
        <v>1225</v>
      </c>
      <c r="B1175" s="3" t="s">
        <v>220</v>
      </c>
      <c r="C1175" s="3" t="s">
        <v>177</v>
      </c>
      <c r="D1175" s="3" t="s">
        <v>450</v>
      </c>
      <c r="E1175" s="3" t="s">
        <v>13</v>
      </c>
      <c r="F1175" s="3">
        <v>0.85</v>
      </c>
      <c r="G1175" s="3">
        <v>380</v>
      </c>
      <c r="H1175" s="3">
        <f t="shared" si="21"/>
        <v>323</v>
      </c>
      <c r="I1175" s="3"/>
      <c r="J1175" s="3">
        <v>9.14</v>
      </c>
    </row>
    <row r="1176" customHeight="1" spans="1:10">
      <c r="A1176" s="3">
        <v>1226</v>
      </c>
      <c r="B1176" s="3" t="s">
        <v>448</v>
      </c>
      <c r="C1176" s="3" t="s">
        <v>177</v>
      </c>
      <c r="D1176" s="3" t="s">
        <v>215</v>
      </c>
      <c r="E1176" s="3" t="s">
        <v>22</v>
      </c>
      <c r="F1176" s="3">
        <v>1.43</v>
      </c>
      <c r="G1176" s="3">
        <v>480</v>
      </c>
      <c r="H1176" s="3">
        <f t="shared" si="21"/>
        <v>686.4</v>
      </c>
      <c r="I1176" s="3"/>
      <c r="J1176" s="3">
        <v>9.14</v>
      </c>
    </row>
    <row r="1177" customHeight="1" spans="1:10">
      <c r="A1177" s="3">
        <v>1227</v>
      </c>
      <c r="B1177" s="3" t="s">
        <v>480</v>
      </c>
      <c r="C1177" s="3" t="s">
        <v>177</v>
      </c>
      <c r="D1177" s="3" t="s">
        <v>213</v>
      </c>
      <c r="E1177" s="3" t="s">
        <v>22</v>
      </c>
      <c r="F1177" s="3">
        <v>0.29</v>
      </c>
      <c r="G1177" s="3">
        <v>480</v>
      </c>
      <c r="H1177" s="3">
        <f t="shared" si="21"/>
        <v>139.2</v>
      </c>
      <c r="I1177" s="3"/>
      <c r="J1177" s="3">
        <v>9.14</v>
      </c>
    </row>
    <row r="1178" customHeight="1" spans="1:10">
      <c r="A1178" s="3">
        <v>1228</v>
      </c>
      <c r="B1178" s="3" t="s">
        <v>201</v>
      </c>
      <c r="C1178" s="3" t="s">
        <v>177</v>
      </c>
      <c r="D1178" s="25" t="s">
        <v>213</v>
      </c>
      <c r="E1178" s="3" t="s">
        <v>22</v>
      </c>
      <c r="F1178" s="3">
        <v>0.4</v>
      </c>
      <c r="G1178" s="3">
        <v>480</v>
      </c>
      <c r="H1178" s="3">
        <f t="shared" si="21"/>
        <v>192</v>
      </c>
      <c r="I1178" s="3"/>
      <c r="J1178" s="3">
        <v>9.14</v>
      </c>
    </row>
    <row r="1179" customHeight="1" spans="1:10">
      <c r="A1179" s="3">
        <v>1229</v>
      </c>
      <c r="B1179" s="3" t="s">
        <v>480</v>
      </c>
      <c r="C1179" s="3" t="s">
        <v>177</v>
      </c>
      <c r="D1179" s="3" t="s">
        <v>240</v>
      </c>
      <c r="E1179" s="3" t="s">
        <v>22</v>
      </c>
      <c r="F1179" s="3">
        <v>0.02</v>
      </c>
      <c r="G1179" s="3">
        <v>480</v>
      </c>
      <c r="H1179" s="3">
        <f t="shared" si="21"/>
        <v>9.6</v>
      </c>
      <c r="I1179" s="3"/>
      <c r="J1179" s="3">
        <v>9.14</v>
      </c>
    </row>
    <row r="1180" customHeight="1" spans="1:10">
      <c r="A1180" s="3">
        <v>1230</v>
      </c>
      <c r="B1180" s="3" t="s">
        <v>218</v>
      </c>
      <c r="C1180" s="3" t="s">
        <v>177</v>
      </c>
      <c r="D1180" s="3" t="s">
        <v>229</v>
      </c>
      <c r="E1180" s="3" t="s">
        <v>22</v>
      </c>
      <c r="F1180" s="3">
        <v>0.42</v>
      </c>
      <c r="G1180" s="3">
        <v>480</v>
      </c>
      <c r="H1180" s="3">
        <f t="shared" si="21"/>
        <v>201.6</v>
      </c>
      <c r="I1180" s="3"/>
      <c r="J1180" s="3">
        <v>9.14</v>
      </c>
    </row>
    <row r="1181" customHeight="1" spans="1:10">
      <c r="A1181" s="3">
        <v>1231</v>
      </c>
      <c r="B1181" s="3" t="s">
        <v>201</v>
      </c>
      <c r="C1181" s="3" t="s">
        <v>177</v>
      </c>
      <c r="D1181" s="25" t="s">
        <v>229</v>
      </c>
      <c r="E1181" s="3" t="s">
        <v>22</v>
      </c>
      <c r="F1181" s="3">
        <v>0.44</v>
      </c>
      <c r="G1181" s="3">
        <v>480</v>
      </c>
      <c r="H1181" s="3">
        <f t="shared" si="21"/>
        <v>211.2</v>
      </c>
      <c r="I1181" s="3"/>
      <c r="J1181" s="3">
        <v>9.14</v>
      </c>
    </row>
    <row r="1182" customHeight="1" spans="1:10">
      <c r="A1182" s="3">
        <v>1232</v>
      </c>
      <c r="B1182" s="3" t="s">
        <v>214</v>
      </c>
      <c r="C1182" s="3" t="s">
        <v>177</v>
      </c>
      <c r="D1182" s="3" t="s">
        <v>477</v>
      </c>
      <c r="E1182" s="3" t="s">
        <v>13</v>
      </c>
      <c r="F1182" s="3">
        <v>0.78</v>
      </c>
      <c r="G1182" s="3">
        <v>380</v>
      </c>
      <c r="H1182" s="3">
        <f t="shared" si="21"/>
        <v>296.4</v>
      </c>
      <c r="I1182" s="3"/>
      <c r="J1182" s="3">
        <v>9.14</v>
      </c>
    </row>
    <row r="1183" customHeight="1" spans="1:10">
      <c r="A1183" s="3">
        <v>1233</v>
      </c>
      <c r="B1183" s="3" t="s">
        <v>220</v>
      </c>
      <c r="C1183" s="3" t="s">
        <v>177</v>
      </c>
      <c r="D1183" s="3" t="s">
        <v>308</v>
      </c>
      <c r="E1183" s="3" t="s">
        <v>13</v>
      </c>
      <c r="F1183" s="3">
        <v>0.5</v>
      </c>
      <c r="G1183" s="3">
        <v>380</v>
      </c>
      <c r="H1183" s="3">
        <f t="shared" si="21"/>
        <v>190</v>
      </c>
      <c r="I1183" s="3"/>
      <c r="J1183" s="3">
        <v>9.14</v>
      </c>
    </row>
    <row r="1184" customHeight="1" spans="1:10">
      <c r="A1184" s="3">
        <v>1234</v>
      </c>
      <c r="B1184" s="3" t="s">
        <v>202</v>
      </c>
      <c r="C1184" s="3" t="s">
        <v>177</v>
      </c>
      <c r="D1184" s="3" t="s">
        <v>308</v>
      </c>
      <c r="E1184" s="3" t="s">
        <v>13</v>
      </c>
      <c r="F1184" s="3">
        <v>0.6</v>
      </c>
      <c r="G1184" s="3">
        <v>380</v>
      </c>
      <c r="H1184" s="3">
        <f t="shared" si="21"/>
        <v>228</v>
      </c>
      <c r="I1184" s="3"/>
      <c r="J1184" s="3">
        <v>9.14</v>
      </c>
    </row>
    <row r="1185" customHeight="1" spans="1:10">
      <c r="A1185" s="3">
        <v>1235</v>
      </c>
      <c r="B1185" s="3" t="s">
        <v>455</v>
      </c>
      <c r="C1185" s="3" t="s">
        <v>177</v>
      </c>
      <c r="D1185" s="3" t="s">
        <v>481</v>
      </c>
      <c r="E1185" s="3" t="s">
        <v>13</v>
      </c>
      <c r="F1185" s="3">
        <v>1.2</v>
      </c>
      <c r="G1185" s="3">
        <v>380</v>
      </c>
      <c r="H1185" s="3">
        <f t="shared" si="21"/>
        <v>456</v>
      </c>
      <c r="I1185" s="3"/>
      <c r="J1185" s="3">
        <v>9.14</v>
      </c>
    </row>
    <row r="1186" customHeight="1" spans="1:10">
      <c r="A1186" s="3">
        <v>1236</v>
      </c>
      <c r="B1186" s="3" t="s">
        <v>482</v>
      </c>
      <c r="C1186" s="3" t="s">
        <v>177</v>
      </c>
      <c r="D1186" s="3" t="s">
        <v>481</v>
      </c>
      <c r="E1186" s="3" t="s">
        <v>13</v>
      </c>
      <c r="F1186" s="3">
        <v>0.7</v>
      </c>
      <c r="G1186" s="3">
        <v>380</v>
      </c>
      <c r="H1186" s="3">
        <f t="shared" si="21"/>
        <v>266</v>
      </c>
      <c r="I1186" s="3"/>
      <c r="J1186" s="3">
        <v>9.14</v>
      </c>
    </row>
    <row r="1187" customHeight="1" spans="1:10">
      <c r="A1187" s="3">
        <v>1237</v>
      </c>
      <c r="B1187" s="3" t="s">
        <v>404</v>
      </c>
      <c r="C1187" s="3" t="s">
        <v>177</v>
      </c>
      <c r="D1187" s="3" t="s">
        <v>483</v>
      </c>
      <c r="E1187" s="3" t="s">
        <v>13</v>
      </c>
      <c r="F1187" s="3">
        <v>0.3</v>
      </c>
      <c r="G1187" s="3">
        <v>380</v>
      </c>
      <c r="H1187" s="3">
        <f t="shared" si="21"/>
        <v>114</v>
      </c>
      <c r="I1187" s="3"/>
      <c r="J1187" s="3">
        <v>9.14</v>
      </c>
    </row>
    <row r="1188" customHeight="1" spans="1:10">
      <c r="A1188" s="3">
        <v>1238</v>
      </c>
      <c r="B1188" s="3" t="s">
        <v>446</v>
      </c>
      <c r="C1188" s="3" t="s">
        <v>177</v>
      </c>
      <c r="D1188" s="3" t="s">
        <v>483</v>
      </c>
      <c r="E1188" s="3" t="s">
        <v>13</v>
      </c>
      <c r="F1188" s="3">
        <v>0.58</v>
      </c>
      <c r="G1188" s="3">
        <v>380</v>
      </c>
      <c r="H1188" s="3">
        <f t="shared" si="21"/>
        <v>220.4</v>
      </c>
      <c r="I1188" s="3"/>
      <c r="J1188" s="26">
        <v>9.2</v>
      </c>
    </row>
    <row r="1189" customHeight="1" spans="1:10">
      <c r="A1189" s="3">
        <v>1239</v>
      </c>
      <c r="B1189" s="3" t="s">
        <v>218</v>
      </c>
      <c r="C1189" s="3" t="s">
        <v>177</v>
      </c>
      <c r="D1189" s="3" t="s">
        <v>483</v>
      </c>
      <c r="E1189" s="3" t="s">
        <v>13</v>
      </c>
      <c r="F1189" s="3">
        <v>0.27</v>
      </c>
      <c r="G1189" s="3">
        <v>380</v>
      </c>
      <c r="H1189" s="3">
        <f t="shared" si="21"/>
        <v>102.6</v>
      </c>
      <c r="I1189" s="3"/>
      <c r="J1189" s="26">
        <v>9.2</v>
      </c>
    </row>
    <row r="1190" customHeight="1" spans="1:10">
      <c r="A1190" s="3">
        <v>1240</v>
      </c>
      <c r="B1190" s="3" t="s">
        <v>480</v>
      </c>
      <c r="C1190" s="3" t="s">
        <v>177</v>
      </c>
      <c r="D1190" s="3" t="s">
        <v>483</v>
      </c>
      <c r="E1190" s="3" t="s">
        <v>13</v>
      </c>
      <c r="F1190" s="3">
        <v>0.2</v>
      </c>
      <c r="G1190" s="3">
        <v>380</v>
      </c>
      <c r="H1190" s="3">
        <f t="shared" si="21"/>
        <v>76</v>
      </c>
      <c r="I1190" s="3"/>
      <c r="J1190" s="26">
        <v>9.2</v>
      </c>
    </row>
    <row r="1191" customHeight="1" spans="1:10">
      <c r="A1191" s="3">
        <v>1241</v>
      </c>
      <c r="B1191" s="3" t="s">
        <v>416</v>
      </c>
      <c r="C1191" s="3" t="s">
        <v>177</v>
      </c>
      <c r="D1191" s="3" t="s">
        <v>483</v>
      </c>
      <c r="E1191" s="3" t="s">
        <v>13</v>
      </c>
      <c r="F1191" s="3">
        <v>0.7</v>
      </c>
      <c r="G1191" s="3">
        <v>380</v>
      </c>
      <c r="H1191" s="3">
        <f t="shared" si="21"/>
        <v>266</v>
      </c>
      <c r="I1191" s="3"/>
      <c r="J1191" s="26">
        <v>9.2</v>
      </c>
    </row>
    <row r="1192" customHeight="1" spans="1:10">
      <c r="A1192" s="3">
        <v>1242</v>
      </c>
      <c r="B1192" s="3" t="s">
        <v>484</v>
      </c>
      <c r="C1192" s="3" t="s">
        <v>177</v>
      </c>
      <c r="D1192" s="3" t="s">
        <v>483</v>
      </c>
      <c r="E1192" s="3" t="s">
        <v>13</v>
      </c>
      <c r="F1192" s="3">
        <v>0.77</v>
      </c>
      <c r="G1192" s="3">
        <v>380</v>
      </c>
      <c r="H1192" s="3">
        <f t="shared" si="21"/>
        <v>292.6</v>
      </c>
      <c r="I1192" s="3"/>
      <c r="J1192" s="26">
        <v>9.2</v>
      </c>
    </row>
    <row r="1193" customHeight="1" spans="1:10">
      <c r="A1193" s="3">
        <v>1243</v>
      </c>
      <c r="B1193" s="3" t="s">
        <v>220</v>
      </c>
      <c r="C1193" s="3" t="s">
        <v>177</v>
      </c>
      <c r="D1193" s="3" t="s">
        <v>483</v>
      </c>
      <c r="E1193" s="3" t="s">
        <v>13</v>
      </c>
      <c r="F1193" s="3">
        <v>0.2</v>
      </c>
      <c r="G1193" s="3">
        <v>380</v>
      </c>
      <c r="H1193" s="3">
        <f t="shared" si="21"/>
        <v>76</v>
      </c>
      <c r="I1193" s="3"/>
      <c r="J1193" s="26">
        <v>9.2</v>
      </c>
    </row>
    <row r="1194" customHeight="1" spans="1:10">
      <c r="A1194" s="3">
        <v>1244</v>
      </c>
      <c r="B1194" s="3" t="s">
        <v>189</v>
      </c>
      <c r="C1194" s="3" t="s">
        <v>177</v>
      </c>
      <c r="D1194" s="3" t="s">
        <v>483</v>
      </c>
      <c r="E1194" s="3" t="s">
        <v>13</v>
      </c>
      <c r="F1194" s="3">
        <v>0.11</v>
      </c>
      <c r="G1194" s="3">
        <v>380</v>
      </c>
      <c r="H1194" s="3">
        <f t="shared" si="21"/>
        <v>41.8</v>
      </c>
      <c r="I1194" s="3"/>
      <c r="J1194" s="26">
        <v>9.2</v>
      </c>
    </row>
    <row r="1195" customHeight="1" spans="1:10">
      <c r="A1195" s="3">
        <v>1245</v>
      </c>
      <c r="B1195" s="3" t="s">
        <v>485</v>
      </c>
      <c r="C1195" s="3" t="s">
        <v>177</v>
      </c>
      <c r="D1195" s="3"/>
      <c r="E1195" s="3" t="s">
        <v>13</v>
      </c>
      <c r="F1195" s="3">
        <v>0.11</v>
      </c>
      <c r="G1195" s="3">
        <v>380</v>
      </c>
      <c r="H1195" s="3">
        <f t="shared" si="21"/>
        <v>41.8</v>
      </c>
      <c r="I1195" s="3"/>
      <c r="J1195" s="26">
        <v>9.2</v>
      </c>
    </row>
    <row r="1196" customHeight="1" spans="1:10">
      <c r="A1196" s="3">
        <v>1246</v>
      </c>
      <c r="B1196" s="3" t="s">
        <v>176</v>
      </c>
      <c r="C1196" s="3" t="s">
        <v>177</v>
      </c>
      <c r="D1196" s="3"/>
      <c r="E1196" s="3" t="s">
        <v>13</v>
      </c>
      <c r="F1196" s="3">
        <v>0.54</v>
      </c>
      <c r="G1196" s="3">
        <v>380</v>
      </c>
      <c r="H1196" s="3">
        <f t="shared" si="21"/>
        <v>205.2</v>
      </c>
      <c r="I1196" s="3"/>
      <c r="J1196" s="26">
        <v>9.2</v>
      </c>
    </row>
    <row r="1197" customHeight="1" spans="1:10">
      <c r="A1197" s="3">
        <v>1247</v>
      </c>
      <c r="B1197" s="3" t="s">
        <v>189</v>
      </c>
      <c r="C1197" s="3" t="s">
        <v>177</v>
      </c>
      <c r="D1197" s="3" t="s">
        <v>154</v>
      </c>
      <c r="E1197" s="3" t="s">
        <v>13</v>
      </c>
      <c r="F1197" s="3">
        <v>0.21</v>
      </c>
      <c r="G1197" s="3">
        <v>380</v>
      </c>
      <c r="H1197" s="3">
        <f t="shared" si="21"/>
        <v>79.8</v>
      </c>
      <c r="I1197" s="3"/>
      <c r="J1197" s="26">
        <v>9.2</v>
      </c>
    </row>
    <row r="1198" customHeight="1" spans="1:10">
      <c r="A1198" s="3">
        <v>1248</v>
      </c>
      <c r="B1198" s="3" t="s">
        <v>189</v>
      </c>
      <c r="C1198" s="3" t="s">
        <v>177</v>
      </c>
      <c r="D1198" s="3" t="s">
        <v>486</v>
      </c>
      <c r="E1198" s="3" t="s">
        <v>13</v>
      </c>
      <c r="F1198" s="3">
        <v>0.31</v>
      </c>
      <c r="G1198" s="3">
        <v>380</v>
      </c>
      <c r="H1198" s="3">
        <f t="shared" si="21"/>
        <v>117.8</v>
      </c>
      <c r="I1198" s="3"/>
      <c r="J1198" s="26">
        <v>9.2</v>
      </c>
    </row>
    <row r="1199" customHeight="1" spans="1:10">
      <c r="A1199" s="3">
        <v>1249</v>
      </c>
      <c r="B1199" s="3" t="s">
        <v>487</v>
      </c>
      <c r="C1199" s="3" t="s">
        <v>177</v>
      </c>
      <c r="D1199" s="3" t="s">
        <v>488</v>
      </c>
      <c r="E1199" s="3" t="s">
        <v>13</v>
      </c>
      <c r="F1199" s="3">
        <v>2.08</v>
      </c>
      <c r="G1199" s="3">
        <v>380</v>
      </c>
      <c r="H1199" s="3">
        <f t="shared" si="21"/>
        <v>790.4</v>
      </c>
      <c r="I1199" s="3"/>
      <c r="J1199" s="26">
        <v>9.2</v>
      </c>
    </row>
    <row r="1200" customHeight="1" spans="1:10">
      <c r="A1200" s="3">
        <v>1250</v>
      </c>
      <c r="B1200" s="3" t="s">
        <v>179</v>
      </c>
      <c r="C1200" s="3" t="s">
        <v>177</v>
      </c>
      <c r="D1200" s="3" t="s">
        <v>486</v>
      </c>
      <c r="E1200" s="3" t="s">
        <v>13</v>
      </c>
      <c r="F1200" s="3">
        <v>2.08</v>
      </c>
      <c r="G1200" s="3">
        <v>380</v>
      </c>
      <c r="H1200" s="3">
        <f t="shared" si="21"/>
        <v>790.4</v>
      </c>
      <c r="I1200" s="3"/>
      <c r="J1200" s="26">
        <v>9.2</v>
      </c>
    </row>
    <row r="1201" customHeight="1" spans="1:10">
      <c r="A1201" s="3">
        <v>1251</v>
      </c>
      <c r="B1201" s="3" t="s">
        <v>218</v>
      </c>
      <c r="C1201" s="3" t="s">
        <v>177</v>
      </c>
      <c r="D1201" s="3" t="s">
        <v>486</v>
      </c>
      <c r="E1201" s="3" t="s">
        <v>13</v>
      </c>
      <c r="F1201" s="3">
        <v>0.9</v>
      </c>
      <c r="G1201" s="3">
        <v>380</v>
      </c>
      <c r="H1201" s="3">
        <f t="shared" si="21"/>
        <v>342</v>
      </c>
      <c r="I1201" s="3"/>
      <c r="J1201" s="26">
        <v>9.2</v>
      </c>
    </row>
    <row r="1202" customHeight="1" spans="1:10">
      <c r="A1202" s="3">
        <v>1252</v>
      </c>
      <c r="B1202" s="3" t="s">
        <v>414</v>
      </c>
      <c r="C1202" s="3" t="s">
        <v>177</v>
      </c>
      <c r="D1202" s="3" t="s">
        <v>486</v>
      </c>
      <c r="E1202" s="3" t="s">
        <v>13</v>
      </c>
      <c r="F1202" s="3">
        <v>0.43</v>
      </c>
      <c r="G1202" s="3">
        <v>380</v>
      </c>
      <c r="H1202" s="3">
        <f t="shared" si="21"/>
        <v>163.4</v>
      </c>
      <c r="I1202" s="3"/>
      <c r="J1202" s="26">
        <v>9.2</v>
      </c>
    </row>
    <row r="1203" customHeight="1" spans="1:10">
      <c r="A1203" s="3">
        <v>1253</v>
      </c>
      <c r="B1203" s="3" t="s">
        <v>416</v>
      </c>
      <c r="C1203" s="3" t="s">
        <v>177</v>
      </c>
      <c r="D1203" s="3" t="s">
        <v>486</v>
      </c>
      <c r="E1203" s="3" t="s">
        <v>13</v>
      </c>
      <c r="F1203" s="3">
        <v>0.15</v>
      </c>
      <c r="G1203" s="3">
        <v>380</v>
      </c>
      <c r="H1203" s="3">
        <f t="shared" si="21"/>
        <v>57</v>
      </c>
      <c r="I1203" s="3"/>
      <c r="J1203" s="26">
        <v>9.2</v>
      </c>
    </row>
    <row r="1204" customHeight="1" spans="1:10">
      <c r="A1204" s="3">
        <v>1254</v>
      </c>
      <c r="B1204" s="3" t="s">
        <v>211</v>
      </c>
      <c r="C1204" s="3" t="s">
        <v>177</v>
      </c>
      <c r="D1204" s="3" t="s">
        <v>154</v>
      </c>
      <c r="E1204" s="3" t="s">
        <v>13</v>
      </c>
      <c r="F1204" s="3">
        <v>0.49</v>
      </c>
      <c r="G1204" s="3">
        <v>380</v>
      </c>
      <c r="H1204" s="3">
        <f t="shared" si="21"/>
        <v>186.2</v>
      </c>
      <c r="I1204" s="3"/>
      <c r="J1204" s="26">
        <v>9.2</v>
      </c>
    </row>
    <row r="1205" customHeight="1" spans="1:10">
      <c r="A1205" s="3">
        <v>1255</v>
      </c>
      <c r="B1205" s="3" t="s">
        <v>191</v>
      </c>
      <c r="C1205" s="3" t="s">
        <v>177</v>
      </c>
      <c r="D1205" s="3" t="s">
        <v>154</v>
      </c>
      <c r="E1205" s="3" t="s">
        <v>13</v>
      </c>
      <c r="F1205" s="3">
        <v>0.7</v>
      </c>
      <c r="G1205" s="3">
        <v>380</v>
      </c>
      <c r="H1205" s="3">
        <f t="shared" si="21"/>
        <v>266</v>
      </c>
      <c r="I1205" s="3"/>
      <c r="J1205" s="26">
        <v>9.2</v>
      </c>
    </row>
    <row r="1206" customHeight="1" spans="1:10">
      <c r="A1206" s="3">
        <v>1256</v>
      </c>
      <c r="B1206" s="3" t="s">
        <v>452</v>
      </c>
      <c r="C1206" s="3" t="s">
        <v>177</v>
      </c>
      <c r="D1206" s="3" t="s">
        <v>489</v>
      </c>
      <c r="E1206" s="3" t="s">
        <v>13</v>
      </c>
      <c r="F1206" s="3">
        <v>0.3</v>
      </c>
      <c r="G1206" s="3">
        <v>380</v>
      </c>
      <c r="H1206" s="3">
        <f t="shared" si="21"/>
        <v>114</v>
      </c>
      <c r="I1206" s="3"/>
      <c r="J1206" s="26">
        <v>9.2</v>
      </c>
    </row>
    <row r="1207" customHeight="1" spans="1:10">
      <c r="A1207" s="3">
        <v>1257</v>
      </c>
      <c r="B1207" s="3" t="s">
        <v>189</v>
      </c>
      <c r="C1207" s="3" t="s">
        <v>177</v>
      </c>
      <c r="D1207" s="3" t="s">
        <v>154</v>
      </c>
      <c r="E1207" s="3" t="s">
        <v>13</v>
      </c>
      <c r="F1207" s="3">
        <v>0.2</v>
      </c>
      <c r="G1207" s="3">
        <v>380</v>
      </c>
      <c r="H1207" s="3">
        <f t="shared" si="21"/>
        <v>76</v>
      </c>
      <c r="I1207" s="3"/>
      <c r="J1207" s="26">
        <v>9.2</v>
      </c>
    </row>
    <row r="1208" customHeight="1" spans="1:10">
      <c r="A1208" s="3">
        <v>1258</v>
      </c>
      <c r="B1208" s="3" t="s">
        <v>416</v>
      </c>
      <c r="C1208" s="3" t="s">
        <v>177</v>
      </c>
      <c r="D1208" s="3" t="s">
        <v>154</v>
      </c>
      <c r="E1208" s="3" t="s">
        <v>13</v>
      </c>
      <c r="F1208" s="3">
        <v>1.01</v>
      </c>
      <c r="G1208" s="3">
        <v>380</v>
      </c>
      <c r="H1208" s="3">
        <f t="shared" si="21"/>
        <v>383.8</v>
      </c>
      <c r="I1208" s="3"/>
      <c r="J1208" s="26">
        <v>9.2</v>
      </c>
    </row>
    <row r="1209" customHeight="1" spans="1:10">
      <c r="A1209" s="3">
        <v>1259</v>
      </c>
      <c r="B1209" s="3" t="s">
        <v>206</v>
      </c>
      <c r="C1209" s="3" t="s">
        <v>177</v>
      </c>
      <c r="D1209" s="3" t="s">
        <v>490</v>
      </c>
      <c r="E1209" s="3" t="s">
        <v>13</v>
      </c>
      <c r="F1209" s="3">
        <v>0.08</v>
      </c>
      <c r="G1209" s="3">
        <v>380</v>
      </c>
      <c r="H1209" s="3">
        <f t="shared" si="21"/>
        <v>30.4</v>
      </c>
      <c r="I1209" s="3"/>
      <c r="J1209" s="26">
        <v>9.2</v>
      </c>
    </row>
    <row r="1210" customHeight="1" spans="1:10">
      <c r="A1210" s="3">
        <v>1260</v>
      </c>
      <c r="B1210" s="3" t="s">
        <v>180</v>
      </c>
      <c r="C1210" s="3" t="s">
        <v>177</v>
      </c>
      <c r="D1210" s="3" t="s">
        <v>490</v>
      </c>
      <c r="E1210" s="3" t="s">
        <v>13</v>
      </c>
      <c r="F1210" s="3">
        <v>1.54</v>
      </c>
      <c r="G1210" s="3">
        <v>380</v>
      </c>
      <c r="H1210" s="3">
        <f t="shared" si="21"/>
        <v>585.2</v>
      </c>
      <c r="I1210" s="3"/>
      <c r="J1210" s="26">
        <v>9.2</v>
      </c>
    </row>
    <row r="1211" customHeight="1" spans="1:10">
      <c r="A1211" s="3">
        <v>1261</v>
      </c>
      <c r="B1211" s="3" t="s">
        <v>452</v>
      </c>
      <c r="C1211" s="3" t="s">
        <v>177</v>
      </c>
      <c r="D1211" s="3" t="s">
        <v>483</v>
      </c>
      <c r="E1211" s="3" t="s">
        <v>13</v>
      </c>
      <c r="F1211" s="3">
        <v>1</v>
      </c>
      <c r="G1211" s="3">
        <v>380</v>
      </c>
      <c r="H1211" s="3">
        <f t="shared" si="21"/>
        <v>380</v>
      </c>
      <c r="I1211" s="3"/>
      <c r="J1211" s="26">
        <v>9.2</v>
      </c>
    </row>
    <row r="1212" customHeight="1" spans="1:10">
      <c r="A1212" s="3">
        <v>1262</v>
      </c>
      <c r="B1212" s="3" t="s">
        <v>187</v>
      </c>
      <c r="C1212" s="3" t="s">
        <v>177</v>
      </c>
      <c r="D1212" s="3" t="s">
        <v>483</v>
      </c>
      <c r="E1212" s="3" t="s">
        <v>13</v>
      </c>
      <c r="F1212" s="3">
        <v>1</v>
      </c>
      <c r="G1212" s="3">
        <v>380</v>
      </c>
      <c r="H1212" s="3">
        <f t="shared" si="21"/>
        <v>380</v>
      </c>
      <c r="I1212" s="3"/>
      <c r="J1212" s="26">
        <v>9.2</v>
      </c>
    </row>
    <row r="1213" customHeight="1" spans="1:10">
      <c r="A1213" s="3">
        <v>1263</v>
      </c>
      <c r="B1213" s="3" t="s">
        <v>186</v>
      </c>
      <c r="C1213" s="3" t="s">
        <v>177</v>
      </c>
      <c r="D1213" s="3"/>
      <c r="E1213" s="3" t="s">
        <v>13</v>
      </c>
      <c r="F1213" s="3">
        <v>1.06</v>
      </c>
      <c r="G1213" s="3">
        <v>380</v>
      </c>
      <c r="H1213" s="3">
        <f t="shared" si="21"/>
        <v>402.8</v>
      </c>
      <c r="I1213" s="3"/>
      <c r="J1213" s="26">
        <v>9.2</v>
      </c>
    </row>
    <row r="1214" customHeight="1" spans="1:10">
      <c r="A1214" s="3">
        <v>1264</v>
      </c>
      <c r="B1214" s="3" t="s">
        <v>223</v>
      </c>
      <c r="C1214" s="3" t="s">
        <v>177</v>
      </c>
      <c r="D1214" s="3"/>
      <c r="E1214" s="3" t="s">
        <v>13</v>
      </c>
      <c r="F1214" s="3">
        <v>0.2</v>
      </c>
      <c r="G1214" s="3">
        <v>380</v>
      </c>
      <c r="H1214" s="3">
        <f t="shared" si="21"/>
        <v>76</v>
      </c>
      <c r="I1214" s="3"/>
      <c r="J1214" s="26">
        <v>9.2</v>
      </c>
    </row>
    <row r="1215" customHeight="1" spans="1:10">
      <c r="A1215" s="3">
        <v>1265</v>
      </c>
      <c r="B1215" s="3" t="s">
        <v>211</v>
      </c>
      <c r="C1215" s="3" t="s">
        <v>177</v>
      </c>
      <c r="D1215" s="3"/>
      <c r="E1215" s="3" t="s">
        <v>13</v>
      </c>
      <c r="F1215" s="3">
        <v>0.47</v>
      </c>
      <c r="G1215" s="3">
        <v>380</v>
      </c>
      <c r="H1215" s="3">
        <f t="shared" si="21"/>
        <v>178.6</v>
      </c>
      <c r="I1215" s="3"/>
      <c r="J1215" s="26">
        <v>9.2</v>
      </c>
    </row>
    <row r="1216" customHeight="1" spans="1:10">
      <c r="A1216" s="3">
        <v>1268</v>
      </c>
      <c r="B1216" s="3" t="s">
        <v>206</v>
      </c>
      <c r="C1216" s="3" t="s">
        <v>177</v>
      </c>
      <c r="D1216" s="3"/>
      <c r="E1216" s="3" t="s">
        <v>13</v>
      </c>
      <c r="F1216" s="3">
        <v>0.2</v>
      </c>
      <c r="G1216" s="3">
        <v>380</v>
      </c>
      <c r="H1216" s="3">
        <f t="shared" si="21"/>
        <v>76</v>
      </c>
      <c r="I1216" s="3"/>
      <c r="J1216" s="26">
        <v>9.2</v>
      </c>
    </row>
    <row r="1217" customHeight="1" spans="1:10">
      <c r="A1217" s="3">
        <v>1269</v>
      </c>
      <c r="B1217" s="3" t="s">
        <v>221</v>
      </c>
      <c r="C1217" s="3" t="s">
        <v>177</v>
      </c>
      <c r="D1217" s="3"/>
      <c r="E1217" s="3" t="s">
        <v>13</v>
      </c>
      <c r="F1217" s="3">
        <v>0.6</v>
      </c>
      <c r="G1217" s="3">
        <v>380</v>
      </c>
      <c r="H1217" s="3">
        <f t="shared" si="21"/>
        <v>228</v>
      </c>
      <c r="I1217" s="3"/>
      <c r="J1217" s="26">
        <v>9.2</v>
      </c>
    </row>
    <row r="1218" customHeight="1" spans="1:10">
      <c r="A1218" s="3">
        <v>1270</v>
      </c>
      <c r="B1218" s="3" t="s">
        <v>416</v>
      </c>
      <c r="C1218" s="3" t="s">
        <v>177</v>
      </c>
      <c r="D1218" s="3"/>
      <c r="E1218" s="3" t="s">
        <v>13</v>
      </c>
      <c r="F1218" s="3">
        <v>0.2</v>
      </c>
      <c r="G1218" s="3">
        <v>380</v>
      </c>
      <c r="H1218" s="3">
        <f t="shared" ref="H1218:H1281" si="22">G1218*F1218</f>
        <v>76</v>
      </c>
      <c r="I1218" s="3"/>
      <c r="J1218" s="26">
        <v>9.2</v>
      </c>
    </row>
    <row r="1219" customHeight="1" spans="1:10">
      <c r="A1219" s="3">
        <v>1271</v>
      </c>
      <c r="B1219" s="3" t="s">
        <v>223</v>
      </c>
      <c r="C1219" s="3" t="s">
        <v>177</v>
      </c>
      <c r="D1219" s="3"/>
      <c r="E1219" s="3" t="s">
        <v>13</v>
      </c>
      <c r="F1219" s="3">
        <v>0.7</v>
      </c>
      <c r="G1219" s="3">
        <v>380</v>
      </c>
      <c r="H1219" s="3">
        <f t="shared" si="22"/>
        <v>266</v>
      </c>
      <c r="I1219" s="3"/>
      <c r="J1219" s="26">
        <v>9.2</v>
      </c>
    </row>
    <row r="1220" customHeight="1" spans="1:10">
      <c r="A1220" s="3">
        <v>1272</v>
      </c>
      <c r="B1220" s="3" t="s">
        <v>455</v>
      </c>
      <c r="C1220" s="3" t="s">
        <v>177</v>
      </c>
      <c r="D1220" s="3"/>
      <c r="E1220" s="3" t="s">
        <v>13</v>
      </c>
      <c r="F1220" s="3">
        <v>0.4</v>
      </c>
      <c r="G1220" s="3">
        <v>380</v>
      </c>
      <c r="H1220" s="3">
        <f t="shared" si="22"/>
        <v>152</v>
      </c>
      <c r="I1220" s="3"/>
      <c r="J1220" s="26">
        <v>9.2</v>
      </c>
    </row>
    <row r="1221" customHeight="1" spans="1:10">
      <c r="A1221" s="3">
        <v>1273</v>
      </c>
      <c r="B1221" s="3" t="s">
        <v>448</v>
      </c>
      <c r="C1221" s="3" t="s">
        <v>177</v>
      </c>
      <c r="D1221" s="3"/>
      <c r="E1221" s="3" t="s">
        <v>13</v>
      </c>
      <c r="F1221" s="3">
        <v>0.3</v>
      </c>
      <c r="G1221" s="3">
        <v>380</v>
      </c>
      <c r="H1221" s="3">
        <f t="shared" si="22"/>
        <v>114</v>
      </c>
      <c r="I1221" s="3"/>
      <c r="J1221" s="26">
        <v>9.2</v>
      </c>
    </row>
    <row r="1222" customHeight="1" spans="1:10">
      <c r="A1222" s="3">
        <v>1274</v>
      </c>
      <c r="B1222" s="3" t="s">
        <v>468</v>
      </c>
      <c r="C1222" s="3" t="s">
        <v>177</v>
      </c>
      <c r="D1222" s="3"/>
      <c r="E1222" s="3" t="s">
        <v>13</v>
      </c>
      <c r="F1222" s="3">
        <v>0.51</v>
      </c>
      <c r="G1222" s="3">
        <v>380</v>
      </c>
      <c r="H1222" s="3">
        <f t="shared" si="22"/>
        <v>193.8</v>
      </c>
      <c r="I1222" s="3"/>
      <c r="J1222" s="26">
        <v>9.2</v>
      </c>
    </row>
    <row r="1223" customHeight="1" spans="1:10">
      <c r="A1223" s="3">
        <v>1275</v>
      </c>
      <c r="B1223" s="3" t="s">
        <v>455</v>
      </c>
      <c r="C1223" s="3" t="s">
        <v>177</v>
      </c>
      <c r="D1223" s="3"/>
      <c r="E1223" s="3" t="s">
        <v>13</v>
      </c>
      <c r="F1223" s="3">
        <v>0.61</v>
      </c>
      <c r="G1223" s="3">
        <v>380</v>
      </c>
      <c r="H1223" s="3">
        <f t="shared" si="22"/>
        <v>231.8</v>
      </c>
      <c r="I1223" s="3"/>
      <c r="J1223" s="26">
        <v>9.2</v>
      </c>
    </row>
    <row r="1224" customHeight="1" spans="1:10">
      <c r="A1224" s="3">
        <v>1276</v>
      </c>
      <c r="B1224" s="3" t="s">
        <v>180</v>
      </c>
      <c r="C1224" s="3" t="s">
        <v>177</v>
      </c>
      <c r="D1224" s="3"/>
      <c r="E1224" s="3" t="s">
        <v>13</v>
      </c>
      <c r="F1224" s="3">
        <v>0.07</v>
      </c>
      <c r="G1224" s="3">
        <v>380</v>
      </c>
      <c r="H1224" s="3">
        <f t="shared" si="22"/>
        <v>26.6</v>
      </c>
      <c r="I1224" s="3"/>
      <c r="J1224" s="26">
        <v>9.2</v>
      </c>
    </row>
    <row r="1225" customHeight="1" spans="1:10">
      <c r="A1225" s="3">
        <v>1277</v>
      </c>
      <c r="B1225" s="3" t="s">
        <v>223</v>
      </c>
      <c r="C1225" s="3" t="s">
        <v>177</v>
      </c>
      <c r="D1225" s="3" t="s">
        <v>491</v>
      </c>
      <c r="E1225" s="3" t="s">
        <v>13</v>
      </c>
      <c r="F1225" s="3">
        <v>0.5</v>
      </c>
      <c r="G1225" s="3">
        <v>380</v>
      </c>
      <c r="H1225" s="3">
        <f t="shared" si="22"/>
        <v>190</v>
      </c>
      <c r="I1225" s="3"/>
      <c r="J1225" s="26">
        <v>9.2</v>
      </c>
    </row>
    <row r="1226" customHeight="1" spans="1:10">
      <c r="A1226" s="3">
        <v>1278</v>
      </c>
      <c r="B1226" s="3" t="s">
        <v>414</v>
      </c>
      <c r="C1226" s="3" t="s">
        <v>177</v>
      </c>
      <c r="D1226" s="3" t="s">
        <v>492</v>
      </c>
      <c r="E1226" s="3" t="s">
        <v>13</v>
      </c>
      <c r="F1226" s="3">
        <v>0.65</v>
      </c>
      <c r="G1226" s="3">
        <v>380</v>
      </c>
      <c r="H1226" s="3">
        <f t="shared" si="22"/>
        <v>247</v>
      </c>
      <c r="I1226" s="3"/>
      <c r="J1226" s="26">
        <v>9.2</v>
      </c>
    </row>
    <row r="1227" customHeight="1" spans="1:10">
      <c r="A1227" s="3">
        <v>1279</v>
      </c>
      <c r="B1227" s="3" t="s">
        <v>214</v>
      </c>
      <c r="C1227" s="3" t="s">
        <v>177</v>
      </c>
      <c r="D1227" s="3" t="s">
        <v>158</v>
      </c>
      <c r="E1227" s="3" t="s">
        <v>13</v>
      </c>
      <c r="F1227" s="3">
        <v>0.93</v>
      </c>
      <c r="G1227" s="3">
        <v>380</v>
      </c>
      <c r="H1227" s="3">
        <f t="shared" si="22"/>
        <v>353.4</v>
      </c>
      <c r="I1227" s="3"/>
      <c r="J1227" s="26">
        <v>9.2</v>
      </c>
    </row>
    <row r="1228" customHeight="1" spans="1:10">
      <c r="A1228" s="3">
        <v>1280</v>
      </c>
      <c r="B1228" s="3" t="s">
        <v>455</v>
      </c>
      <c r="C1228" s="3" t="s">
        <v>177</v>
      </c>
      <c r="D1228" s="3" t="s">
        <v>493</v>
      </c>
      <c r="E1228" s="3" t="s">
        <v>13</v>
      </c>
      <c r="F1228" s="3">
        <v>0.53</v>
      </c>
      <c r="G1228" s="3">
        <v>380</v>
      </c>
      <c r="H1228" s="3">
        <f t="shared" si="22"/>
        <v>201.4</v>
      </c>
      <c r="I1228" s="3"/>
      <c r="J1228" s="26">
        <v>9.2</v>
      </c>
    </row>
    <row r="1229" customHeight="1" spans="1:10">
      <c r="A1229" s="3">
        <v>1281</v>
      </c>
      <c r="B1229" s="3" t="s">
        <v>416</v>
      </c>
      <c r="C1229" s="3" t="s">
        <v>177</v>
      </c>
      <c r="D1229" s="3" t="s">
        <v>493</v>
      </c>
      <c r="E1229" s="3" t="s">
        <v>13</v>
      </c>
      <c r="F1229" s="3">
        <v>0.15</v>
      </c>
      <c r="G1229" s="3">
        <v>380</v>
      </c>
      <c r="H1229" s="3">
        <f t="shared" si="22"/>
        <v>57</v>
      </c>
      <c r="I1229" s="3"/>
      <c r="J1229" s="26">
        <v>9.2</v>
      </c>
    </row>
    <row r="1230" customHeight="1" spans="1:10">
      <c r="A1230" s="3">
        <v>1282</v>
      </c>
      <c r="B1230" s="3" t="s">
        <v>223</v>
      </c>
      <c r="C1230" s="3" t="s">
        <v>177</v>
      </c>
      <c r="D1230" s="3" t="s">
        <v>493</v>
      </c>
      <c r="E1230" s="3" t="s">
        <v>13</v>
      </c>
      <c r="F1230" s="3">
        <v>0.15</v>
      </c>
      <c r="G1230" s="3">
        <v>380</v>
      </c>
      <c r="H1230" s="3">
        <f t="shared" si="22"/>
        <v>57</v>
      </c>
      <c r="I1230" s="3"/>
      <c r="J1230" s="26">
        <v>9.2</v>
      </c>
    </row>
    <row r="1231" customHeight="1" spans="1:10">
      <c r="A1231" s="3">
        <v>1283</v>
      </c>
      <c r="B1231" s="3" t="s">
        <v>448</v>
      </c>
      <c r="C1231" s="3" t="s">
        <v>177</v>
      </c>
      <c r="D1231" s="3"/>
      <c r="E1231" s="3" t="s">
        <v>13</v>
      </c>
      <c r="F1231" s="3">
        <v>0.3</v>
      </c>
      <c r="G1231" s="3">
        <v>380</v>
      </c>
      <c r="H1231" s="3">
        <f t="shared" si="22"/>
        <v>114</v>
      </c>
      <c r="I1231" s="3"/>
      <c r="J1231" s="26">
        <v>9.2</v>
      </c>
    </row>
    <row r="1232" customHeight="1" spans="1:10">
      <c r="A1232" s="3">
        <v>1284</v>
      </c>
      <c r="B1232" s="3" t="s">
        <v>223</v>
      </c>
      <c r="C1232" s="3" t="s">
        <v>177</v>
      </c>
      <c r="D1232" s="3" t="s">
        <v>494</v>
      </c>
      <c r="E1232" s="3" t="s">
        <v>13</v>
      </c>
      <c r="F1232" s="3">
        <v>0.2</v>
      </c>
      <c r="G1232" s="3">
        <v>380</v>
      </c>
      <c r="H1232" s="3">
        <f t="shared" si="22"/>
        <v>76</v>
      </c>
      <c r="I1232" s="3"/>
      <c r="J1232" s="26">
        <v>9.2</v>
      </c>
    </row>
    <row r="1233" customHeight="1" spans="1:10">
      <c r="A1233" s="3">
        <v>1285</v>
      </c>
      <c r="B1233" s="3" t="s">
        <v>468</v>
      </c>
      <c r="C1233" s="3" t="s">
        <v>177</v>
      </c>
      <c r="D1233" s="3" t="s">
        <v>494</v>
      </c>
      <c r="E1233" s="3" t="s">
        <v>13</v>
      </c>
      <c r="F1233" s="3">
        <v>0.4</v>
      </c>
      <c r="G1233" s="3">
        <v>380</v>
      </c>
      <c r="H1233" s="3">
        <f t="shared" si="22"/>
        <v>152</v>
      </c>
      <c r="I1233" s="3"/>
      <c r="J1233" s="26">
        <v>9.2</v>
      </c>
    </row>
    <row r="1234" customHeight="1" spans="1:10">
      <c r="A1234" s="3">
        <v>1286</v>
      </c>
      <c r="B1234" s="3" t="s">
        <v>448</v>
      </c>
      <c r="C1234" s="3" t="s">
        <v>177</v>
      </c>
      <c r="D1234" s="3" t="s">
        <v>494</v>
      </c>
      <c r="E1234" s="3" t="s">
        <v>13</v>
      </c>
      <c r="F1234" s="3">
        <v>0.6</v>
      </c>
      <c r="G1234" s="3">
        <v>380</v>
      </c>
      <c r="H1234" s="3">
        <f t="shared" si="22"/>
        <v>228</v>
      </c>
      <c r="I1234" s="3"/>
      <c r="J1234" s="26">
        <v>9.2</v>
      </c>
    </row>
    <row r="1235" customHeight="1" spans="1:10">
      <c r="A1235" s="3">
        <v>1287</v>
      </c>
      <c r="B1235" s="3" t="s">
        <v>197</v>
      </c>
      <c r="C1235" s="3" t="s">
        <v>177</v>
      </c>
      <c r="D1235" s="3" t="s">
        <v>495</v>
      </c>
      <c r="E1235" s="3" t="s">
        <v>13</v>
      </c>
      <c r="F1235" s="3">
        <v>1.1</v>
      </c>
      <c r="G1235" s="3">
        <v>380</v>
      </c>
      <c r="H1235" s="3">
        <f t="shared" si="22"/>
        <v>418</v>
      </c>
      <c r="I1235" s="3"/>
      <c r="J1235" s="26">
        <v>9.2</v>
      </c>
    </row>
    <row r="1236" customHeight="1" spans="1:10">
      <c r="A1236" s="3">
        <v>1288</v>
      </c>
      <c r="B1236" s="3" t="s">
        <v>180</v>
      </c>
      <c r="C1236" s="3" t="s">
        <v>177</v>
      </c>
      <c r="D1236" s="3" t="s">
        <v>495</v>
      </c>
      <c r="E1236" s="3" t="s">
        <v>13</v>
      </c>
      <c r="F1236" s="3">
        <v>0.42</v>
      </c>
      <c r="G1236" s="3">
        <v>380</v>
      </c>
      <c r="H1236" s="3">
        <f t="shared" si="22"/>
        <v>159.6</v>
      </c>
      <c r="I1236" s="3"/>
      <c r="J1236" s="26">
        <v>9.2</v>
      </c>
    </row>
    <row r="1237" customHeight="1" spans="1:10">
      <c r="A1237" s="3">
        <v>1289</v>
      </c>
      <c r="B1237" s="3" t="s">
        <v>222</v>
      </c>
      <c r="C1237" s="3" t="s">
        <v>177</v>
      </c>
      <c r="D1237" s="3" t="s">
        <v>495</v>
      </c>
      <c r="E1237" s="3" t="s">
        <v>13</v>
      </c>
      <c r="F1237" s="3">
        <v>0.23</v>
      </c>
      <c r="G1237" s="3">
        <v>380</v>
      </c>
      <c r="H1237" s="3">
        <f t="shared" si="22"/>
        <v>87.4</v>
      </c>
      <c r="I1237" s="3"/>
      <c r="J1237" s="26">
        <v>9.2</v>
      </c>
    </row>
    <row r="1238" customHeight="1" spans="1:10">
      <c r="A1238" s="3">
        <v>1290</v>
      </c>
      <c r="B1238" s="3" t="s">
        <v>202</v>
      </c>
      <c r="C1238" s="3" t="s">
        <v>177</v>
      </c>
      <c r="D1238" s="3" t="s">
        <v>425</v>
      </c>
      <c r="E1238" s="3" t="s">
        <v>13</v>
      </c>
      <c r="F1238" s="3">
        <v>0.28</v>
      </c>
      <c r="G1238" s="3">
        <v>380</v>
      </c>
      <c r="H1238" s="3">
        <f t="shared" si="22"/>
        <v>106.4</v>
      </c>
      <c r="I1238" s="3"/>
      <c r="J1238" s="26">
        <v>9.2</v>
      </c>
    </row>
    <row r="1239" customHeight="1" spans="1:10">
      <c r="A1239" s="3">
        <v>1291</v>
      </c>
      <c r="B1239" s="3" t="s">
        <v>202</v>
      </c>
      <c r="C1239" s="3" t="s">
        <v>177</v>
      </c>
      <c r="D1239" s="3" t="s">
        <v>495</v>
      </c>
      <c r="E1239" s="3" t="s">
        <v>13</v>
      </c>
      <c r="F1239" s="3">
        <v>0.14</v>
      </c>
      <c r="G1239" s="3">
        <v>380</v>
      </c>
      <c r="H1239" s="3">
        <f t="shared" si="22"/>
        <v>53.2</v>
      </c>
      <c r="I1239" s="3"/>
      <c r="J1239" s="26">
        <v>9.2</v>
      </c>
    </row>
    <row r="1240" customHeight="1" spans="1:10">
      <c r="A1240" s="3">
        <v>1292</v>
      </c>
      <c r="B1240" s="3" t="s">
        <v>266</v>
      </c>
      <c r="C1240" s="3" t="s">
        <v>177</v>
      </c>
      <c r="D1240" s="3"/>
      <c r="E1240" s="3" t="s">
        <v>13</v>
      </c>
      <c r="F1240" s="3">
        <v>0.3</v>
      </c>
      <c r="G1240" s="3">
        <v>380</v>
      </c>
      <c r="H1240" s="3">
        <f t="shared" si="22"/>
        <v>114</v>
      </c>
      <c r="I1240" s="3"/>
      <c r="J1240" s="26">
        <v>9.2</v>
      </c>
    </row>
    <row r="1241" customHeight="1" spans="1:10">
      <c r="A1241" s="3">
        <v>1293</v>
      </c>
      <c r="B1241" s="3" t="s">
        <v>416</v>
      </c>
      <c r="C1241" s="3" t="s">
        <v>177</v>
      </c>
      <c r="D1241" s="3"/>
      <c r="E1241" s="3" t="s">
        <v>13</v>
      </c>
      <c r="F1241" s="3">
        <v>0.5</v>
      </c>
      <c r="G1241" s="3">
        <v>380</v>
      </c>
      <c r="H1241" s="3">
        <f t="shared" si="22"/>
        <v>190</v>
      </c>
      <c r="I1241" s="3"/>
      <c r="J1241" s="26">
        <v>9.2</v>
      </c>
    </row>
    <row r="1242" customHeight="1" spans="1:10">
      <c r="A1242" s="3">
        <v>1294</v>
      </c>
      <c r="B1242" s="3" t="s">
        <v>414</v>
      </c>
      <c r="C1242" s="3" t="s">
        <v>177</v>
      </c>
      <c r="D1242" s="3" t="s">
        <v>308</v>
      </c>
      <c r="E1242" s="3" t="s">
        <v>13</v>
      </c>
      <c r="F1242" s="3">
        <v>0.13</v>
      </c>
      <c r="G1242" s="3">
        <v>380</v>
      </c>
      <c r="H1242" s="3">
        <f t="shared" si="22"/>
        <v>49.4</v>
      </c>
      <c r="I1242" s="3"/>
      <c r="J1242" s="26">
        <v>9.2</v>
      </c>
    </row>
    <row r="1243" customHeight="1" spans="1:10">
      <c r="A1243" s="3">
        <v>1295</v>
      </c>
      <c r="B1243" s="3" t="s">
        <v>441</v>
      </c>
      <c r="C1243" s="3" t="s">
        <v>177</v>
      </c>
      <c r="D1243" s="3" t="s">
        <v>496</v>
      </c>
      <c r="E1243" s="3" t="s">
        <v>13</v>
      </c>
      <c r="F1243" s="3">
        <v>0.17</v>
      </c>
      <c r="G1243" s="3">
        <v>380</v>
      </c>
      <c r="H1243" s="3">
        <f t="shared" si="22"/>
        <v>64.6</v>
      </c>
      <c r="I1243" s="3"/>
      <c r="J1243" s="26">
        <v>9.2</v>
      </c>
    </row>
    <row r="1244" customHeight="1" spans="1:10">
      <c r="A1244" s="3">
        <v>1296</v>
      </c>
      <c r="B1244" s="3" t="s">
        <v>223</v>
      </c>
      <c r="C1244" s="3" t="s">
        <v>177</v>
      </c>
      <c r="D1244" s="3" t="s">
        <v>422</v>
      </c>
      <c r="E1244" s="3" t="s">
        <v>13</v>
      </c>
      <c r="F1244" s="3">
        <v>0.29</v>
      </c>
      <c r="G1244" s="3">
        <v>380</v>
      </c>
      <c r="H1244" s="3">
        <f t="shared" si="22"/>
        <v>110.2</v>
      </c>
      <c r="I1244" s="3"/>
      <c r="J1244" s="26">
        <v>9.2</v>
      </c>
    </row>
    <row r="1245" customHeight="1" spans="1:10">
      <c r="A1245" s="3">
        <v>1297</v>
      </c>
      <c r="B1245" s="3" t="s">
        <v>441</v>
      </c>
      <c r="C1245" s="3" t="s">
        <v>177</v>
      </c>
      <c r="D1245" s="3"/>
      <c r="E1245" s="3" t="s">
        <v>13</v>
      </c>
      <c r="F1245" s="3">
        <v>0.35</v>
      </c>
      <c r="G1245" s="3">
        <v>380</v>
      </c>
      <c r="H1245" s="3">
        <f t="shared" si="22"/>
        <v>133</v>
      </c>
      <c r="I1245" s="3"/>
      <c r="J1245" s="26">
        <v>9.2</v>
      </c>
    </row>
    <row r="1246" customHeight="1" spans="1:10">
      <c r="A1246" s="3">
        <v>1298</v>
      </c>
      <c r="B1246" s="3" t="s">
        <v>176</v>
      </c>
      <c r="C1246" s="3" t="s">
        <v>177</v>
      </c>
      <c r="D1246" s="3"/>
      <c r="E1246" s="3" t="s">
        <v>13</v>
      </c>
      <c r="F1246" s="3">
        <v>0.74</v>
      </c>
      <c r="G1246" s="3">
        <v>380</v>
      </c>
      <c r="H1246" s="3">
        <f t="shared" si="22"/>
        <v>281.2</v>
      </c>
      <c r="I1246" s="3"/>
      <c r="J1246" s="26">
        <v>9.2</v>
      </c>
    </row>
    <row r="1247" customHeight="1" spans="1:10">
      <c r="A1247" s="3">
        <v>1299</v>
      </c>
      <c r="B1247" s="3" t="s">
        <v>463</v>
      </c>
      <c r="C1247" s="3" t="s">
        <v>177</v>
      </c>
      <c r="D1247" s="3"/>
      <c r="E1247" s="3" t="s">
        <v>13</v>
      </c>
      <c r="F1247" s="3">
        <v>0.32</v>
      </c>
      <c r="G1247" s="3">
        <v>380</v>
      </c>
      <c r="H1247" s="3">
        <f t="shared" si="22"/>
        <v>121.6</v>
      </c>
      <c r="I1247" s="3"/>
      <c r="J1247" s="26">
        <v>9.2</v>
      </c>
    </row>
    <row r="1248" customHeight="1" spans="1:10">
      <c r="A1248" s="3">
        <v>1300</v>
      </c>
      <c r="B1248" s="3" t="s">
        <v>414</v>
      </c>
      <c r="C1248" s="3" t="s">
        <v>177</v>
      </c>
      <c r="D1248" s="3" t="s">
        <v>497</v>
      </c>
      <c r="E1248" s="3" t="s">
        <v>13</v>
      </c>
      <c r="F1248" s="3">
        <v>0.3</v>
      </c>
      <c r="G1248" s="3">
        <v>380</v>
      </c>
      <c r="H1248" s="3">
        <f t="shared" si="22"/>
        <v>114</v>
      </c>
      <c r="I1248" s="3"/>
      <c r="J1248" s="26">
        <v>9.2</v>
      </c>
    </row>
    <row r="1249" customHeight="1" spans="1:10">
      <c r="A1249" s="3">
        <v>1301</v>
      </c>
      <c r="B1249" s="3" t="s">
        <v>463</v>
      </c>
      <c r="C1249" s="3" t="s">
        <v>177</v>
      </c>
      <c r="D1249" s="3" t="s">
        <v>497</v>
      </c>
      <c r="E1249" s="3" t="s">
        <v>13</v>
      </c>
      <c r="F1249" s="3">
        <v>1.1</v>
      </c>
      <c r="G1249" s="3">
        <v>380</v>
      </c>
      <c r="H1249" s="3">
        <f t="shared" si="22"/>
        <v>418</v>
      </c>
      <c r="I1249" s="3"/>
      <c r="J1249" s="26">
        <v>9.2</v>
      </c>
    </row>
    <row r="1250" customHeight="1" spans="1:10">
      <c r="A1250" s="3">
        <v>1302</v>
      </c>
      <c r="B1250" s="3" t="s">
        <v>191</v>
      </c>
      <c r="C1250" s="3" t="s">
        <v>177</v>
      </c>
      <c r="D1250" s="3" t="s">
        <v>497</v>
      </c>
      <c r="E1250" s="3" t="s">
        <v>13</v>
      </c>
      <c r="F1250" s="3">
        <v>0.37</v>
      </c>
      <c r="G1250" s="3">
        <v>380</v>
      </c>
      <c r="H1250" s="3">
        <f t="shared" si="22"/>
        <v>140.6</v>
      </c>
      <c r="I1250" s="3"/>
      <c r="J1250" s="26">
        <v>9.2</v>
      </c>
    </row>
    <row r="1251" customHeight="1" spans="1:10">
      <c r="A1251" s="3">
        <v>1303</v>
      </c>
      <c r="B1251" s="3" t="s">
        <v>189</v>
      </c>
      <c r="C1251" s="3" t="s">
        <v>177</v>
      </c>
      <c r="D1251" s="3" t="s">
        <v>497</v>
      </c>
      <c r="E1251" s="3" t="s">
        <v>13</v>
      </c>
      <c r="F1251" s="3">
        <v>0.24</v>
      </c>
      <c r="G1251" s="3">
        <v>380</v>
      </c>
      <c r="H1251" s="3">
        <f t="shared" si="22"/>
        <v>91.2</v>
      </c>
      <c r="I1251" s="3"/>
      <c r="J1251" s="26">
        <v>9.2</v>
      </c>
    </row>
    <row r="1252" customHeight="1" spans="1:10">
      <c r="A1252" s="3">
        <v>1304</v>
      </c>
      <c r="B1252" s="3" t="s">
        <v>220</v>
      </c>
      <c r="C1252" s="3" t="s">
        <v>177</v>
      </c>
      <c r="D1252" s="3" t="s">
        <v>498</v>
      </c>
      <c r="E1252" s="3" t="s">
        <v>13</v>
      </c>
      <c r="F1252" s="3">
        <v>0.19</v>
      </c>
      <c r="G1252" s="3">
        <v>380</v>
      </c>
      <c r="H1252" s="3">
        <f t="shared" si="22"/>
        <v>72.2</v>
      </c>
      <c r="I1252" s="3"/>
      <c r="J1252" s="26">
        <v>9.2</v>
      </c>
    </row>
    <row r="1253" customHeight="1" spans="1:10">
      <c r="A1253" s="3">
        <v>1305</v>
      </c>
      <c r="B1253" s="3" t="s">
        <v>441</v>
      </c>
      <c r="C1253" s="3" t="s">
        <v>177</v>
      </c>
      <c r="D1253" s="3" t="s">
        <v>498</v>
      </c>
      <c r="E1253" s="3" t="s">
        <v>13</v>
      </c>
      <c r="F1253" s="3">
        <v>0.32</v>
      </c>
      <c r="G1253" s="3">
        <v>380</v>
      </c>
      <c r="H1253" s="3">
        <f t="shared" si="22"/>
        <v>121.6</v>
      </c>
      <c r="I1253" s="3"/>
      <c r="J1253" s="26">
        <v>9.2</v>
      </c>
    </row>
    <row r="1254" customHeight="1" spans="1:10">
      <c r="A1254" s="3">
        <v>1306</v>
      </c>
      <c r="B1254" s="3" t="s">
        <v>190</v>
      </c>
      <c r="C1254" s="3" t="s">
        <v>177</v>
      </c>
      <c r="D1254" s="3" t="s">
        <v>498</v>
      </c>
      <c r="E1254" s="3" t="s">
        <v>13</v>
      </c>
      <c r="F1254" s="3">
        <v>0.32</v>
      </c>
      <c r="G1254" s="3">
        <v>380</v>
      </c>
      <c r="H1254" s="3">
        <f t="shared" si="22"/>
        <v>121.6</v>
      </c>
      <c r="I1254" s="3"/>
      <c r="J1254" s="26">
        <v>9.2</v>
      </c>
    </row>
    <row r="1255" customHeight="1" spans="1:10">
      <c r="A1255" s="3">
        <v>1307</v>
      </c>
      <c r="B1255" s="3" t="s">
        <v>176</v>
      </c>
      <c r="C1255" s="3" t="s">
        <v>177</v>
      </c>
      <c r="D1255" s="3"/>
      <c r="E1255" s="3" t="s">
        <v>13</v>
      </c>
      <c r="F1255" s="3">
        <v>0.2</v>
      </c>
      <c r="G1255" s="3">
        <v>380</v>
      </c>
      <c r="H1255" s="3">
        <f t="shared" si="22"/>
        <v>76</v>
      </c>
      <c r="I1255" s="3"/>
      <c r="J1255" s="26">
        <v>9.2</v>
      </c>
    </row>
    <row r="1256" customHeight="1" spans="1:10">
      <c r="A1256" s="3">
        <v>1308</v>
      </c>
      <c r="B1256" s="3" t="s">
        <v>182</v>
      </c>
      <c r="C1256" s="3" t="s">
        <v>177</v>
      </c>
      <c r="D1256" s="3"/>
      <c r="E1256" s="3" t="s">
        <v>13</v>
      </c>
      <c r="F1256" s="3">
        <v>0.54</v>
      </c>
      <c r="G1256" s="3">
        <v>380</v>
      </c>
      <c r="H1256" s="3">
        <f t="shared" si="22"/>
        <v>205.2</v>
      </c>
      <c r="I1256" s="3"/>
      <c r="J1256" s="26">
        <v>9.2</v>
      </c>
    </row>
    <row r="1257" customHeight="1" spans="1:10">
      <c r="A1257" s="3">
        <v>1309</v>
      </c>
      <c r="B1257" s="3" t="s">
        <v>200</v>
      </c>
      <c r="C1257" s="3" t="s">
        <v>177</v>
      </c>
      <c r="D1257" s="3"/>
      <c r="E1257" s="3" t="s">
        <v>13</v>
      </c>
      <c r="F1257" s="3">
        <v>0.68</v>
      </c>
      <c r="G1257" s="3">
        <v>380</v>
      </c>
      <c r="H1257" s="3">
        <f t="shared" si="22"/>
        <v>258.4</v>
      </c>
      <c r="I1257" s="3"/>
      <c r="J1257" s="26">
        <v>9.2</v>
      </c>
    </row>
    <row r="1258" customHeight="1" spans="1:10">
      <c r="A1258" s="3">
        <v>1310</v>
      </c>
      <c r="B1258" s="3" t="s">
        <v>499</v>
      </c>
      <c r="C1258" s="3" t="s">
        <v>177</v>
      </c>
      <c r="D1258" s="3" t="s">
        <v>246</v>
      </c>
      <c r="E1258" s="3" t="s">
        <v>22</v>
      </c>
      <c r="F1258" s="3">
        <v>0.48</v>
      </c>
      <c r="G1258" s="3">
        <v>480</v>
      </c>
      <c r="H1258" s="3">
        <f t="shared" si="22"/>
        <v>230.4</v>
      </c>
      <c r="I1258" s="3"/>
      <c r="J1258" s="26">
        <v>9.2</v>
      </c>
    </row>
    <row r="1259" customHeight="1" spans="1:10">
      <c r="A1259" s="3">
        <v>1311</v>
      </c>
      <c r="B1259" s="3" t="s">
        <v>500</v>
      </c>
      <c r="C1259" s="3" t="s">
        <v>177</v>
      </c>
      <c r="D1259" s="3" t="s">
        <v>246</v>
      </c>
      <c r="E1259" s="3" t="s">
        <v>22</v>
      </c>
      <c r="F1259" s="3">
        <v>0.57</v>
      </c>
      <c r="G1259" s="3">
        <v>480</v>
      </c>
      <c r="H1259" s="3">
        <f t="shared" si="22"/>
        <v>273.6</v>
      </c>
      <c r="I1259" s="3"/>
      <c r="J1259" s="26">
        <v>9.2</v>
      </c>
    </row>
    <row r="1260" customHeight="1" spans="1:10">
      <c r="A1260" s="3">
        <v>1312</v>
      </c>
      <c r="B1260" s="3" t="s">
        <v>501</v>
      </c>
      <c r="C1260" s="3" t="s">
        <v>177</v>
      </c>
      <c r="D1260" s="3" t="s">
        <v>246</v>
      </c>
      <c r="E1260" s="3" t="s">
        <v>22</v>
      </c>
      <c r="F1260" s="3">
        <v>0.16</v>
      </c>
      <c r="G1260" s="3">
        <v>480</v>
      </c>
      <c r="H1260" s="3">
        <f t="shared" si="22"/>
        <v>76.8</v>
      </c>
      <c r="I1260" s="3"/>
      <c r="J1260" s="26">
        <v>9.2</v>
      </c>
    </row>
    <row r="1261" customHeight="1" spans="1:10">
      <c r="A1261" s="3">
        <v>1313</v>
      </c>
      <c r="B1261" s="3" t="s">
        <v>275</v>
      </c>
      <c r="C1261" s="3" t="s">
        <v>177</v>
      </c>
      <c r="D1261" s="3" t="s">
        <v>246</v>
      </c>
      <c r="E1261" s="3" t="s">
        <v>22</v>
      </c>
      <c r="F1261" s="3">
        <v>0.15</v>
      </c>
      <c r="G1261" s="3">
        <v>480</v>
      </c>
      <c r="H1261" s="3">
        <f t="shared" si="22"/>
        <v>72</v>
      </c>
      <c r="I1261" s="3"/>
      <c r="J1261" s="26">
        <v>9.2</v>
      </c>
    </row>
    <row r="1262" customHeight="1" spans="1:10">
      <c r="A1262" s="3">
        <v>1314</v>
      </c>
      <c r="B1262" s="3" t="s">
        <v>502</v>
      </c>
      <c r="C1262" s="3" t="s">
        <v>177</v>
      </c>
      <c r="D1262" s="3" t="s">
        <v>246</v>
      </c>
      <c r="E1262" s="3" t="s">
        <v>22</v>
      </c>
      <c r="F1262" s="3">
        <v>0.54</v>
      </c>
      <c r="G1262" s="3">
        <v>480</v>
      </c>
      <c r="H1262" s="3">
        <f t="shared" si="22"/>
        <v>259.2</v>
      </c>
      <c r="I1262" s="3"/>
      <c r="J1262" s="26">
        <v>9.2</v>
      </c>
    </row>
    <row r="1263" customHeight="1" spans="1:10">
      <c r="A1263" s="3">
        <v>1315</v>
      </c>
      <c r="B1263" s="3" t="s">
        <v>503</v>
      </c>
      <c r="C1263" s="3" t="s">
        <v>177</v>
      </c>
      <c r="D1263" s="3" t="s">
        <v>246</v>
      </c>
      <c r="E1263" s="3" t="s">
        <v>22</v>
      </c>
      <c r="F1263" s="3">
        <v>0.3</v>
      </c>
      <c r="G1263" s="3">
        <v>480</v>
      </c>
      <c r="H1263" s="3">
        <f t="shared" si="22"/>
        <v>144</v>
      </c>
      <c r="I1263" s="3"/>
      <c r="J1263" s="26">
        <v>9.2</v>
      </c>
    </row>
    <row r="1264" customHeight="1" spans="1:10">
      <c r="A1264" s="3">
        <v>1316</v>
      </c>
      <c r="B1264" s="3" t="s">
        <v>504</v>
      </c>
      <c r="C1264" s="3" t="s">
        <v>177</v>
      </c>
      <c r="D1264" s="3" t="s">
        <v>246</v>
      </c>
      <c r="E1264" s="3" t="s">
        <v>22</v>
      </c>
      <c r="F1264" s="3">
        <v>0.75</v>
      </c>
      <c r="G1264" s="3">
        <v>480</v>
      </c>
      <c r="H1264" s="3">
        <f t="shared" si="22"/>
        <v>360</v>
      </c>
      <c r="I1264" s="3"/>
      <c r="J1264" s="26">
        <v>9.2</v>
      </c>
    </row>
    <row r="1265" customHeight="1" spans="1:10">
      <c r="A1265" s="3">
        <v>1317</v>
      </c>
      <c r="B1265" s="3" t="s">
        <v>500</v>
      </c>
      <c r="C1265" s="3" t="s">
        <v>177</v>
      </c>
      <c r="D1265" s="3" t="s">
        <v>246</v>
      </c>
      <c r="E1265" s="3" t="s">
        <v>22</v>
      </c>
      <c r="F1265" s="3">
        <v>0.08</v>
      </c>
      <c r="G1265" s="3">
        <v>480</v>
      </c>
      <c r="H1265" s="3">
        <f t="shared" si="22"/>
        <v>38.4</v>
      </c>
      <c r="I1265" s="3"/>
      <c r="J1265" s="26">
        <v>9.2</v>
      </c>
    </row>
    <row r="1266" customHeight="1" spans="1:10">
      <c r="A1266" s="3">
        <v>1318</v>
      </c>
      <c r="B1266" s="3" t="s">
        <v>30</v>
      </c>
      <c r="C1266" s="3" t="s">
        <v>177</v>
      </c>
      <c r="D1266" s="3" t="s">
        <v>246</v>
      </c>
      <c r="E1266" s="3" t="s">
        <v>22</v>
      </c>
      <c r="F1266" s="3">
        <v>0.19</v>
      </c>
      <c r="G1266" s="3">
        <v>480</v>
      </c>
      <c r="H1266" s="3">
        <f t="shared" si="22"/>
        <v>91.2</v>
      </c>
      <c r="I1266" s="3"/>
      <c r="J1266" s="26">
        <v>9.2</v>
      </c>
    </row>
    <row r="1267" customHeight="1" spans="1:10">
      <c r="A1267" s="3">
        <v>1319</v>
      </c>
      <c r="B1267" s="3" t="s">
        <v>334</v>
      </c>
      <c r="C1267" s="3" t="s">
        <v>177</v>
      </c>
      <c r="D1267" s="3" t="s">
        <v>246</v>
      </c>
      <c r="E1267" s="3" t="s">
        <v>22</v>
      </c>
      <c r="F1267" s="3">
        <v>0.16</v>
      </c>
      <c r="G1267" s="3">
        <v>480</v>
      </c>
      <c r="H1267" s="3">
        <f t="shared" si="22"/>
        <v>76.8</v>
      </c>
      <c r="I1267" s="3"/>
      <c r="J1267" s="26">
        <v>9.2</v>
      </c>
    </row>
    <row r="1268" customHeight="1" spans="1:10">
      <c r="A1268" s="3">
        <v>1320</v>
      </c>
      <c r="B1268" s="3" t="s">
        <v>252</v>
      </c>
      <c r="C1268" s="3" t="s">
        <v>177</v>
      </c>
      <c r="D1268" s="3" t="s">
        <v>263</v>
      </c>
      <c r="E1268" s="3" t="s">
        <v>22</v>
      </c>
      <c r="F1268" s="3">
        <v>0.16</v>
      </c>
      <c r="G1268" s="3">
        <v>480</v>
      </c>
      <c r="H1268" s="3">
        <f t="shared" si="22"/>
        <v>76.8</v>
      </c>
      <c r="I1268" s="3"/>
      <c r="J1268" s="26">
        <v>9.2</v>
      </c>
    </row>
    <row r="1269" customHeight="1" spans="1:10">
      <c r="A1269" s="3">
        <v>1321</v>
      </c>
      <c r="B1269" s="3" t="s">
        <v>505</v>
      </c>
      <c r="C1269" s="3" t="s">
        <v>177</v>
      </c>
      <c r="D1269" s="3" t="s">
        <v>263</v>
      </c>
      <c r="E1269" s="3" t="s">
        <v>22</v>
      </c>
      <c r="F1269" s="3">
        <v>0.2</v>
      </c>
      <c r="G1269" s="3">
        <v>480</v>
      </c>
      <c r="H1269" s="3">
        <f t="shared" si="22"/>
        <v>96</v>
      </c>
      <c r="I1269" s="3"/>
      <c r="J1269" s="26">
        <v>9.2</v>
      </c>
    </row>
    <row r="1270" customHeight="1" spans="1:10">
      <c r="A1270" s="3">
        <v>1322</v>
      </c>
      <c r="B1270" s="3" t="s">
        <v>278</v>
      </c>
      <c r="C1270" s="3" t="s">
        <v>177</v>
      </c>
      <c r="D1270" s="3" t="s">
        <v>263</v>
      </c>
      <c r="E1270" s="3" t="s">
        <v>22</v>
      </c>
      <c r="F1270" s="3">
        <v>0.48</v>
      </c>
      <c r="G1270" s="3">
        <v>480</v>
      </c>
      <c r="H1270" s="3">
        <f t="shared" si="22"/>
        <v>230.4</v>
      </c>
      <c r="I1270" s="3"/>
      <c r="J1270" s="26">
        <v>9.2</v>
      </c>
    </row>
    <row r="1271" customHeight="1" spans="1:10">
      <c r="A1271" s="3">
        <v>1323</v>
      </c>
      <c r="B1271" s="3" t="s">
        <v>332</v>
      </c>
      <c r="C1271" s="3" t="s">
        <v>177</v>
      </c>
      <c r="D1271" s="3" t="s">
        <v>263</v>
      </c>
      <c r="E1271" s="3" t="s">
        <v>22</v>
      </c>
      <c r="F1271" s="3">
        <v>0.34</v>
      </c>
      <c r="G1271" s="3">
        <v>480</v>
      </c>
      <c r="H1271" s="3">
        <f t="shared" si="22"/>
        <v>163.2</v>
      </c>
      <c r="I1271" s="3"/>
      <c r="J1271" s="26">
        <v>9.2</v>
      </c>
    </row>
    <row r="1272" customHeight="1" spans="1:10">
      <c r="A1272" s="3">
        <v>1324</v>
      </c>
      <c r="B1272" s="3" t="s">
        <v>275</v>
      </c>
      <c r="C1272" s="3" t="s">
        <v>177</v>
      </c>
      <c r="D1272" s="3" t="s">
        <v>263</v>
      </c>
      <c r="E1272" s="3" t="s">
        <v>22</v>
      </c>
      <c r="F1272" s="3">
        <v>0.42</v>
      </c>
      <c r="G1272" s="3">
        <v>480</v>
      </c>
      <c r="H1272" s="3">
        <f t="shared" si="22"/>
        <v>201.6</v>
      </c>
      <c r="I1272" s="3"/>
      <c r="J1272" s="26">
        <v>9.2</v>
      </c>
    </row>
    <row r="1273" customHeight="1" spans="1:10">
      <c r="A1273" s="3">
        <v>1325</v>
      </c>
      <c r="B1273" s="3" t="s">
        <v>278</v>
      </c>
      <c r="C1273" s="3" t="s">
        <v>177</v>
      </c>
      <c r="D1273" s="3" t="s">
        <v>263</v>
      </c>
      <c r="E1273" s="3" t="s">
        <v>22</v>
      </c>
      <c r="F1273" s="3">
        <v>0.07</v>
      </c>
      <c r="G1273" s="3">
        <v>480</v>
      </c>
      <c r="H1273" s="3">
        <f t="shared" si="22"/>
        <v>33.6</v>
      </c>
      <c r="I1273" s="3"/>
      <c r="J1273" s="26">
        <v>9.2</v>
      </c>
    </row>
    <row r="1274" customHeight="1" spans="1:10">
      <c r="A1274" s="3">
        <v>1326</v>
      </c>
      <c r="B1274" s="3" t="s">
        <v>506</v>
      </c>
      <c r="C1274" s="3" t="s">
        <v>177</v>
      </c>
      <c r="D1274" s="3" t="s">
        <v>263</v>
      </c>
      <c r="E1274" s="3" t="s">
        <v>22</v>
      </c>
      <c r="F1274" s="3">
        <v>0.61</v>
      </c>
      <c r="G1274" s="3">
        <v>480</v>
      </c>
      <c r="H1274" s="3">
        <f t="shared" si="22"/>
        <v>292.8</v>
      </c>
      <c r="I1274" s="3"/>
      <c r="J1274" s="26">
        <v>9.2</v>
      </c>
    </row>
    <row r="1275" customHeight="1" spans="1:10">
      <c r="A1275" s="3">
        <v>1327</v>
      </c>
      <c r="B1275" s="3" t="s">
        <v>507</v>
      </c>
      <c r="C1275" s="3" t="s">
        <v>177</v>
      </c>
      <c r="D1275" s="3" t="s">
        <v>267</v>
      </c>
      <c r="E1275" s="3" t="s">
        <v>22</v>
      </c>
      <c r="F1275" s="3">
        <v>0.2</v>
      </c>
      <c r="G1275" s="3">
        <v>480</v>
      </c>
      <c r="H1275" s="3">
        <f t="shared" si="22"/>
        <v>96</v>
      </c>
      <c r="I1275" s="3"/>
      <c r="J1275" s="26">
        <v>9.2</v>
      </c>
    </row>
    <row r="1276" customHeight="1" spans="1:10">
      <c r="A1276" s="3">
        <v>1328</v>
      </c>
      <c r="B1276" s="3" t="s">
        <v>508</v>
      </c>
      <c r="C1276" s="3" t="s">
        <v>177</v>
      </c>
      <c r="D1276" s="3" t="s">
        <v>267</v>
      </c>
      <c r="E1276" s="3" t="s">
        <v>22</v>
      </c>
      <c r="F1276" s="3">
        <v>0.25</v>
      </c>
      <c r="G1276" s="3">
        <v>480</v>
      </c>
      <c r="H1276" s="3">
        <f t="shared" si="22"/>
        <v>120</v>
      </c>
      <c r="I1276" s="3"/>
      <c r="J1276" s="26">
        <v>9.2</v>
      </c>
    </row>
    <row r="1277" customHeight="1" spans="1:10">
      <c r="A1277" s="3">
        <v>1329</v>
      </c>
      <c r="B1277" s="3" t="s">
        <v>278</v>
      </c>
      <c r="C1277" s="3" t="s">
        <v>177</v>
      </c>
      <c r="D1277" s="3" t="s">
        <v>509</v>
      </c>
      <c r="E1277" s="3" t="s">
        <v>22</v>
      </c>
      <c r="F1277" s="3">
        <v>0.08</v>
      </c>
      <c r="G1277" s="3">
        <v>480</v>
      </c>
      <c r="H1277" s="3">
        <f t="shared" si="22"/>
        <v>38.4</v>
      </c>
      <c r="I1277" s="3"/>
      <c r="J1277" s="26">
        <v>9.2</v>
      </c>
    </row>
    <row r="1278" customHeight="1" spans="1:10">
      <c r="A1278" s="3">
        <v>1330</v>
      </c>
      <c r="B1278" s="3" t="s">
        <v>220</v>
      </c>
      <c r="C1278" s="3" t="s">
        <v>177</v>
      </c>
      <c r="D1278" s="3" t="s">
        <v>509</v>
      </c>
      <c r="E1278" s="3" t="s">
        <v>22</v>
      </c>
      <c r="F1278" s="3">
        <v>0.09</v>
      </c>
      <c r="G1278" s="3">
        <v>480</v>
      </c>
      <c r="H1278" s="3">
        <f t="shared" si="22"/>
        <v>43.2</v>
      </c>
      <c r="I1278" s="3"/>
      <c r="J1278" s="26">
        <v>9.2</v>
      </c>
    </row>
    <row r="1279" customHeight="1" spans="1:10">
      <c r="A1279" s="3">
        <v>1331</v>
      </c>
      <c r="B1279" s="3" t="s">
        <v>499</v>
      </c>
      <c r="C1279" s="3" t="s">
        <v>177</v>
      </c>
      <c r="D1279" s="3" t="s">
        <v>435</v>
      </c>
      <c r="E1279" s="3" t="s">
        <v>13</v>
      </c>
      <c r="F1279" s="3">
        <v>0.8</v>
      </c>
      <c r="G1279" s="3">
        <v>380</v>
      </c>
      <c r="H1279" s="3">
        <f t="shared" si="22"/>
        <v>304</v>
      </c>
      <c r="I1279" s="3"/>
      <c r="J1279" s="26">
        <v>9.2</v>
      </c>
    </row>
    <row r="1280" customHeight="1" spans="1:10">
      <c r="A1280" s="3">
        <v>1332</v>
      </c>
      <c r="B1280" s="3" t="s">
        <v>129</v>
      </c>
      <c r="C1280" s="3" t="s">
        <v>177</v>
      </c>
      <c r="D1280" s="3" t="s">
        <v>435</v>
      </c>
      <c r="E1280" s="3" t="s">
        <v>13</v>
      </c>
      <c r="F1280" s="3">
        <v>0.3</v>
      </c>
      <c r="G1280" s="3">
        <v>380</v>
      </c>
      <c r="H1280" s="3">
        <f t="shared" si="22"/>
        <v>114</v>
      </c>
      <c r="I1280" s="3"/>
      <c r="J1280" s="26">
        <v>9.2</v>
      </c>
    </row>
    <row r="1281" customHeight="1" spans="1:10">
      <c r="A1281" s="3">
        <v>1333</v>
      </c>
      <c r="B1281" s="3" t="s">
        <v>510</v>
      </c>
      <c r="C1281" s="3" t="s">
        <v>177</v>
      </c>
      <c r="D1281" s="3" t="s">
        <v>511</v>
      </c>
      <c r="E1281" s="3" t="s">
        <v>13</v>
      </c>
      <c r="F1281" s="3">
        <v>0.7</v>
      </c>
      <c r="G1281" s="3">
        <v>380</v>
      </c>
      <c r="H1281" s="3">
        <f t="shared" si="22"/>
        <v>266</v>
      </c>
      <c r="I1281" s="3"/>
      <c r="J1281" s="26">
        <v>9.2</v>
      </c>
    </row>
    <row r="1282" customHeight="1" spans="1:10">
      <c r="A1282" s="3">
        <v>1334</v>
      </c>
      <c r="B1282" s="3" t="s">
        <v>512</v>
      </c>
      <c r="C1282" s="3" t="s">
        <v>177</v>
      </c>
      <c r="D1282" s="3" t="s">
        <v>511</v>
      </c>
      <c r="E1282" s="3" t="s">
        <v>13</v>
      </c>
      <c r="F1282" s="3">
        <v>0.3</v>
      </c>
      <c r="G1282" s="3">
        <v>380</v>
      </c>
      <c r="H1282" s="3">
        <f t="shared" ref="H1282:H1345" si="23">G1282*F1282</f>
        <v>114</v>
      </c>
      <c r="I1282" s="3"/>
      <c r="J1282" s="26">
        <v>9.2</v>
      </c>
    </row>
    <row r="1283" customHeight="1" spans="1:10">
      <c r="A1283" s="3">
        <v>1335</v>
      </c>
      <c r="B1283" s="3" t="s">
        <v>279</v>
      </c>
      <c r="C1283" s="3" t="s">
        <v>177</v>
      </c>
      <c r="D1283" s="3" t="s">
        <v>513</v>
      </c>
      <c r="E1283" s="3" t="s">
        <v>13</v>
      </c>
      <c r="F1283" s="3">
        <v>0.23</v>
      </c>
      <c r="G1283" s="3">
        <v>380</v>
      </c>
      <c r="H1283" s="3">
        <f t="shared" si="23"/>
        <v>87.4</v>
      </c>
      <c r="I1283" s="3"/>
      <c r="J1283" s="26">
        <v>9.2</v>
      </c>
    </row>
    <row r="1284" customHeight="1" spans="1:10">
      <c r="A1284" s="3">
        <v>1336</v>
      </c>
      <c r="B1284" s="3" t="s">
        <v>514</v>
      </c>
      <c r="C1284" s="3" t="s">
        <v>177</v>
      </c>
      <c r="D1284" s="3" t="s">
        <v>513</v>
      </c>
      <c r="E1284" s="3" t="s">
        <v>13</v>
      </c>
      <c r="F1284" s="3">
        <v>0.23</v>
      </c>
      <c r="G1284" s="3">
        <v>380</v>
      </c>
      <c r="H1284" s="3">
        <f t="shared" si="23"/>
        <v>87.4</v>
      </c>
      <c r="I1284" s="3"/>
      <c r="J1284" s="26">
        <v>9.2</v>
      </c>
    </row>
    <row r="1285" customHeight="1" spans="1:10">
      <c r="A1285" s="3">
        <v>1337</v>
      </c>
      <c r="B1285" s="3" t="s">
        <v>507</v>
      </c>
      <c r="C1285" s="3" t="s">
        <v>177</v>
      </c>
      <c r="D1285" s="3" t="s">
        <v>513</v>
      </c>
      <c r="E1285" s="3" t="s">
        <v>13</v>
      </c>
      <c r="F1285" s="3">
        <v>0.39</v>
      </c>
      <c r="G1285" s="3">
        <v>380</v>
      </c>
      <c r="H1285" s="3">
        <f t="shared" si="23"/>
        <v>148.2</v>
      </c>
      <c r="I1285" s="3"/>
      <c r="J1285" s="26">
        <v>9.2</v>
      </c>
    </row>
    <row r="1286" customHeight="1" spans="1:10">
      <c r="A1286" s="3">
        <v>1338</v>
      </c>
      <c r="B1286" s="3" t="s">
        <v>279</v>
      </c>
      <c r="C1286" s="3" t="s">
        <v>177</v>
      </c>
      <c r="D1286" s="3" t="s">
        <v>429</v>
      </c>
      <c r="E1286" s="3" t="s">
        <v>13</v>
      </c>
      <c r="F1286" s="3">
        <v>0.27</v>
      </c>
      <c r="G1286" s="3">
        <v>380</v>
      </c>
      <c r="H1286" s="3">
        <f t="shared" si="23"/>
        <v>102.6</v>
      </c>
      <c r="I1286" s="3"/>
      <c r="J1286" s="26">
        <v>9.2</v>
      </c>
    </row>
    <row r="1287" customHeight="1" spans="1:10">
      <c r="A1287" s="3">
        <v>1339</v>
      </c>
      <c r="B1287" s="3" t="s">
        <v>220</v>
      </c>
      <c r="C1287" s="3" t="s">
        <v>177</v>
      </c>
      <c r="D1287" s="3" t="s">
        <v>429</v>
      </c>
      <c r="E1287" s="3" t="s">
        <v>13</v>
      </c>
      <c r="F1287" s="3">
        <v>0.06</v>
      </c>
      <c r="G1287" s="3">
        <v>380</v>
      </c>
      <c r="H1287" s="3">
        <f t="shared" si="23"/>
        <v>22.8</v>
      </c>
      <c r="I1287" s="3"/>
      <c r="J1287" s="26">
        <v>9.2</v>
      </c>
    </row>
    <row r="1288" customHeight="1" spans="1:10">
      <c r="A1288" s="3">
        <v>1340</v>
      </c>
      <c r="B1288" s="3" t="s">
        <v>507</v>
      </c>
      <c r="C1288" s="3" t="s">
        <v>177</v>
      </c>
      <c r="D1288" s="3" t="s">
        <v>515</v>
      </c>
      <c r="E1288" s="3" t="s">
        <v>13</v>
      </c>
      <c r="F1288" s="3">
        <v>0.8</v>
      </c>
      <c r="G1288" s="3">
        <v>380</v>
      </c>
      <c r="H1288" s="3">
        <f t="shared" si="23"/>
        <v>304</v>
      </c>
      <c r="I1288" s="3"/>
      <c r="J1288" s="26">
        <v>9.2</v>
      </c>
    </row>
    <row r="1289" customHeight="1" spans="1:10">
      <c r="A1289" s="3">
        <v>1341</v>
      </c>
      <c r="B1289" s="3" t="s">
        <v>508</v>
      </c>
      <c r="C1289" s="3" t="s">
        <v>177</v>
      </c>
      <c r="D1289" s="3" t="s">
        <v>515</v>
      </c>
      <c r="E1289" s="3" t="s">
        <v>13</v>
      </c>
      <c r="F1289" s="3">
        <v>0.2</v>
      </c>
      <c r="G1289" s="3">
        <v>380</v>
      </c>
      <c r="H1289" s="3">
        <f t="shared" si="23"/>
        <v>76</v>
      </c>
      <c r="I1289" s="3"/>
      <c r="J1289" s="26">
        <v>9.2</v>
      </c>
    </row>
    <row r="1290" customHeight="1" spans="1:10">
      <c r="A1290" s="3">
        <v>1342</v>
      </c>
      <c r="B1290" s="3" t="s">
        <v>220</v>
      </c>
      <c r="C1290" s="3" t="s">
        <v>177</v>
      </c>
      <c r="D1290" s="3" t="s">
        <v>516</v>
      </c>
      <c r="E1290" s="3" t="s">
        <v>13</v>
      </c>
      <c r="F1290" s="3">
        <v>0.13</v>
      </c>
      <c r="G1290" s="3">
        <v>380</v>
      </c>
      <c r="H1290" s="3">
        <f t="shared" si="23"/>
        <v>49.4</v>
      </c>
      <c r="I1290" s="3"/>
      <c r="J1290" s="26">
        <v>9.2</v>
      </c>
    </row>
    <row r="1291" customHeight="1" spans="1:10">
      <c r="A1291" s="3">
        <v>1343</v>
      </c>
      <c r="B1291" s="3" t="s">
        <v>278</v>
      </c>
      <c r="C1291" s="3" t="s">
        <v>177</v>
      </c>
      <c r="D1291" s="3" t="s">
        <v>516</v>
      </c>
      <c r="E1291" s="3" t="s">
        <v>13</v>
      </c>
      <c r="F1291" s="3">
        <v>0.16</v>
      </c>
      <c r="G1291" s="3">
        <v>380</v>
      </c>
      <c r="H1291" s="3">
        <f t="shared" si="23"/>
        <v>60.8</v>
      </c>
      <c r="I1291" s="3"/>
      <c r="J1291" s="26">
        <v>9.2</v>
      </c>
    </row>
    <row r="1292" customHeight="1" spans="1:10">
      <c r="A1292" s="3">
        <v>1344</v>
      </c>
      <c r="B1292" s="3" t="s">
        <v>510</v>
      </c>
      <c r="C1292" s="3" t="s">
        <v>177</v>
      </c>
      <c r="D1292" s="3" t="s">
        <v>516</v>
      </c>
      <c r="E1292" s="3" t="s">
        <v>13</v>
      </c>
      <c r="F1292" s="3">
        <v>0.22</v>
      </c>
      <c r="G1292" s="3">
        <v>380</v>
      </c>
      <c r="H1292" s="3">
        <f t="shared" si="23"/>
        <v>83.6</v>
      </c>
      <c r="I1292" s="3"/>
      <c r="J1292" s="26">
        <v>9.2</v>
      </c>
    </row>
    <row r="1293" customHeight="1" spans="1:10">
      <c r="A1293" s="3">
        <v>1345</v>
      </c>
      <c r="B1293" s="3" t="s">
        <v>129</v>
      </c>
      <c r="C1293" s="3" t="s">
        <v>177</v>
      </c>
      <c r="D1293" s="3" t="s">
        <v>154</v>
      </c>
      <c r="E1293" s="3" t="s">
        <v>13</v>
      </c>
      <c r="F1293" s="3">
        <v>1.71</v>
      </c>
      <c r="G1293" s="3">
        <v>380</v>
      </c>
      <c r="H1293" s="3">
        <f t="shared" si="23"/>
        <v>649.8</v>
      </c>
      <c r="I1293" s="3"/>
      <c r="J1293" s="26">
        <v>9.2</v>
      </c>
    </row>
    <row r="1294" customHeight="1" spans="1:10">
      <c r="A1294" s="3">
        <v>1346</v>
      </c>
      <c r="B1294" s="3" t="s">
        <v>507</v>
      </c>
      <c r="C1294" s="3" t="s">
        <v>177</v>
      </c>
      <c r="D1294" s="3" t="s">
        <v>154</v>
      </c>
      <c r="E1294" s="3" t="s">
        <v>13</v>
      </c>
      <c r="F1294" s="3">
        <v>0.36</v>
      </c>
      <c r="G1294" s="3">
        <v>380</v>
      </c>
      <c r="H1294" s="3">
        <f t="shared" si="23"/>
        <v>136.8</v>
      </c>
      <c r="I1294" s="3"/>
      <c r="J1294" s="26">
        <v>9.2</v>
      </c>
    </row>
    <row r="1295" customHeight="1" spans="1:10">
      <c r="A1295" s="3">
        <v>1347</v>
      </c>
      <c r="B1295" s="3" t="s">
        <v>278</v>
      </c>
      <c r="C1295" s="3" t="s">
        <v>177</v>
      </c>
      <c r="D1295" s="3" t="s">
        <v>154</v>
      </c>
      <c r="E1295" s="3" t="s">
        <v>13</v>
      </c>
      <c r="F1295" s="3">
        <v>0.4</v>
      </c>
      <c r="G1295" s="3">
        <v>380</v>
      </c>
      <c r="H1295" s="3">
        <f t="shared" si="23"/>
        <v>152</v>
      </c>
      <c r="I1295" s="3"/>
      <c r="J1295" s="26">
        <v>9.2</v>
      </c>
    </row>
    <row r="1296" customHeight="1" spans="1:10">
      <c r="A1296" s="3">
        <v>1348</v>
      </c>
      <c r="B1296" s="3" t="s">
        <v>502</v>
      </c>
      <c r="C1296" s="3" t="s">
        <v>177</v>
      </c>
      <c r="D1296" s="3" t="s">
        <v>154</v>
      </c>
      <c r="E1296" s="3" t="s">
        <v>13</v>
      </c>
      <c r="F1296" s="3">
        <v>0.64</v>
      </c>
      <c r="G1296" s="3">
        <v>380</v>
      </c>
      <c r="H1296" s="3">
        <f t="shared" si="23"/>
        <v>243.2</v>
      </c>
      <c r="I1296" s="3"/>
      <c r="J1296" s="26">
        <v>9.2</v>
      </c>
    </row>
    <row r="1297" customHeight="1" spans="1:10">
      <c r="A1297" s="3">
        <v>1349</v>
      </c>
      <c r="B1297" s="3" t="s">
        <v>517</v>
      </c>
      <c r="C1297" s="3" t="s">
        <v>177</v>
      </c>
      <c r="D1297" s="3" t="s">
        <v>154</v>
      </c>
      <c r="E1297" s="3" t="s">
        <v>13</v>
      </c>
      <c r="F1297" s="3">
        <v>1.04</v>
      </c>
      <c r="G1297" s="3">
        <v>380</v>
      </c>
      <c r="H1297" s="3">
        <f t="shared" si="23"/>
        <v>395.2</v>
      </c>
      <c r="I1297" s="3"/>
      <c r="J1297" s="26">
        <v>9.2</v>
      </c>
    </row>
    <row r="1298" customHeight="1" spans="1:10">
      <c r="A1298" s="3">
        <v>1350</v>
      </c>
      <c r="B1298" s="3" t="s">
        <v>518</v>
      </c>
      <c r="C1298" s="3" t="s">
        <v>177</v>
      </c>
      <c r="D1298" s="3" t="s">
        <v>347</v>
      </c>
      <c r="E1298" s="3" t="s">
        <v>22</v>
      </c>
      <c r="F1298" s="3">
        <v>0.4</v>
      </c>
      <c r="G1298" s="3">
        <v>480</v>
      </c>
      <c r="H1298" s="3">
        <f t="shared" si="23"/>
        <v>192</v>
      </c>
      <c r="I1298" s="3"/>
      <c r="J1298" s="26">
        <v>9.2</v>
      </c>
    </row>
    <row r="1299" customHeight="1" spans="1:10">
      <c r="A1299" s="3">
        <v>1351</v>
      </c>
      <c r="B1299" s="3" t="s">
        <v>279</v>
      </c>
      <c r="C1299" s="3" t="s">
        <v>177</v>
      </c>
      <c r="D1299" s="3" t="s">
        <v>519</v>
      </c>
      <c r="E1299" s="3" t="s">
        <v>22</v>
      </c>
      <c r="F1299" s="3">
        <v>0.06</v>
      </c>
      <c r="G1299" s="3">
        <v>480</v>
      </c>
      <c r="H1299" s="3">
        <f t="shared" si="23"/>
        <v>28.8</v>
      </c>
      <c r="I1299" s="3"/>
      <c r="J1299" s="26">
        <v>9.2</v>
      </c>
    </row>
    <row r="1300" customHeight="1" spans="1:10">
      <c r="A1300" s="3">
        <v>1352</v>
      </c>
      <c r="B1300" s="3" t="s">
        <v>504</v>
      </c>
      <c r="C1300" s="3" t="s">
        <v>177</v>
      </c>
      <c r="D1300" s="3" t="s">
        <v>301</v>
      </c>
      <c r="E1300" s="3" t="s">
        <v>22</v>
      </c>
      <c r="F1300" s="3">
        <v>1.13</v>
      </c>
      <c r="G1300" s="3">
        <v>480</v>
      </c>
      <c r="H1300" s="3">
        <f t="shared" si="23"/>
        <v>542.4</v>
      </c>
      <c r="I1300" s="3"/>
      <c r="J1300" s="26">
        <v>9.2</v>
      </c>
    </row>
    <row r="1301" customHeight="1" spans="1:10">
      <c r="A1301" s="3">
        <v>1353</v>
      </c>
      <c r="B1301" s="3" t="s">
        <v>520</v>
      </c>
      <c r="C1301" s="3" t="s">
        <v>177</v>
      </c>
      <c r="D1301" s="3" t="s">
        <v>281</v>
      </c>
      <c r="E1301" s="3" t="s">
        <v>13</v>
      </c>
      <c r="F1301" s="3">
        <v>0.5</v>
      </c>
      <c r="G1301" s="3">
        <v>380</v>
      </c>
      <c r="H1301" s="3">
        <f t="shared" si="23"/>
        <v>190</v>
      </c>
      <c r="I1301" s="3"/>
      <c r="J1301" s="26">
        <v>9.2</v>
      </c>
    </row>
    <row r="1302" customHeight="1" spans="1:10">
      <c r="A1302" s="3">
        <v>1354</v>
      </c>
      <c r="B1302" s="3" t="s">
        <v>278</v>
      </c>
      <c r="C1302" s="3" t="s">
        <v>177</v>
      </c>
      <c r="D1302" s="3" t="s">
        <v>307</v>
      </c>
      <c r="E1302" s="3" t="s">
        <v>22</v>
      </c>
      <c r="F1302" s="3">
        <v>0.15</v>
      </c>
      <c r="G1302" s="3">
        <v>480</v>
      </c>
      <c r="H1302" s="3">
        <f t="shared" si="23"/>
        <v>72</v>
      </c>
      <c r="I1302" s="3"/>
      <c r="J1302" s="26">
        <v>9.2</v>
      </c>
    </row>
    <row r="1303" customHeight="1" spans="1:10">
      <c r="A1303" s="3">
        <v>1355</v>
      </c>
      <c r="B1303" s="3" t="s">
        <v>521</v>
      </c>
      <c r="C1303" s="3" t="s">
        <v>177</v>
      </c>
      <c r="D1303" s="3" t="s">
        <v>227</v>
      </c>
      <c r="E1303" s="3" t="s">
        <v>22</v>
      </c>
      <c r="F1303" s="3">
        <v>0.09</v>
      </c>
      <c r="G1303" s="3">
        <v>480</v>
      </c>
      <c r="H1303" s="3">
        <f t="shared" si="23"/>
        <v>43.2</v>
      </c>
      <c r="I1303" s="3"/>
      <c r="J1303" s="26">
        <v>9.2</v>
      </c>
    </row>
    <row r="1304" customHeight="1" spans="1:10">
      <c r="A1304" s="3">
        <v>1356</v>
      </c>
      <c r="B1304" s="3" t="s">
        <v>332</v>
      </c>
      <c r="C1304" s="3" t="s">
        <v>177</v>
      </c>
      <c r="D1304" s="3" t="s">
        <v>227</v>
      </c>
      <c r="E1304" s="3" t="s">
        <v>22</v>
      </c>
      <c r="F1304" s="3">
        <v>0.14</v>
      </c>
      <c r="G1304" s="3">
        <v>480</v>
      </c>
      <c r="H1304" s="3">
        <f t="shared" si="23"/>
        <v>67.2</v>
      </c>
      <c r="I1304" s="3"/>
      <c r="J1304" s="26">
        <v>9.2</v>
      </c>
    </row>
    <row r="1305" customHeight="1" spans="1:10">
      <c r="A1305" s="3">
        <v>1357</v>
      </c>
      <c r="B1305" s="3" t="s">
        <v>332</v>
      </c>
      <c r="C1305" s="3" t="s">
        <v>177</v>
      </c>
      <c r="D1305" s="3" t="s">
        <v>318</v>
      </c>
      <c r="E1305" s="3" t="s">
        <v>13</v>
      </c>
      <c r="F1305" s="3">
        <v>0.52</v>
      </c>
      <c r="G1305" s="3">
        <v>380</v>
      </c>
      <c r="H1305" s="3">
        <f t="shared" si="23"/>
        <v>197.6</v>
      </c>
      <c r="I1305" s="3"/>
      <c r="J1305" s="26">
        <v>9.2</v>
      </c>
    </row>
    <row r="1306" customHeight="1" spans="1:10">
      <c r="A1306" s="3">
        <v>1358</v>
      </c>
      <c r="B1306" s="3" t="s">
        <v>332</v>
      </c>
      <c r="C1306" s="3" t="s">
        <v>177</v>
      </c>
      <c r="D1306" s="3" t="s">
        <v>318</v>
      </c>
      <c r="E1306" s="3" t="s">
        <v>13</v>
      </c>
      <c r="F1306" s="3">
        <v>0.3</v>
      </c>
      <c r="G1306" s="3">
        <v>380</v>
      </c>
      <c r="H1306" s="3">
        <f t="shared" si="23"/>
        <v>114</v>
      </c>
      <c r="I1306" s="3"/>
      <c r="J1306" s="26">
        <v>9.2</v>
      </c>
    </row>
    <row r="1307" customHeight="1" spans="1:10">
      <c r="A1307" s="3">
        <v>1359</v>
      </c>
      <c r="B1307" s="3" t="s">
        <v>508</v>
      </c>
      <c r="C1307" s="3" t="s">
        <v>177</v>
      </c>
      <c r="D1307" s="3" t="s">
        <v>318</v>
      </c>
      <c r="E1307" s="3" t="s">
        <v>13</v>
      </c>
      <c r="F1307" s="3">
        <v>0.5</v>
      </c>
      <c r="G1307" s="3">
        <v>380</v>
      </c>
      <c r="H1307" s="3">
        <f t="shared" si="23"/>
        <v>190</v>
      </c>
      <c r="I1307" s="3"/>
      <c r="J1307" s="26">
        <v>9.2</v>
      </c>
    </row>
    <row r="1308" customHeight="1" spans="1:10">
      <c r="A1308" s="3">
        <v>1360</v>
      </c>
      <c r="B1308" s="3" t="s">
        <v>502</v>
      </c>
      <c r="C1308" s="3" t="s">
        <v>177</v>
      </c>
      <c r="D1308" s="3" t="s">
        <v>345</v>
      </c>
      <c r="E1308" s="3" t="s">
        <v>22</v>
      </c>
      <c r="F1308" s="3">
        <v>0.66</v>
      </c>
      <c r="G1308" s="3">
        <v>380</v>
      </c>
      <c r="H1308" s="3">
        <f t="shared" si="23"/>
        <v>250.8</v>
      </c>
      <c r="I1308" s="3"/>
      <c r="J1308" s="26">
        <v>9.2</v>
      </c>
    </row>
    <row r="1309" customHeight="1" spans="1:10">
      <c r="A1309" s="3">
        <v>1361</v>
      </c>
      <c r="B1309" s="3" t="s">
        <v>522</v>
      </c>
      <c r="C1309" s="3" t="s">
        <v>177</v>
      </c>
      <c r="D1309" s="3" t="s">
        <v>307</v>
      </c>
      <c r="E1309" s="3" t="s">
        <v>22</v>
      </c>
      <c r="F1309" s="3">
        <v>1.56</v>
      </c>
      <c r="G1309" s="3">
        <v>480</v>
      </c>
      <c r="H1309" s="3">
        <f t="shared" si="23"/>
        <v>748.8</v>
      </c>
      <c r="I1309" s="3"/>
      <c r="J1309" s="26">
        <v>9.2</v>
      </c>
    </row>
    <row r="1310" customHeight="1" spans="1:10">
      <c r="A1310" s="3">
        <v>1362</v>
      </c>
      <c r="B1310" s="3" t="s">
        <v>522</v>
      </c>
      <c r="C1310" s="3" t="s">
        <v>177</v>
      </c>
      <c r="D1310" s="3" t="s">
        <v>347</v>
      </c>
      <c r="E1310" s="3" t="s">
        <v>22</v>
      </c>
      <c r="F1310" s="3">
        <v>1.04</v>
      </c>
      <c r="G1310" s="3">
        <v>480</v>
      </c>
      <c r="H1310" s="3">
        <f t="shared" si="23"/>
        <v>499.2</v>
      </c>
      <c r="I1310" s="3"/>
      <c r="J1310" s="26">
        <v>9.2</v>
      </c>
    </row>
    <row r="1311" customHeight="1" spans="1:10">
      <c r="A1311" s="3">
        <v>1363</v>
      </c>
      <c r="B1311" s="3" t="s">
        <v>523</v>
      </c>
      <c r="C1311" s="3" t="s">
        <v>177</v>
      </c>
      <c r="D1311" s="3" t="s">
        <v>345</v>
      </c>
      <c r="E1311" s="3" t="s">
        <v>22</v>
      </c>
      <c r="F1311" s="3">
        <v>0.22</v>
      </c>
      <c r="G1311" s="3">
        <v>480</v>
      </c>
      <c r="H1311" s="3">
        <f t="shared" si="23"/>
        <v>105.6</v>
      </c>
      <c r="I1311" s="3"/>
      <c r="J1311" s="26">
        <v>9.2</v>
      </c>
    </row>
    <row r="1312" customHeight="1" spans="1:10">
      <c r="A1312" s="3">
        <v>1364</v>
      </c>
      <c r="B1312" s="3" t="s">
        <v>524</v>
      </c>
      <c r="C1312" s="3" t="s">
        <v>177</v>
      </c>
      <c r="D1312" s="3" t="s">
        <v>345</v>
      </c>
      <c r="E1312" s="3" t="s">
        <v>22</v>
      </c>
      <c r="F1312" s="3">
        <v>0.4</v>
      </c>
      <c r="G1312" s="3">
        <v>480</v>
      </c>
      <c r="H1312" s="3">
        <f t="shared" si="23"/>
        <v>192</v>
      </c>
      <c r="I1312" s="3"/>
      <c r="J1312" s="26">
        <v>9.2</v>
      </c>
    </row>
    <row r="1313" customHeight="1" spans="1:10">
      <c r="A1313" s="3">
        <v>1365</v>
      </c>
      <c r="B1313" s="3" t="s">
        <v>522</v>
      </c>
      <c r="C1313" s="3" t="s">
        <v>177</v>
      </c>
      <c r="D1313" s="3" t="s">
        <v>215</v>
      </c>
      <c r="E1313" s="3" t="s">
        <v>22</v>
      </c>
      <c r="F1313" s="3">
        <v>1.06</v>
      </c>
      <c r="G1313" s="3">
        <v>480</v>
      </c>
      <c r="H1313" s="3">
        <f t="shared" si="23"/>
        <v>508.8</v>
      </c>
      <c r="I1313" s="3"/>
      <c r="J1313" s="26">
        <v>9.2</v>
      </c>
    </row>
    <row r="1314" customHeight="1" spans="1:10">
      <c r="A1314" s="3">
        <v>1366</v>
      </c>
      <c r="B1314" s="3" t="s">
        <v>522</v>
      </c>
      <c r="C1314" s="3" t="s">
        <v>177</v>
      </c>
      <c r="D1314" s="3" t="s">
        <v>216</v>
      </c>
      <c r="E1314" s="3" t="s">
        <v>22</v>
      </c>
      <c r="F1314" s="3">
        <v>0.59</v>
      </c>
      <c r="G1314" s="3">
        <v>480</v>
      </c>
      <c r="H1314" s="3">
        <f t="shared" si="23"/>
        <v>283.2</v>
      </c>
      <c r="I1314" s="3"/>
      <c r="J1314" s="26">
        <v>9.2</v>
      </c>
    </row>
    <row r="1315" customHeight="1" spans="1:10">
      <c r="A1315" s="3">
        <v>1367</v>
      </c>
      <c r="B1315" s="3" t="s">
        <v>278</v>
      </c>
      <c r="C1315" s="3" t="s">
        <v>177</v>
      </c>
      <c r="D1315" s="3" t="s">
        <v>525</v>
      </c>
      <c r="E1315" s="3" t="s">
        <v>22</v>
      </c>
      <c r="F1315" s="3">
        <v>0.61</v>
      </c>
      <c r="G1315" s="3">
        <v>480</v>
      </c>
      <c r="H1315" s="3">
        <f t="shared" si="23"/>
        <v>292.8</v>
      </c>
      <c r="I1315" s="3"/>
      <c r="J1315" s="26">
        <v>9.2</v>
      </c>
    </row>
    <row r="1316" customHeight="1" spans="1:10">
      <c r="A1316" s="3">
        <v>1368</v>
      </c>
      <c r="B1316" s="3" t="s">
        <v>220</v>
      </c>
      <c r="C1316" s="3" t="s">
        <v>177</v>
      </c>
      <c r="D1316" s="3" t="s">
        <v>526</v>
      </c>
      <c r="E1316" s="3" t="s">
        <v>22</v>
      </c>
      <c r="F1316" s="3">
        <v>0.32</v>
      </c>
      <c r="G1316" s="3">
        <v>480</v>
      </c>
      <c r="H1316" s="3">
        <f t="shared" si="23"/>
        <v>153.6</v>
      </c>
      <c r="I1316" s="3"/>
      <c r="J1316" s="26">
        <v>9.2</v>
      </c>
    </row>
    <row r="1317" customHeight="1" spans="1:10">
      <c r="A1317" s="3">
        <v>1369</v>
      </c>
      <c r="B1317" s="3" t="s">
        <v>278</v>
      </c>
      <c r="C1317" s="3" t="s">
        <v>177</v>
      </c>
      <c r="D1317" s="3" t="s">
        <v>526</v>
      </c>
      <c r="E1317" s="3" t="s">
        <v>22</v>
      </c>
      <c r="F1317" s="3">
        <v>0.11</v>
      </c>
      <c r="G1317" s="3">
        <v>480</v>
      </c>
      <c r="H1317" s="3">
        <f t="shared" si="23"/>
        <v>52.8</v>
      </c>
      <c r="I1317" s="3"/>
      <c r="J1317" s="26">
        <v>9.2</v>
      </c>
    </row>
    <row r="1318" customHeight="1" spans="1:10">
      <c r="A1318" s="3">
        <v>1370</v>
      </c>
      <c r="B1318" s="3" t="s">
        <v>502</v>
      </c>
      <c r="C1318" s="3" t="s">
        <v>177</v>
      </c>
      <c r="D1318" s="3" t="s">
        <v>526</v>
      </c>
      <c r="E1318" s="3" t="s">
        <v>22</v>
      </c>
      <c r="F1318" s="3">
        <v>0.16</v>
      </c>
      <c r="G1318" s="3">
        <v>480</v>
      </c>
      <c r="H1318" s="3">
        <f t="shared" si="23"/>
        <v>76.8</v>
      </c>
      <c r="I1318" s="3"/>
      <c r="J1318" s="26">
        <v>9.2</v>
      </c>
    </row>
    <row r="1319" customHeight="1" spans="1:10">
      <c r="A1319" s="3">
        <v>1371</v>
      </c>
      <c r="B1319" s="3" t="s">
        <v>521</v>
      </c>
      <c r="C1319" s="3" t="s">
        <v>177</v>
      </c>
      <c r="D1319" s="3" t="s">
        <v>526</v>
      </c>
      <c r="E1319" s="3" t="s">
        <v>22</v>
      </c>
      <c r="F1319" s="3">
        <v>0.62</v>
      </c>
      <c r="G1319" s="3">
        <v>480</v>
      </c>
      <c r="H1319" s="3">
        <f t="shared" si="23"/>
        <v>297.6</v>
      </c>
      <c r="I1319" s="3"/>
      <c r="J1319" s="26">
        <v>9.2</v>
      </c>
    </row>
    <row r="1320" customHeight="1" spans="1:10">
      <c r="A1320" s="3">
        <v>1372</v>
      </c>
      <c r="B1320" s="3" t="s">
        <v>499</v>
      </c>
      <c r="C1320" s="3" t="s">
        <v>177</v>
      </c>
      <c r="D1320" s="3" t="s">
        <v>526</v>
      </c>
      <c r="E1320" s="3" t="s">
        <v>22</v>
      </c>
      <c r="F1320" s="3">
        <v>0.51</v>
      </c>
      <c r="G1320" s="3">
        <v>480</v>
      </c>
      <c r="H1320" s="3">
        <f t="shared" si="23"/>
        <v>244.8</v>
      </c>
      <c r="I1320" s="3"/>
      <c r="J1320" s="26">
        <v>9.2</v>
      </c>
    </row>
    <row r="1321" customHeight="1" spans="1:10">
      <c r="A1321" s="3">
        <v>1373</v>
      </c>
      <c r="B1321" s="3" t="s">
        <v>521</v>
      </c>
      <c r="C1321" s="3" t="s">
        <v>177</v>
      </c>
      <c r="D1321" s="3" t="s">
        <v>435</v>
      </c>
      <c r="E1321" s="3" t="s">
        <v>13</v>
      </c>
      <c r="F1321" s="3">
        <v>0.16</v>
      </c>
      <c r="G1321" s="3">
        <v>380</v>
      </c>
      <c r="H1321" s="3">
        <f t="shared" si="23"/>
        <v>60.8</v>
      </c>
      <c r="I1321" s="3"/>
      <c r="J1321" s="26">
        <v>9.2</v>
      </c>
    </row>
    <row r="1322" customHeight="1" spans="1:10">
      <c r="A1322" s="3">
        <v>1374</v>
      </c>
      <c r="B1322" s="3" t="s">
        <v>499</v>
      </c>
      <c r="C1322" s="3" t="s">
        <v>177</v>
      </c>
      <c r="D1322" s="3" t="s">
        <v>527</v>
      </c>
      <c r="E1322" s="3" t="s">
        <v>13</v>
      </c>
      <c r="F1322" s="3">
        <v>0.28</v>
      </c>
      <c r="G1322" s="3">
        <v>380</v>
      </c>
      <c r="H1322" s="3">
        <f t="shared" si="23"/>
        <v>106.4</v>
      </c>
      <c r="I1322" s="3"/>
      <c r="J1322" s="26">
        <v>9.2</v>
      </c>
    </row>
    <row r="1323" customHeight="1" spans="1:10">
      <c r="A1323" s="3">
        <v>1375</v>
      </c>
      <c r="B1323" s="3" t="s">
        <v>270</v>
      </c>
      <c r="C1323" s="3" t="s">
        <v>177</v>
      </c>
      <c r="D1323" s="3" t="s">
        <v>528</v>
      </c>
      <c r="E1323" s="3" t="s">
        <v>13</v>
      </c>
      <c r="F1323" s="3">
        <v>0.21</v>
      </c>
      <c r="G1323" s="3">
        <v>380</v>
      </c>
      <c r="H1323" s="3">
        <f t="shared" si="23"/>
        <v>79.8</v>
      </c>
      <c r="I1323" s="3"/>
      <c r="J1323" s="26">
        <v>9.2</v>
      </c>
    </row>
    <row r="1324" customHeight="1" spans="1:10">
      <c r="A1324" s="3">
        <v>1376</v>
      </c>
      <c r="B1324" s="3" t="s">
        <v>499</v>
      </c>
      <c r="C1324" s="3" t="s">
        <v>177</v>
      </c>
      <c r="D1324" s="3" t="s">
        <v>528</v>
      </c>
      <c r="E1324" s="3" t="s">
        <v>13</v>
      </c>
      <c r="F1324" s="3">
        <v>0.1</v>
      </c>
      <c r="G1324" s="3">
        <v>380</v>
      </c>
      <c r="H1324" s="3">
        <f t="shared" si="23"/>
        <v>38</v>
      </c>
      <c r="I1324" s="3"/>
      <c r="J1324" s="26">
        <v>9.2</v>
      </c>
    </row>
    <row r="1325" customHeight="1" spans="1:10">
      <c r="A1325" s="3">
        <v>1377</v>
      </c>
      <c r="B1325" s="3" t="s">
        <v>270</v>
      </c>
      <c r="C1325" s="3" t="s">
        <v>177</v>
      </c>
      <c r="D1325" s="3" t="s">
        <v>528</v>
      </c>
      <c r="E1325" s="3" t="s">
        <v>13</v>
      </c>
      <c r="F1325" s="3">
        <v>0.15</v>
      </c>
      <c r="G1325" s="3">
        <v>380</v>
      </c>
      <c r="H1325" s="3">
        <f t="shared" si="23"/>
        <v>57</v>
      </c>
      <c r="I1325" s="3"/>
      <c r="J1325" s="26">
        <v>9.2</v>
      </c>
    </row>
    <row r="1326" customHeight="1" spans="1:10">
      <c r="A1326" s="3">
        <v>1378</v>
      </c>
      <c r="B1326" s="3" t="s">
        <v>30</v>
      </c>
      <c r="C1326" s="3" t="s">
        <v>177</v>
      </c>
      <c r="D1326" s="3" t="s">
        <v>528</v>
      </c>
      <c r="E1326" s="3" t="s">
        <v>13</v>
      </c>
      <c r="F1326" s="3">
        <v>0.1</v>
      </c>
      <c r="G1326" s="3">
        <v>380</v>
      </c>
      <c r="H1326" s="3">
        <f t="shared" si="23"/>
        <v>38</v>
      </c>
      <c r="I1326" s="3"/>
      <c r="J1326" s="26">
        <v>9.2</v>
      </c>
    </row>
    <row r="1327" customHeight="1" spans="1:10">
      <c r="A1327" s="3">
        <v>1379</v>
      </c>
      <c r="B1327" s="3" t="s">
        <v>293</v>
      </c>
      <c r="C1327" s="3" t="s">
        <v>177</v>
      </c>
      <c r="D1327" s="3" t="s">
        <v>528</v>
      </c>
      <c r="E1327" s="3" t="s">
        <v>13</v>
      </c>
      <c r="F1327" s="3">
        <v>0.52</v>
      </c>
      <c r="G1327" s="3">
        <v>380</v>
      </c>
      <c r="H1327" s="3">
        <f t="shared" si="23"/>
        <v>197.6</v>
      </c>
      <c r="I1327" s="3"/>
      <c r="J1327" s="26">
        <v>9.2</v>
      </c>
    </row>
    <row r="1328" customHeight="1" spans="1:10">
      <c r="A1328" s="3">
        <v>1380</v>
      </c>
      <c r="B1328" s="3" t="s">
        <v>257</v>
      </c>
      <c r="C1328" s="3" t="s">
        <v>177</v>
      </c>
      <c r="D1328" s="3" t="s">
        <v>528</v>
      </c>
      <c r="E1328" s="3" t="s">
        <v>13</v>
      </c>
      <c r="F1328" s="3">
        <v>0.1</v>
      </c>
      <c r="G1328" s="3">
        <v>380</v>
      </c>
      <c r="H1328" s="3">
        <f t="shared" si="23"/>
        <v>38</v>
      </c>
      <c r="I1328" s="3"/>
      <c r="J1328" s="26">
        <v>9.2</v>
      </c>
    </row>
    <row r="1329" customHeight="1" spans="1:10">
      <c r="A1329" s="3">
        <v>1381</v>
      </c>
      <c r="B1329" s="3" t="s">
        <v>518</v>
      </c>
      <c r="C1329" s="3" t="s">
        <v>177</v>
      </c>
      <c r="D1329" s="3" t="s">
        <v>528</v>
      </c>
      <c r="E1329" s="3" t="s">
        <v>13</v>
      </c>
      <c r="F1329" s="3">
        <v>0.09</v>
      </c>
      <c r="G1329" s="3">
        <v>380</v>
      </c>
      <c r="H1329" s="3">
        <f t="shared" si="23"/>
        <v>34.2</v>
      </c>
      <c r="I1329" s="3"/>
      <c r="J1329" s="26">
        <v>9.2</v>
      </c>
    </row>
    <row r="1330" customHeight="1" spans="1:10">
      <c r="A1330" s="3">
        <v>1382</v>
      </c>
      <c r="B1330" s="3" t="s">
        <v>266</v>
      </c>
      <c r="C1330" s="3" t="s">
        <v>177</v>
      </c>
      <c r="D1330" s="3" t="s">
        <v>528</v>
      </c>
      <c r="E1330" s="3" t="s">
        <v>13</v>
      </c>
      <c r="F1330" s="3">
        <v>0.17</v>
      </c>
      <c r="G1330" s="3">
        <v>380</v>
      </c>
      <c r="H1330" s="3">
        <f t="shared" si="23"/>
        <v>64.6</v>
      </c>
      <c r="I1330" s="3"/>
      <c r="J1330" s="26">
        <v>9.2</v>
      </c>
    </row>
    <row r="1331" customHeight="1" spans="1:10">
      <c r="A1331" s="3">
        <v>1383</v>
      </c>
      <c r="B1331" s="3" t="s">
        <v>264</v>
      </c>
      <c r="C1331" s="3" t="s">
        <v>177</v>
      </c>
      <c r="D1331" s="3" t="s">
        <v>528</v>
      </c>
      <c r="E1331" s="3" t="s">
        <v>13</v>
      </c>
      <c r="F1331" s="3">
        <v>0.03</v>
      </c>
      <c r="G1331" s="3">
        <v>380</v>
      </c>
      <c r="H1331" s="3">
        <f t="shared" si="23"/>
        <v>11.4</v>
      </c>
      <c r="I1331" s="3"/>
      <c r="J1331" s="26">
        <v>9.2</v>
      </c>
    </row>
    <row r="1332" customHeight="1" spans="1:10">
      <c r="A1332" s="3">
        <v>1384</v>
      </c>
      <c r="B1332" s="3" t="s">
        <v>529</v>
      </c>
      <c r="C1332" s="3" t="s">
        <v>177</v>
      </c>
      <c r="D1332" s="3" t="s">
        <v>528</v>
      </c>
      <c r="E1332" s="3" t="s">
        <v>13</v>
      </c>
      <c r="F1332" s="3">
        <v>0.08</v>
      </c>
      <c r="G1332" s="3">
        <v>380</v>
      </c>
      <c r="H1332" s="3">
        <f t="shared" si="23"/>
        <v>30.4</v>
      </c>
      <c r="I1332" s="3"/>
      <c r="J1332" s="26">
        <v>9.2</v>
      </c>
    </row>
    <row r="1333" customHeight="1" spans="1:10">
      <c r="A1333" s="3">
        <v>1385</v>
      </c>
      <c r="B1333" s="3" t="s">
        <v>502</v>
      </c>
      <c r="C1333" s="3" t="s">
        <v>177</v>
      </c>
      <c r="D1333" s="3" t="s">
        <v>147</v>
      </c>
      <c r="E1333" s="3" t="s">
        <v>13</v>
      </c>
      <c r="F1333" s="3">
        <v>0.11</v>
      </c>
      <c r="G1333" s="3">
        <v>380</v>
      </c>
      <c r="H1333" s="3">
        <f t="shared" si="23"/>
        <v>41.8</v>
      </c>
      <c r="I1333" s="3"/>
      <c r="J1333" s="26">
        <v>9.2</v>
      </c>
    </row>
    <row r="1334" customHeight="1" spans="1:10">
      <c r="A1334" s="3">
        <v>1386</v>
      </c>
      <c r="B1334" s="3" t="s">
        <v>275</v>
      </c>
      <c r="C1334" s="3" t="s">
        <v>177</v>
      </c>
      <c r="D1334" s="3" t="s">
        <v>147</v>
      </c>
      <c r="E1334" s="3" t="s">
        <v>13</v>
      </c>
      <c r="F1334" s="3">
        <v>0.02</v>
      </c>
      <c r="G1334" s="3">
        <v>380</v>
      </c>
      <c r="H1334" s="3">
        <f t="shared" si="23"/>
        <v>7.6</v>
      </c>
      <c r="I1334" s="3"/>
      <c r="J1334" s="26">
        <v>9.2</v>
      </c>
    </row>
    <row r="1335" customHeight="1" spans="1:10">
      <c r="A1335" s="3">
        <v>1387</v>
      </c>
      <c r="B1335" s="3" t="s">
        <v>505</v>
      </c>
      <c r="C1335" s="3" t="s">
        <v>177</v>
      </c>
      <c r="D1335" s="3" t="s">
        <v>147</v>
      </c>
      <c r="E1335" s="3" t="s">
        <v>13</v>
      </c>
      <c r="F1335" s="3">
        <v>0.06</v>
      </c>
      <c r="G1335" s="3">
        <v>380</v>
      </c>
      <c r="H1335" s="3">
        <f t="shared" si="23"/>
        <v>22.8</v>
      </c>
      <c r="I1335" s="3"/>
      <c r="J1335" s="26">
        <v>9.2</v>
      </c>
    </row>
    <row r="1336" customHeight="1" spans="1:10">
      <c r="A1336" s="3">
        <v>1388</v>
      </c>
      <c r="B1336" s="3" t="s">
        <v>518</v>
      </c>
      <c r="C1336" s="3" t="s">
        <v>177</v>
      </c>
      <c r="D1336" s="3" t="s">
        <v>147</v>
      </c>
      <c r="E1336" s="3" t="s">
        <v>13</v>
      </c>
      <c r="F1336" s="3">
        <v>0.03</v>
      </c>
      <c r="G1336" s="3">
        <v>380</v>
      </c>
      <c r="H1336" s="3">
        <f t="shared" si="23"/>
        <v>11.4</v>
      </c>
      <c r="I1336" s="3"/>
      <c r="J1336" s="26">
        <v>9.2</v>
      </c>
    </row>
    <row r="1337" customHeight="1" spans="1:10">
      <c r="A1337" s="3">
        <v>1389</v>
      </c>
      <c r="B1337" s="3" t="s">
        <v>510</v>
      </c>
      <c r="C1337" s="3" t="s">
        <v>177</v>
      </c>
      <c r="D1337" s="3" t="s">
        <v>185</v>
      </c>
      <c r="E1337" s="3" t="s">
        <v>22</v>
      </c>
      <c r="F1337" s="3">
        <v>0.22</v>
      </c>
      <c r="G1337" s="3">
        <v>480</v>
      </c>
      <c r="H1337" s="3">
        <f t="shared" si="23"/>
        <v>105.6</v>
      </c>
      <c r="I1337" s="3"/>
      <c r="J1337" s="26">
        <v>9.2</v>
      </c>
    </row>
    <row r="1338" customHeight="1" spans="1:10">
      <c r="A1338" s="3">
        <v>1390</v>
      </c>
      <c r="B1338" s="3" t="s">
        <v>512</v>
      </c>
      <c r="C1338" s="3" t="s">
        <v>177</v>
      </c>
      <c r="D1338" s="3" t="s">
        <v>185</v>
      </c>
      <c r="E1338" s="3" t="s">
        <v>22</v>
      </c>
      <c r="F1338" s="3">
        <v>0.16</v>
      </c>
      <c r="G1338" s="3">
        <v>480</v>
      </c>
      <c r="H1338" s="3">
        <f t="shared" si="23"/>
        <v>76.8</v>
      </c>
      <c r="I1338" s="3"/>
      <c r="J1338" s="26">
        <v>9.2</v>
      </c>
    </row>
    <row r="1339" customHeight="1" spans="1:10">
      <c r="A1339" s="3">
        <v>1391</v>
      </c>
      <c r="B1339" s="3" t="s">
        <v>325</v>
      </c>
      <c r="C1339" s="3" t="s">
        <v>177</v>
      </c>
      <c r="D1339" s="3" t="s">
        <v>185</v>
      </c>
      <c r="E1339" s="3" t="s">
        <v>22</v>
      </c>
      <c r="F1339" s="3">
        <v>0.12</v>
      </c>
      <c r="G1339" s="3">
        <v>480</v>
      </c>
      <c r="H1339" s="3">
        <f t="shared" si="23"/>
        <v>57.6</v>
      </c>
      <c r="I1339" s="3"/>
      <c r="J1339" s="26">
        <v>9.2</v>
      </c>
    </row>
    <row r="1340" customHeight="1" spans="1:10">
      <c r="A1340" s="3">
        <v>1392</v>
      </c>
      <c r="B1340" s="3" t="s">
        <v>278</v>
      </c>
      <c r="C1340" s="3" t="s">
        <v>177</v>
      </c>
      <c r="D1340" s="3" t="s">
        <v>277</v>
      </c>
      <c r="E1340" s="3" t="s">
        <v>22</v>
      </c>
      <c r="F1340" s="3">
        <v>0.17</v>
      </c>
      <c r="G1340" s="3">
        <v>480</v>
      </c>
      <c r="H1340" s="3">
        <f t="shared" si="23"/>
        <v>81.6</v>
      </c>
      <c r="I1340" s="3"/>
      <c r="J1340" s="26">
        <v>9.2</v>
      </c>
    </row>
    <row r="1341" customHeight="1" spans="1:10">
      <c r="A1341" s="3">
        <v>1393</v>
      </c>
      <c r="B1341" s="3" t="s">
        <v>530</v>
      </c>
      <c r="C1341" s="3" t="s">
        <v>177</v>
      </c>
      <c r="D1341" s="3" t="s">
        <v>277</v>
      </c>
      <c r="E1341" s="3" t="s">
        <v>22</v>
      </c>
      <c r="F1341" s="3">
        <v>0.16</v>
      </c>
      <c r="G1341" s="3">
        <v>480</v>
      </c>
      <c r="H1341" s="3">
        <f t="shared" si="23"/>
        <v>76.8</v>
      </c>
      <c r="I1341" s="3"/>
      <c r="J1341" s="26">
        <v>9.2</v>
      </c>
    </row>
    <row r="1342" customHeight="1" spans="1:10">
      <c r="A1342" s="3">
        <v>1394</v>
      </c>
      <c r="B1342" s="3" t="s">
        <v>531</v>
      </c>
      <c r="C1342" s="3" t="s">
        <v>177</v>
      </c>
      <c r="D1342" s="3" t="s">
        <v>407</v>
      </c>
      <c r="E1342" s="3" t="s">
        <v>22</v>
      </c>
      <c r="F1342" s="3">
        <v>0.59</v>
      </c>
      <c r="G1342" s="3">
        <v>480</v>
      </c>
      <c r="H1342" s="3">
        <f t="shared" si="23"/>
        <v>283.2</v>
      </c>
      <c r="I1342" s="3"/>
      <c r="J1342" s="26">
        <v>9.2</v>
      </c>
    </row>
    <row r="1343" customHeight="1" spans="1:10">
      <c r="A1343" s="3">
        <v>1395</v>
      </c>
      <c r="B1343" s="3" t="s">
        <v>531</v>
      </c>
      <c r="C1343" s="3" t="s">
        <v>177</v>
      </c>
      <c r="D1343" s="3" t="s">
        <v>532</v>
      </c>
      <c r="E1343" s="3" t="s">
        <v>22</v>
      </c>
      <c r="F1343" s="3">
        <v>0.54</v>
      </c>
      <c r="G1343" s="3">
        <v>480</v>
      </c>
      <c r="H1343" s="3">
        <f t="shared" si="23"/>
        <v>259.2</v>
      </c>
      <c r="I1343" s="3"/>
      <c r="J1343" s="26">
        <v>9.2</v>
      </c>
    </row>
    <row r="1344" customHeight="1" spans="1:10">
      <c r="A1344" s="3">
        <v>1396</v>
      </c>
      <c r="B1344" s="3" t="s">
        <v>531</v>
      </c>
      <c r="C1344" s="3" t="s">
        <v>177</v>
      </c>
      <c r="D1344" s="3" t="s">
        <v>250</v>
      </c>
      <c r="E1344" s="3" t="s">
        <v>22</v>
      </c>
      <c r="F1344" s="3">
        <v>1.9</v>
      </c>
      <c r="G1344" s="3">
        <v>480</v>
      </c>
      <c r="H1344" s="3">
        <f t="shared" si="23"/>
        <v>912</v>
      </c>
      <c r="I1344" s="3"/>
      <c r="J1344" s="26">
        <v>9.2</v>
      </c>
    </row>
    <row r="1345" customHeight="1" spans="1:10">
      <c r="A1345" s="3">
        <v>1397</v>
      </c>
      <c r="B1345" s="3" t="s">
        <v>533</v>
      </c>
      <c r="C1345" s="3" t="s">
        <v>177</v>
      </c>
      <c r="D1345" s="3" t="s">
        <v>250</v>
      </c>
      <c r="E1345" s="3" t="s">
        <v>22</v>
      </c>
      <c r="F1345" s="3">
        <v>0.6</v>
      </c>
      <c r="G1345" s="3">
        <v>480</v>
      </c>
      <c r="H1345" s="3">
        <f t="shared" si="23"/>
        <v>288</v>
      </c>
      <c r="I1345" s="3"/>
      <c r="J1345" s="26">
        <v>9.2</v>
      </c>
    </row>
    <row r="1346" customHeight="1" spans="1:10">
      <c r="A1346" s="3">
        <v>1398</v>
      </c>
      <c r="B1346" s="3" t="s">
        <v>531</v>
      </c>
      <c r="C1346" s="3" t="s">
        <v>177</v>
      </c>
      <c r="D1346" s="3" t="s">
        <v>534</v>
      </c>
      <c r="E1346" s="3" t="s">
        <v>22</v>
      </c>
      <c r="F1346" s="3">
        <v>0.18</v>
      </c>
      <c r="G1346" s="3">
        <v>480</v>
      </c>
      <c r="H1346" s="3">
        <f t="shared" ref="H1346:H1409" si="24">G1346*F1346</f>
        <v>86.4</v>
      </c>
      <c r="I1346" s="3"/>
      <c r="J1346" s="26">
        <v>9.2</v>
      </c>
    </row>
    <row r="1347" customHeight="1" spans="1:10">
      <c r="A1347" s="3">
        <v>1399</v>
      </c>
      <c r="B1347" s="3" t="s">
        <v>275</v>
      </c>
      <c r="C1347" s="3" t="s">
        <v>177</v>
      </c>
      <c r="D1347" s="3" t="s">
        <v>534</v>
      </c>
      <c r="E1347" s="3" t="s">
        <v>22</v>
      </c>
      <c r="F1347" s="3">
        <v>0.15</v>
      </c>
      <c r="G1347" s="3">
        <v>480</v>
      </c>
      <c r="H1347" s="3">
        <f t="shared" si="24"/>
        <v>72</v>
      </c>
      <c r="I1347" s="3"/>
      <c r="J1347" s="26">
        <v>9.2</v>
      </c>
    </row>
    <row r="1348" customHeight="1" spans="1:10">
      <c r="A1348" s="3">
        <v>1400</v>
      </c>
      <c r="B1348" s="3" t="s">
        <v>311</v>
      </c>
      <c r="C1348" s="3" t="s">
        <v>177</v>
      </c>
      <c r="D1348" s="3" t="s">
        <v>215</v>
      </c>
      <c r="E1348" s="3" t="s">
        <v>22</v>
      </c>
      <c r="F1348" s="3">
        <v>0.52</v>
      </c>
      <c r="G1348" s="3">
        <v>480</v>
      </c>
      <c r="H1348" s="3">
        <f t="shared" si="24"/>
        <v>249.6</v>
      </c>
      <c r="I1348" s="3"/>
      <c r="J1348" s="26">
        <v>9.2</v>
      </c>
    </row>
    <row r="1349" customHeight="1" spans="1:10">
      <c r="A1349" s="3">
        <v>1401</v>
      </c>
      <c r="B1349" s="3" t="s">
        <v>311</v>
      </c>
      <c r="C1349" s="3" t="s">
        <v>177</v>
      </c>
      <c r="D1349" s="3" t="s">
        <v>229</v>
      </c>
      <c r="E1349" s="3" t="s">
        <v>22</v>
      </c>
      <c r="F1349" s="3">
        <v>0.48</v>
      </c>
      <c r="G1349" s="3">
        <v>480</v>
      </c>
      <c r="H1349" s="3">
        <f t="shared" si="24"/>
        <v>230.4</v>
      </c>
      <c r="I1349" s="3"/>
      <c r="J1349" s="26">
        <v>9.2</v>
      </c>
    </row>
    <row r="1350" customHeight="1" spans="1:10">
      <c r="A1350" s="3">
        <v>1402</v>
      </c>
      <c r="B1350" s="3" t="s">
        <v>298</v>
      </c>
      <c r="C1350" s="3" t="s">
        <v>177</v>
      </c>
      <c r="D1350" s="3" t="s">
        <v>229</v>
      </c>
      <c r="E1350" s="3" t="s">
        <v>22</v>
      </c>
      <c r="F1350" s="3">
        <v>0.41</v>
      </c>
      <c r="G1350" s="3">
        <v>480</v>
      </c>
      <c r="H1350" s="3">
        <f t="shared" si="24"/>
        <v>196.8</v>
      </c>
      <c r="I1350" s="3"/>
      <c r="J1350" s="26">
        <v>9.2</v>
      </c>
    </row>
    <row r="1351" customHeight="1" spans="1:10">
      <c r="A1351" s="3">
        <v>1403</v>
      </c>
      <c r="B1351" s="3" t="s">
        <v>278</v>
      </c>
      <c r="C1351" s="3" t="s">
        <v>177</v>
      </c>
      <c r="D1351" s="3" t="s">
        <v>215</v>
      </c>
      <c r="E1351" s="3" t="s">
        <v>22</v>
      </c>
      <c r="F1351" s="3">
        <v>0.01</v>
      </c>
      <c r="G1351" s="3">
        <v>480</v>
      </c>
      <c r="H1351" s="3">
        <f t="shared" si="24"/>
        <v>4.8</v>
      </c>
      <c r="I1351" s="3"/>
      <c r="J1351" s="26">
        <v>9.2</v>
      </c>
    </row>
    <row r="1352" customHeight="1" spans="1:10">
      <c r="A1352" s="3">
        <v>1404</v>
      </c>
      <c r="B1352" s="3" t="s">
        <v>505</v>
      </c>
      <c r="C1352" s="3" t="s">
        <v>177</v>
      </c>
      <c r="D1352" s="3" t="s">
        <v>215</v>
      </c>
      <c r="E1352" s="3" t="s">
        <v>22</v>
      </c>
      <c r="F1352" s="3">
        <v>0.01</v>
      </c>
      <c r="G1352" s="3">
        <v>480</v>
      </c>
      <c r="H1352" s="3">
        <f t="shared" si="24"/>
        <v>4.8</v>
      </c>
      <c r="I1352" s="3"/>
      <c r="J1352" s="26">
        <v>9.2</v>
      </c>
    </row>
    <row r="1353" customHeight="1" spans="1:10">
      <c r="A1353" s="3">
        <v>1405</v>
      </c>
      <c r="B1353" s="3" t="s">
        <v>506</v>
      </c>
      <c r="C1353" s="3" t="s">
        <v>177</v>
      </c>
      <c r="D1353" s="3" t="s">
        <v>215</v>
      </c>
      <c r="E1353" s="3" t="s">
        <v>22</v>
      </c>
      <c r="F1353" s="3">
        <v>0.04</v>
      </c>
      <c r="G1353" s="3">
        <v>480</v>
      </c>
      <c r="H1353" s="3">
        <f t="shared" si="24"/>
        <v>19.2</v>
      </c>
      <c r="I1353" s="3"/>
      <c r="J1353" s="26">
        <v>9.2</v>
      </c>
    </row>
    <row r="1354" customHeight="1" spans="1:10">
      <c r="A1354" s="3">
        <v>1406</v>
      </c>
      <c r="B1354" s="3" t="s">
        <v>510</v>
      </c>
      <c r="C1354" s="3" t="s">
        <v>177</v>
      </c>
      <c r="D1354" s="3" t="s">
        <v>215</v>
      </c>
      <c r="E1354" s="3" t="s">
        <v>22</v>
      </c>
      <c r="F1354" s="3">
        <v>0.02</v>
      </c>
      <c r="G1354" s="3">
        <v>480</v>
      </c>
      <c r="H1354" s="3">
        <f t="shared" si="24"/>
        <v>9.6</v>
      </c>
      <c r="I1354" s="3"/>
      <c r="J1354" s="26">
        <v>9.2</v>
      </c>
    </row>
    <row r="1355" customHeight="1" spans="1:10">
      <c r="A1355" s="3">
        <v>1407</v>
      </c>
      <c r="B1355" s="3" t="s">
        <v>512</v>
      </c>
      <c r="C1355" s="3" t="s">
        <v>177</v>
      </c>
      <c r="D1355" s="3" t="s">
        <v>215</v>
      </c>
      <c r="E1355" s="3" t="s">
        <v>22</v>
      </c>
      <c r="F1355" s="3">
        <v>0.06</v>
      </c>
      <c r="G1355" s="3">
        <v>480</v>
      </c>
      <c r="H1355" s="3">
        <f t="shared" si="24"/>
        <v>28.8</v>
      </c>
      <c r="I1355" s="3"/>
      <c r="J1355" s="26">
        <v>9.2</v>
      </c>
    </row>
    <row r="1356" customHeight="1" spans="1:10">
      <c r="A1356" s="3">
        <v>1408</v>
      </c>
      <c r="B1356" s="3" t="s">
        <v>332</v>
      </c>
      <c r="C1356" s="3" t="s">
        <v>177</v>
      </c>
      <c r="D1356" s="3" t="s">
        <v>215</v>
      </c>
      <c r="E1356" s="3" t="s">
        <v>22</v>
      </c>
      <c r="F1356" s="3">
        <v>0.05</v>
      </c>
      <c r="G1356" s="3">
        <v>480</v>
      </c>
      <c r="H1356" s="3">
        <f t="shared" si="24"/>
        <v>24</v>
      </c>
      <c r="I1356" s="3"/>
      <c r="J1356" s="26">
        <v>9.2</v>
      </c>
    </row>
    <row r="1357" customHeight="1" spans="1:10">
      <c r="A1357" s="3">
        <v>1409</v>
      </c>
      <c r="B1357" s="3" t="s">
        <v>500</v>
      </c>
      <c r="C1357" s="3" t="s">
        <v>177</v>
      </c>
      <c r="D1357" s="3" t="s">
        <v>519</v>
      </c>
      <c r="E1357" s="3" t="s">
        <v>22</v>
      </c>
      <c r="F1357" s="3">
        <v>0.24</v>
      </c>
      <c r="G1357" s="3">
        <v>480</v>
      </c>
      <c r="H1357" s="3">
        <f t="shared" si="24"/>
        <v>115.2</v>
      </c>
      <c r="I1357" s="3"/>
      <c r="J1357" s="26">
        <v>9.2</v>
      </c>
    </row>
    <row r="1358" customHeight="1" spans="1:10">
      <c r="A1358" s="3">
        <v>1410</v>
      </c>
      <c r="B1358" s="3" t="s">
        <v>535</v>
      </c>
      <c r="C1358" s="3" t="s">
        <v>177</v>
      </c>
      <c r="D1358" s="3" t="s">
        <v>519</v>
      </c>
      <c r="E1358" s="3" t="s">
        <v>22</v>
      </c>
      <c r="F1358" s="3">
        <v>0.53</v>
      </c>
      <c r="G1358" s="3">
        <v>480</v>
      </c>
      <c r="H1358" s="3">
        <f t="shared" si="24"/>
        <v>254.4</v>
      </c>
      <c r="I1358" s="3"/>
      <c r="J1358" s="26">
        <v>9.2</v>
      </c>
    </row>
    <row r="1359" customHeight="1" spans="1:10">
      <c r="A1359" s="3">
        <v>1411</v>
      </c>
      <c r="B1359" s="3" t="s">
        <v>279</v>
      </c>
      <c r="C1359" s="3" t="s">
        <v>177</v>
      </c>
      <c r="D1359" s="3" t="s">
        <v>519</v>
      </c>
      <c r="E1359" s="3" t="s">
        <v>22</v>
      </c>
      <c r="F1359" s="3">
        <v>0.25</v>
      </c>
      <c r="G1359" s="3">
        <v>480</v>
      </c>
      <c r="H1359" s="3">
        <f t="shared" si="24"/>
        <v>120</v>
      </c>
      <c r="I1359" s="3"/>
      <c r="J1359" s="26">
        <v>9.2</v>
      </c>
    </row>
    <row r="1360" customHeight="1" spans="1:10">
      <c r="A1360" s="3">
        <v>1412</v>
      </c>
      <c r="B1360" s="3" t="s">
        <v>279</v>
      </c>
      <c r="C1360" s="3" t="s">
        <v>177</v>
      </c>
      <c r="D1360" s="3" t="s">
        <v>204</v>
      </c>
      <c r="E1360" s="3" t="s">
        <v>22</v>
      </c>
      <c r="F1360" s="3">
        <v>0.3</v>
      </c>
      <c r="G1360" s="3">
        <v>480</v>
      </c>
      <c r="H1360" s="3">
        <f t="shared" si="24"/>
        <v>144</v>
      </c>
      <c r="I1360" s="3"/>
      <c r="J1360" s="26">
        <v>9.2</v>
      </c>
    </row>
    <row r="1361" customHeight="1" spans="1:10">
      <c r="A1361" s="3">
        <v>1413</v>
      </c>
      <c r="B1361" s="3" t="s">
        <v>536</v>
      </c>
      <c r="C1361" s="3" t="s">
        <v>177</v>
      </c>
      <c r="D1361" s="3" t="s">
        <v>215</v>
      </c>
      <c r="E1361" s="3" t="s">
        <v>22</v>
      </c>
      <c r="F1361" s="3">
        <v>0.19</v>
      </c>
      <c r="G1361" s="3">
        <v>480</v>
      </c>
      <c r="H1361" s="3">
        <f t="shared" si="24"/>
        <v>91.2</v>
      </c>
      <c r="I1361" s="3"/>
      <c r="J1361" s="26">
        <v>9.2</v>
      </c>
    </row>
    <row r="1362" customHeight="1" spans="1:10">
      <c r="A1362" s="3">
        <v>1414</v>
      </c>
      <c r="B1362" s="3" t="s">
        <v>518</v>
      </c>
      <c r="C1362" s="3" t="s">
        <v>177</v>
      </c>
      <c r="D1362" s="3" t="s">
        <v>215</v>
      </c>
      <c r="E1362" s="3" t="s">
        <v>22</v>
      </c>
      <c r="F1362" s="3">
        <v>0.12</v>
      </c>
      <c r="G1362" s="3">
        <v>480</v>
      </c>
      <c r="H1362" s="3">
        <f t="shared" si="24"/>
        <v>57.6</v>
      </c>
      <c r="I1362" s="3"/>
      <c r="J1362" s="26">
        <v>9.2</v>
      </c>
    </row>
    <row r="1363" customHeight="1" spans="1:10">
      <c r="A1363" s="3">
        <v>1415</v>
      </c>
      <c r="B1363" s="3" t="s">
        <v>537</v>
      </c>
      <c r="C1363" s="3" t="s">
        <v>177</v>
      </c>
      <c r="D1363" s="3" t="s">
        <v>215</v>
      </c>
      <c r="E1363" s="3" t="s">
        <v>22</v>
      </c>
      <c r="F1363" s="3">
        <v>0.6</v>
      </c>
      <c r="G1363" s="3">
        <v>480</v>
      </c>
      <c r="H1363" s="3">
        <f t="shared" si="24"/>
        <v>288</v>
      </c>
      <c r="I1363" s="3"/>
      <c r="J1363" s="26">
        <v>9.2</v>
      </c>
    </row>
    <row r="1364" customHeight="1" spans="1:10">
      <c r="A1364" s="3">
        <v>1416</v>
      </c>
      <c r="B1364" s="3" t="s">
        <v>504</v>
      </c>
      <c r="C1364" s="3" t="s">
        <v>177</v>
      </c>
      <c r="D1364" s="3" t="s">
        <v>227</v>
      </c>
      <c r="E1364" s="3" t="s">
        <v>22</v>
      </c>
      <c r="F1364" s="3">
        <v>0.22</v>
      </c>
      <c r="G1364" s="3">
        <v>480</v>
      </c>
      <c r="H1364" s="3">
        <f t="shared" si="24"/>
        <v>105.6</v>
      </c>
      <c r="I1364" s="3"/>
      <c r="J1364" s="26">
        <v>9.2</v>
      </c>
    </row>
    <row r="1365" customHeight="1" spans="1:10">
      <c r="A1365" s="3">
        <v>1417</v>
      </c>
      <c r="B1365" s="3" t="s">
        <v>499</v>
      </c>
      <c r="C1365" s="3" t="s">
        <v>177</v>
      </c>
      <c r="D1365" s="3" t="s">
        <v>227</v>
      </c>
      <c r="E1365" s="3" t="s">
        <v>22</v>
      </c>
      <c r="F1365" s="3">
        <v>0.75</v>
      </c>
      <c r="G1365" s="3">
        <v>480</v>
      </c>
      <c r="H1365" s="3">
        <f t="shared" si="24"/>
        <v>360</v>
      </c>
      <c r="I1365" s="3"/>
      <c r="J1365" s="26">
        <v>9.2</v>
      </c>
    </row>
    <row r="1366" customHeight="1" spans="1:10">
      <c r="A1366" s="3">
        <v>1418</v>
      </c>
      <c r="B1366" s="3" t="s">
        <v>500</v>
      </c>
      <c r="C1366" s="3" t="s">
        <v>177</v>
      </c>
      <c r="D1366" s="3" t="s">
        <v>227</v>
      </c>
      <c r="E1366" s="3" t="s">
        <v>22</v>
      </c>
      <c r="F1366" s="3">
        <v>0.19</v>
      </c>
      <c r="G1366" s="3">
        <v>480</v>
      </c>
      <c r="H1366" s="3">
        <f t="shared" si="24"/>
        <v>91.2</v>
      </c>
      <c r="I1366" s="3"/>
      <c r="J1366" s="26">
        <v>9.2</v>
      </c>
    </row>
    <row r="1367" customHeight="1" spans="1:10">
      <c r="A1367" s="3">
        <v>1419</v>
      </c>
      <c r="B1367" s="3" t="s">
        <v>523</v>
      </c>
      <c r="C1367" s="3" t="s">
        <v>177</v>
      </c>
      <c r="D1367" s="3" t="s">
        <v>227</v>
      </c>
      <c r="E1367" s="3" t="s">
        <v>22</v>
      </c>
      <c r="F1367" s="3">
        <v>0.31</v>
      </c>
      <c r="G1367" s="3">
        <v>480</v>
      </c>
      <c r="H1367" s="3">
        <f t="shared" si="24"/>
        <v>148.8</v>
      </c>
      <c r="I1367" s="3"/>
      <c r="J1367" s="26">
        <v>9.2</v>
      </c>
    </row>
    <row r="1368" customHeight="1" spans="1:10">
      <c r="A1368" s="3">
        <v>1420</v>
      </c>
      <c r="B1368" s="3" t="s">
        <v>279</v>
      </c>
      <c r="C1368" s="3" t="s">
        <v>177</v>
      </c>
      <c r="D1368" s="3" t="s">
        <v>227</v>
      </c>
      <c r="E1368" s="3" t="s">
        <v>22</v>
      </c>
      <c r="F1368" s="3">
        <v>0.16</v>
      </c>
      <c r="G1368" s="3">
        <v>480</v>
      </c>
      <c r="H1368" s="3">
        <f t="shared" si="24"/>
        <v>76.8</v>
      </c>
      <c r="I1368" s="3"/>
      <c r="J1368" s="26">
        <v>9.2</v>
      </c>
    </row>
    <row r="1369" customHeight="1" spans="1:10">
      <c r="A1369" s="3">
        <v>1421</v>
      </c>
      <c r="B1369" s="3" t="s">
        <v>537</v>
      </c>
      <c r="C1369" s="3" t="s">
        <v>177</v>
      </c>
      <c r="D1369" s="3" t="s">
        <v>215</v>
      </c>
      <c r="E1369" s="3" t="s">
        <v>22</v>
      </c>
      <c r="F1369" s="3">
        <v>0.09</v>
      </c>
      <c r="G1369" s="3">
        <v>480</v>
      </c>
      <c r="H1369" s="3">
        <f t="shared" si="24"/>
        <v>43.2</v>
      </c>
      <c r="I1369" s="3"/>
      <c r="J1369" s="26">
        <v>9.2</v>
      </c>
    </row>
    <row r="1370" customHeight="1" spans="1:10">
      <c r="A1370" s="3">
        <v>1422</v>
      </c>
      <c r="B1370" s="3" t="s">
        <v>512</v>
      </c>
      <c r="C1370" s="3" t="s">
        <v>177</v>
      </c>
      <c r="D1370" s="3" t="s">
        <v>215</v>
      </c>
      <c r="E1370" s="3" t="s">
        <v>22</v>
      </c>
      <c r="F1370" s="3">
        <v>0.24</v>
      </c>
      <c r="G1370" s="3">
        <v>480</v>
      </c>
      <c r="H1370" s="3">
        <f t="shared" si="24"/>
        <v>115.2</v>
      </c>
      <c r="I1370" s="3"/>
      <c r="J1370" s="26">
        <v>9.2</v>
      </c>
    </row>
    <row r="1371" customHeight="1" spans="1:10">
      <c r="A1371" s="3">
        <v>1423</v>
      </c>
      <c r="B1371" s="3" t="s">
        <v>536</v>
      </c>
      <c r="C1371" s="3" t="s">
        <v>177</v>
      </c>
      <c r="D1371" s="3" t="s">
        <v>227</v>
      </c>
      <c r="E1371" s="3" t="s">
        <v>22</v>
      </c>
      <c r="F1371" s="3">
        <v>0.44</v>
      </c>
      <c r="G1371" s="3">
        <v>480</v>
      </c>
      <c r="H1371" s="3">
        <f t="shared" si="24"/>
        <v>211.2</v>
      </c>
      <c r="I1371" s="3"/>
      <c r="J1371" s="26">
        <v>9.2</v>
      </c>
    </row>
    <row r="1372" customHeight="1" spans="1:10">
      <c r="A1372" s="3">
        <v>1424</v>
      </c>
      <c r="B1372" s="3" t="s">
        <v>334</v>
      </c>
      <c r="C1372" s="3" t="s">
        <v>177</v>
      </c>
      <c r="D1372" s="3" t="s">
        <v>215</v>
      </c>
      <c r="E1372" s="3" t="s">
        <v>22</v>
      </c>
      <c r="F1372" s="3">
        <v>0.24</v>
      </c>
      <c r="G1372" s="3">
        <v>480</v>
      </c>
      <c r="H1372" s="3">
        <f t="shared" si="24"/>
        <v>115.2</v>
      </c>
      <c r="I1372" s="3"/>
      <c r="J1372" s="26">
        <v>9.2</v>
      </c>
    </row>
    <row r="1373" customHeight="1" spans="1:10">
      <c r="A1373" s="3">
        <v>1425</v>
      </c>
      <c r="B1373" s="3" t="s">
        <v>523</v>
      </c>
      <c r="C1373" s="3" t="s">
        <v>177</v>
      </c>
      <c r="D1373" s="3" t="s">
        <v>215</v>
      </c>
      <c r="E1373" s="3" t="s">
        <v>22</v>
      </c>
      <c r="F1373" s="3">
        <v>0.26</v>
      </c>
      <c r="G1373" s="3">
        <v>480</v>
      </c>
      <c r="H1373" s="3">
        <f t="shared" si="24"/>
        <v>124.8</v>
      </c>
      <c r="I1373" s="3"/>
      <c r="J1373" s="26">
        <v>9.2</v>
      </c>
    </row>
    <row r="1374" customHeight="1" spans="1:10">
      <c r="A1374" s="3">
        <v>1426</v>
      </c>
      <c r="B1374" s="3" t="s">
        <v>500</v>
      </c>
      <c r="C1374" s="3" t="s">
        <v>177</v>
      </c>
      <c r="D1374" s="3" t="s">
        <v>215</v>
      </c>
      <c r="E1374" s="3" t="s">
        <v>22</v>
      </c>
      <c r="F1374" s="3">
        <v>0.12</v>
      </c>
      <c r="G1374" s="3">
        <v>480</v>
      </c>
      <c r="H1374" s="3">
        <f t="shared" si="24"/>
        <v>57.6</v>
      </c>
      <c r="I1374" s="3"/>
      <c r="J1374" s="26">
        <v>9.2</v>
      </c>
    </row>
    <row r="1375" customHeight="1" spans="1:10">
      <c r="A1375" s="3">
        <v>1427</v>
      </c>
      <c r="B1375" s="3" t="s">
        <v>220</v>
      </c>
      <c r="C1375" s="3" t="s">
        <v>177</v>
      </c>
      <c r="D1375" s="3" t="s">
        <v>519</v>
      </c>
      <c r="E1375" s="3" t="s">
        <v>22</v>
      </c>
      <c r="F1375" s="3">
        <v>0.23</v>
      </c>
      <c r="G1375" s="3">
        <v>480</v>
      </c>
      <c r="H1375" s="3">
        <f t="shared" si="24"/>
        <v>110.4</v>
      </c>
      <c r="I1375" s="3"/>
      <c r="J1375" s="26">
        <v>9.2</v>
      </c>
    </row>
    <row r="1376" customHeight="1" spans="1:10">
      <c r="A1376" s="3">
        <v>1428</v>
      </c>
      <c r="B1376" s="3" t="s">
        <v>523</v>
      </c>
      <c r="C1376" s="3" t="s">
        <v>177</v>
      </c>
      <c r="D1376" s="3" t="s">
        <v>519</v>
      </c>
      <c r="E1376" s="3" t="s">
        <v>22</v>
      </c>
      <c r="F1376" s="3">
        <v>0.07</v>
      </c>
      <c r="G1376" s="3">
        <v>480</v>
      </c>
      <c r="H1376" s="3">
        <f t="shared" si="24"/>
        <v>33.6</v>
      </c>
      <c r="I1376" s="3"/>
      <c r="J1376" s="26">
        <v>9.2</v>
      </c>
    </row>
    <row r="1377" customHeight="1" spans="1:10">
      <c r="A1377" s="3">
        <v>1429</v>
      </c>
      <c r="B1377" s="3" t="s">
        <v>538</v>
      </c>
      <c r="C1377" s="3" t="s">
        <v>177</v>
      </c>
      <c r="D1377" s="3" t="s">
        <v>519</v>
      </c>
      <c r="E1377" s="3" t="s">
        <v>22</v>
      </c>
      <c r="F1377" s="3">
        <v>0.46</v>
      </c>
      <c r="G1377" s="3">
        <v>480</v>
      </c>
      <c r="H1377" s="3">
        <f t="shared" si="24"/>
        <v>220.8</v>
      </c>
      <c r="I1377" s="3"/>
      <c r="J1377" s="26">
        <v>9.2</v>
      </c>
    </row>
    <row r="1378" customHeight="1" spans="1:10">
      <c r="A1378" s="3">
        <v>1430</v>
      </c>
      <c r="B1378" s="3" t="s">
        <v>505</v>
      </c>
      <c r="C1378" s="3" t="s">
        <v>177</v>
      </c>
      <c r="D1378" s="3" t="s">
        <v>490</v>
      </c>
      <c r="E1378" s="3" t="s">
        <v>13</v>
      </c>
      <c r="F1378" s="3">
        <v>0.11</v>
      </c>
      <c r="G1378" s="3">
        <v>480</v>
      </c>
      <c r="H1378" s="3">
        <f t="shared" si="24"/>
        <v>52.8</v>
      </c>
      <c r="I1378" s="3"/>
      <c r="J1378" s="26">
        <v>9.2</v>
      </c>
    </row>
    <row r="1379" customHeight="1" spans="1:10">
      <c r="A1379" s="3">
        <v>1431</v>
      </c>
      <c r="B1379" s="3" t="s">
        <v>355</v>
      </c>
      <c r="C1379" s="3" t="s">
        <v>177</v>
      </c>
      <c r="D1379" s="3" t="s">
        <v>539</v>
      </c>
      <c r="E1379" s="3" t="s">
        <v>22</v>
      </c>
      <c r="F1379" s="3">
        <v>0.68</v>
      </c>
      <c r="G1379" s="3">
        <v>480</v>
      </c>
      <c r="H1379" s="3">
        <f t="shared" si="24"/>
        <v>326.4</v>
      </c>
      <c r="I1379" s="3"/>
      <c r="J1379" s="26">
        <v>9.2</v>
      </c>
    </row>
    <row r="1380" customHeight="1" spans="1:10">
      <c r="A1380" s="3">
        <v>1432</v>
      </c>
      <c r="B1380" s="3" t="s">
        <v>311</v>
      </c>
      <c r="C1380" s="3" t="s">
        <v>177</v>
      </c>
      <c r="D1380" s="3" t="s">
        <v>540</v>
      </c>
      <c r="E1380" s="3" t="s">
        <v>22</v>
      </c>
      <c r="F1380" s="3">
        <v>0.34</v>
      </c>
      <c r="G1380" s="3">
        <v>480</v>
      </c>
      <c r="H1380" s="3">
        <f t="shared" si="24"/>
        <v>163.2</v>
      </c>
      <c r="I1380" s="3"/>
      <c r="J1380" s="26">
        <v>9.2</v>
      </c>
    </row>
    <row r="1381" customHeight="1" spans="1:10">
      <c r="A1381" s="3">
        <v>1433</v>
      </c>
      <c r="B1381" s="3" t="s">
        <v>332</v>
      </c>
      <c r="C1381" s="3" t="s">
        <v>177</v>
      </c>
      <c r="D1381" s="3" t="s">
        <v>541</v>
      </c>
      <c r="E1381" s="3" t="s">
        <v>22</v>
      </c>
      <c r="F1381" s="3">
        <v>0.36</v>
      </c>
      <c r="G1381" s="3">
        <v>480</v>
      </c>
      <c r="H1381" s="3">
        <f t="shared" si="24"/>
        <v>172.8</v>
      </c>
      <c r="I1381" s="3"/>
      <c r="J1381" s="26">
        <v>9.2</v>
      </c>
    </row>
    <row r="1382" customHeight="1" spans="1:10">
      <c r="A1382" s="3">
        <v>1434</v>
      </c>
      <c r="B1382" s="3" t="s">
        <v>517</v>
      </c>
      <c r="C1382" s="3" t="s">
        <v>177</v>
      </c>
      <c r="D1382" s="3" t="s">
        <v>541</v>
      </c>
      <c r="E1382" s="3" t="s">
        <v>22</v>
      </c>
      <c r="F1382" s="3">
        <v>0.16</v>
      </c>
      <c r="G1382" s="3">
        <v>480</v>
      </c>
      <c r="H1382" s="3">
        <f t="shared" si="24"/>
        <v>76.8</v>
      </c>
      <c r="I1382" s="3"/>
      <c r="J1382" s="26">
        <v>9.2</v>
      </c>
    </row>
    <row r="1383" customHeight="1" spans="1:10">
      <c r="A1383" s="3">
        <v>1435</v>
      </c>
      <c r="B1383" s="3" t="s">
        <v>332</v>
      </c>
      <c r="C1383" s="3" t="s">
        <v>177</v>
      </c>
      <c r="D1383" s="3" t="s">
        <v>541</v>
      </c>
      <c r="E1383" s="3" t="s">
        <v>22</v>
      </c>
      <c r="F1383" s="3">
        <v>0.25</v>
      </c>
      <c r="G1383" s="3">
        <v>480</v>
      </c>
      <c r="H1383" s="3">
        <f t="shared" si="24"/>
        <v>120</v>
      </c>
      <c r="I1383" s="3"/>
      <c r="J1383" s="26">
        <v>9.2</v>
      </c>
    </row>
    <row r="1384" customHeight="1" spans="1:10">
      <c r="A1384" s="3">
        <v>1436</v>
      </c>
      <c r="B1384" s="3" t="s">
        <v>275</v>
      </c>
      <c r="C1384" s="3" t="s">
        <v>177</v>
      </c>
      <c r="D1384" s="3" t="s">
        <v>541</v>
      </c>
      <c r="E1384" s="3" t="s">
        <v>22</v>
      </c>
      <c r="F1384" s="3">
        <v>0.56</v>
      </c>
      <c r="G1384" s="3">
        <v>480</v>
      </c>
      <c r="H1384" s="3">
        <f t="shared" si="24"/>
        <v>268.8</v>
      </c>
      <c r="I1384" s="3"/>
      <c r="J1384" s="26">
        <v>9.2</v>
      </c>
    </row>
    <row r="1385" customHeight="1" spans="1:10">
      <c r="A1385" s="3">
        <v>1437</v>
      </c>
      <c r="B1385" s="3" t="s">
        <v>275</v>
      </c>
      <c r="C1385" s="3" t="s">
        <v>177</v>
      </c>
      <c r="D1385" s="3" t="s">
        <v>319</v>
      </c>
      <c r="E1385" s="3" t="s">
        <v>13</v>
      </c>
      <c r="F1385" s="3">
        <v>0.93</v>
      </c>
      <c r="G1385" s="3">
        <v>380</v>
      </c>
      <c r="H1385" s="3">
        <f t="shared" si="24"/>
        <v>353.4</v>
      </c>
      <c r="I1385" s="3"/>
      <c r="J1385" s="26">
        <v>9.2</v>
      </c>
    </row>
    <row r="1386" customHeight="1" spans="1:10">
      <c r="A1386" s="3">
        <v>1438</v>
      </c>
      <c r="B1386" s="3" t="s">
        <v>542</v>
      </c>
      <c r="C1386" s="3" t="s">
        <v>177</v>
      </c>
      <c r="D1386" s="3" t="s">
        <v>345</v>
      </c>
      <c r="E1386" s="3" t="s">
        <v>22</v>
      </c>
      <c r="F1386" s="3">
        <v>0.58</v>
      </c>
      <c r="G1386" s="3">
        <v>480</v>
      </c>
      <c r="H1386" s="3">
        <f t="shared" si="24"/>
        <v>278.4</v>
      </c>
      <c r="I1386" s="3"/>
      <c r="J1386" s="26">
        <v>9.2</v>
      </c>
    </row>
    <row r="1387" customHeight="1" spans="1:10">
      <c r="A1387" s="3">
        <v>1439</v>
      </c>
      <c r="B1387" s="3" t="s">
        <v>543</v>
      </c>
      <c r="C1387" s="3" t="s">
        <v>177</v>
      </c>
      <c r="D1387" s="3" t="s">
        <v>345</v>
      </c>
      <c r="E1387" s="3" t="s">
        <v>22</v>
      </c>
      <c r="F1387" s="3">
        <v>0.15</v>
      </c>
      <c r="G1387" s="3">
        <v>480</v>
      </c>
      <c r="H1387" s="3">
        <f t="shared" si="24"/>
        <v>72</v>
      </c>
      <c r="I1387" s="3"/>
      <c r="J1387" s="26">
        <v>9.2</v>
      </c>
    </row>
    <row r="1388" customHeight="1" spans="1:10">
      <c r="A1388" s="3">
        <v>1440</v>
      </c>
      <c r="B1388" s="3" t="s">
        <v>129</v>
      </c>
      <c r="C1388" s="3" t="s">
        <v>177</v>
      </c>
      <c r="D1388" s="3" t="s">
        <v>443</v>
      </c>
      <c r="E1388" s="3" t="s">
        <v>22</v>
      </c>
      <c r="F1388" s="3">
        <v>0.29</v>
      </c>
      <c r="G1388" s="3">
        <v>480</v>
      </c>
      <c r="H1388" s="3">
        <f t="shared" si="24"/>
        <v>139.2</v>
      </c>
      <c r="I1388" s="3"/>
      <c r="J1388" s="26">
        <v>9.2</v>
      </c>
    </row>
    <row r="1389" customHeight="1" spans="1:10">
      <c r="A1389" s="3">
        <v>1441</v>
      </c>
      <c r="B1389" s="3" t="s">
        <v>512</v>
      </c>
      <c r="C1389" s="3" t="s">
        <v>177</v>
      </c>
      <c r="D1389" s="3" t="s">
        <v>443</v>
      </c>
      <c r="E1389" s="3" t="s">
        <v>22</v>
      </c>
      <c r="F1389" s="3">
        <v>0.38</v>
      </c>
      <c r="G1389" s="3">
        <v>480</v>
      </c>
      <c r="H1389" s="3">
        <f t="shared" si="24"/>
        <v>182.4</v>
      </c>
      <c r="I1389" s="3"/>
      <c r="J1389" s="26">
        <v>9.2</v>
      </c>
    </row>
    <row r="1390" customHeight="1" spans="1:10">
      <c r="A1390" s="3">
        <v>1442</v>
      </c>
      <c r="B1390" s="3" t="s">
        <v>518</v>
      </c>
      <c r="C1390" s="3" t="s">
        <v>177</v>
      </c>
      <c r="D1390" s="3" t="s">
        <v>443</v>
      </c>
      <c r="E1390" s="3" t="s">
        <v>22</v>
      </c>
      <c r="F1390" s="3">
        <v>0.27</v>
      </c>
      <c r="G1390" s="3">
        <v>480</v>
      </c>
      <c r="H1390" s="3">
        <f t="shared" si="24"/>
        <v>129.6</v>
      </c>
      <c r="I1390" s="3"/>
      <c r="J1390" s="26">
        <v>9.2</v>
      </c>
    </row>
    <row r="1391" customHeight="1" spans="1:10">
      <c r="A1391" s="3">
        <v>1443</v>
      </c>
      <c r="B1391" s="3" t="s">
        <v>220</v>
      </c>
      <c r="C1391" s="3" t="s">
        <v>177</v>
      </c>
      <c r="D1391" s="3" t="s">
        <v>443</v>
      </c>
      <c r="E1391" s="3" t="s">
        <v>22</v>
      </c>
      <c r="F1391" s="3">
        <v>0.17</v>
      </c>
      <c r="G1391" s="3">
        <v>480</v>
      </c>
      <c r="H1391" s="3">
        <f t="shared" si="24"/>
        <v>81.6</v>
      </c>
      <c r="I1391" s="3"/>
      <c r="J1391" s="26">
        <v>9.2</v>
      </c>
    </row>
    <row r="1392" customHeight="1" spans="1:10">
      <c r="A1392" s="3">
        <v>1444</v>
      </c>
      <c r="B1392" s="3" t="s">
        <v>298</v>
      </c>
      <c r="C1392" s="3" t="s">
        <v>177</v>
      </c>
      <c r="D1392" s="3" t="s">
        <v>443</v>
      </c>
      <c r="E1392" s="3" t="s">
        <v>22</v>
      </c>
      <c r="F1392" s="3">
        <v>0.15</v>
      </c>
      <c r="G1392" s="3">
        <v>480</v>
      </c>
      <c r="H1392" s="3">
        <f t="shared" si="24"/>
        <v>72</v>
      </c>
      <c r="I1392" s="3"/>
      <c r="J1392" s="26">
        <v>9.2</v>
      </c>
    </row>
    <row r="1393" customHeight="1" spans="1:10">
      <c r="A1393" s="3">
        <v>1445</v>
      </c>
      <c r="B1393" s="3" t="s">
        <v>311</v>
      </c>
      <c r="C1393" s="3" t="s">
        <v>177</v>
      </c>
      <c r="D1393" s="3" t="s">
        <v>229</v>
      </c>
      <c r="E1393" s="3" t="s">
        <v>22</v>
      </c>
      <c r="F1393" s="3">
        <v>0.3</v>
      </c>
      <c r="G1393" s="3">
        <v>480</v>
      </c>
      <c r="H1393" s="3">
        <f t="shared" si="24"/>
        <v>144</v>
      </c>
      <c r="I1393" s="3"/>
      <c r="J1393" s="26">
        <v>9.2</v>
      </c>
    </row>
    <row r="1394" customHeight="1" spans="1:10">
      <c r="A1394" s="3">
        <v>1446</v>
      </c>
      <c r="B1394" s="3" t="s">
        <v>537</v>
      </c>
      <c r="C1394" s="3" t="s">
        <v>177</v>
      </c>
      <c r="D1394" s="3" t="s">
        <v>443</v>
      </c>
      <c r="E1394" s="3" t="s">
        <v>22</v>
      </c>
      <c r="F1394" s="3">
        <v>0.19</v>
      </c>
      <c r="G1394" s="3">
        <v>480</v>
      </c>
      <c r="H1394" s="3">
        <f t="shared" si="24"/>
        <v>91.2</v>
      </c>
      <c r="I1394" s="3"/>
      <c r="J1394" s="26">
        <v>9.2</v>
      </c>
    </row>
    <row r="1395" customHeight="1" spans="1:10">
      <c r="A1395" s="3">
        <v>1447</v>
      </c>
      <c r="B1395" s="3" t="s">
        <v>502</v>
      </c>
      <c r="C1395" s="3" t="s">
        <v>177</v>
      </c>
      <c r="D1395" s="3" t="s">
        <v>443</v>
      </c>
      <c r="E1395" s="3" t="s">
        <v>22</v>
      </c>
      <c r="F1395" s="3">
        <v>0.12</v>
      </c>
      <c r="G1395" s="3">
        <v>480</v>
      </c>
      <c r="H1395" s="3">
        <f t="shared" si="24"/>
        <v>57.6</v>
      </c>
      <c r="I1395" s="3"/>
      <c r="J1395" s="26">
        <v>9.2</v>
      </c>
    </row>
    <row r="1396" customHeight="1" spans="1:10">
      <c r="A1396" s="3">
        <v>1448</v>
      </c>
      <c r="B1396" s="3" t="s">
        <v>500</v>
      </c>
      <c r="C1396" s="3" t="s">
        <v>177</v>
      </c>
      <c r="D1396" s="3" t="s">
        <v>443</v>
      </c>
      <c r="E1396" s="3" t="s">
        <v>22</v>
      </c>
      <c r="F1396" s="3">
        <v>0.15</v>
      </c>
      <c r="G1396" s="3">
        <v>480</v>
      </c>
      <c r="H1396" s="3">
        <f t="shared" si="24"/>
        <v>72</v>
      </c>
      <c r="I1396" s="3"/>
      <c r="J1396" s="26">
        <v>9.2</v>
      </c>
    </row>
    <row r="1397" customHeight="1" spans="1:10">
      <c r="A1397" s="3">
        <v>1449</v>
      </c>
      <c r="B1397" s="3" t="s">
        <v>275</v>
      </c>
      <c r="C1397" s="3" t="s">
        <v>177</v>
      </c>
      <c r="D1397" s="3" t="s">
        <v>443</v>
      </c>
      <c r="E1397" s="3" t="s">
        <v>22</v>
      </c>
      <c r="F1397" s="3">
        <v>0.13</v>
      </c>
      <c r="G1397" s="3">
        <v>480</v>
      </c>
      <c r="H1397" s="3">
        <f t="shared" si="24"/>
        <v>62.4</v>
      </c>
      <c r="I1397" s="3"/>
      <c r="J1397" s="26">
        <v>9.2</v>
      </c>
    </row>
    <row r="1398" customHeight="1" spans="1:10">
      <c r="A1398" s="3">
        <v>1450</v>
      </c>
      <c r="B1398" s="3" t="s">
        <v>536</v>
      </c>
      <c r="C1398" s="3" t="s">
        <v>177</v>
      </c>
      <c r="D1398" s="3" t="s">
        <v>443</v>
      </c>
      <c r="E1398" s="3" t="s">
        <v>22</v>
      </c>
      <c r="F1398" s="3">
        <v>0.26</v>
      </c>
      <c r="G1398" s="3">
        <v>480</v>
      </c>
      <c r="H1398" s="3">
        <f t="shared" si="24"/>
        <v>124.8</v>
      </c>
      <c r="I1398" s="3"/>
      <c r="J1398" s="26">
        <v>9.2</v>
      </c>
    </row>
    <row r="1399" customHeight="1" spans="1:10">
      <c r="A1399" s="3">
        <v>1451</v>
      </c>
      <c r="B1399" s="3" t="s">
        <v>510</v>
      </c>
      <c r="C1399" s="3" t="s">
        <v>177</v>
      </c>
      <c r="D1399" s="3" t="s">
        <v>443</v>
      </c>
      <c r="E1399" s="3" t="s">
        <v>22</v>
      </c>
      <c r="F1399" s="3">
        <v>0.1</v>
      </c>
      <c r="G1399" s="3">
        <v>480</v>
      </c>
      <c r="H1399" s="3">
        <f t="shared" si="24"/>
        <v>48</v>
      </c>
      <c r="I1399" s="3"/>
      <c r="J1399" s="26">
        <v>9.2</v>
      </c>
    </row>
    <row r="1400" customHeight="1" spans="1:10">
      <c r="A1400" s="3">
        <v>1452</v>
      </c>
      <c r="B1400" s="3" t="s">
        <v>355</v>
      </c>
      <c r="C1400" s="3" t="s">
        <v>177</v>
      </c>
      <c r="D1400" s="3" t="s">
        <v>443</v>
      </c>
      <c r="E1400" s="3" t="s">
        <v>22</v>
      </c>
      <c r="F1400" s="3">
        <v>0.09</v>
      </c>
      <c r="G1400" s="3">
        <v>480</v>
      </c>
      <c r="H1400" s="3">
        <f t="shared" si="24"/>
        <v>43.2</v>
      </c>
      <c r="I1400" s="3"/>
      <c r="J1400" s="26">
        <v>9.2</v>
      </c>
    </row>
    <row r="1401" customHeight="1" spans="1:10">
      <c r="A1401" s="3">
        <v>1453</v>
      </c>
      <c r="B1401" s="3" t="s">
        <v>510</v>
      </c>
      <c r="C1401" s="3" t="s">
        <v>177</v>
      </c>
      <c r="D1401" s="3" t="s">
        <v>347</v>
      </c>
      <c r="E1401" s="3" t="s">
        <v>22</v>
      </c>
      <c r="F1401" s="3">
        <v>0.95</v>
      </c>
      <c r="G1401" s="3">
        <v>480</v>
      </c>
      <c r="H1401" s="3">
        <f t="shared" si="24"/>
        <v>456</v>
      </c>
      <c r="I1401" s="3"/>
      <c r="J1401" s="26">
        <v>9.2</v>
      </c>
    </row>
    <row r="1402" customHeight="1" spans="1:10">
      <c r="A1402" s="3">
        <v>1454</v>
      </c>
      <c r="B1402" s="3" t="s">
        <v>507</v>
      </c>
      <c r="C1402" s="3" t="s">
        <v>177</v>
      </c>
      <c r="D1402" s="3" t="s">
        <v>328</v>
      </c>
      <c r="E1402" s="3" t="s">
        <v>13</v>
      </c>
      <c r="F1402" s="3" t="s">
        <v>544</v>
      </c>
      <c r="G1402" s="3">
        <v>380</v>
      </c>
      <c r="H1402" s="3" t="e">
        <f t="shared" si="24"/>
        <v>#VALUE!</v>
      </c>
      <c r="I1402" s="3"/>
      <c r="J1402" s="26">
        <v>9.2</v>
      </c>
    </row>
    <row r="1403" customHeight="1" spans="1:10">
      <c r="A1403" s="3">
        <v>1455</v>
      </c>
      <c r="B1403" s="3" t="s">
        <v>535</v>
      </c>
      <c r="C1403" s="3" t="s">
        <v>177</v>
      </c>
      <c r="D1403" s="3" t="s">
        <v>328</v>
      </c>
      <c r="E1403" s="3" t="s">
        <v>13</v>
      </c>
      <c r="F1403" s="3">
        <v>0.95</v>
      </c>
      <c r="G1403" s="3">
        <v>380</v>
      </c>
      <c r="H1403" s="3">
        <f t="shared" si="24"/>
        <v>361</v>
      </c>
      <c r="I1403" s="3"/>
      <c r="J1403" s="26">
        <v>9.2</v>
      </c>
    </row>
    <row r="1404" customHeight="1" spans="1:10">
      <c r="A1404" s="3">
        <v>1456</v>
      </c>
      <c r="B1404" s="3" t="s">
        <v>508</v>
      </c>
      <c r="C1404" s="3" t="s">
        <v>177</v>
      </c>
      <c r="D1404" s="3" t="s">
        <v>328</v>
      </c>
      <c r="E1404" s="3" t="s">
        <v>13</v>
      </c>
      <c r="F1404" s="3">
        <v>0.15</v>
      </c>
      <c r="G1404" s="3">
        <v>380</v>
      </c>
      <c r="H1404" s="3">
        <f t="shared" si="24"/>
        <v>57</v>
      </c>
      <c r="I1404" s="3"/>
      <c r="J1404" s="26">
        <v>9.2</v>
      </c>
    </row>
    <row r="1405" customHeight="1" spans="1:10">
      <c r="A1405" s="3">
        <v>1457</v>
      </c>
      <c r="B1405" s="3" t="s">
        <v>279</v>
      </c>
      <c r="C1405" s="3" t="s">
        <v>177</v>
      </c>
      <c r="D1405" s="3" t="s">
        <v>328</v>
      </c>
      <c r="E1405" s="3" t="s">
        <v>13</v>
      </c>
      <c r="F1405" s="3">
        <v>0.15</v>
      </c>
      <c r="G1405" s="3">
        <v>380</v>
      </c>
      <c r="H1405" s="3">
        <f t="shared" si="24"/>
        <v>57</v>
      </c>
      <c r="I1405" s="3"/>
      <c r="J1405" s="26">
        <v>9.2</v>
      </c>
    </row>
    <row r="1406" customHeight="1" spans="1:10">
      <c r="A1406" s="3">
        <v>1458</v>
      </c>
      <c r="B1406" s="3" t="s">
        <v>504</v>
      </c>
      <c r="C1406" s="3" t="s">
        <v>177</v>
      </c>
      <c r="D1406" s="3" t="s">
        <v>545</v>
      </c>
      <c r="E1406" s="3" t="s">
        <v>13</v>
      </c>
      <c r="F1406" s="3">
        <v>0.25</v>
      </c>
      <c r="G1406" s="3">
        <v>380</v>
      </c>
      <c r="H1406" s="3">
        <f t="shared" si="24"/>
        <v>95</v>
      </c>
      <c r="I1406" s="3"/>
      <c r="J1406" s="26">
        <v>9.2</v>
      </c>
    </row>
    <row r="1407" customHeight="1" spans="1:10">
      <c r="A1407" s="3">
        <v>1459</v>
      </c>
      <c r="B1407" s="3" t="s">
        <v>507</v>
      </c>
      <c r="C1407" s="3" t="s">
        <v>177</v>
      </c>
      <c r="D1407" s="3" t="s">
        <v>328</v>
      </c>
      <c r="E1407" s="3" t="s">
        <v>13</v>
      </c>
      <c r="F1407" s="3">
        <v>0.22</v>
      </c>
      <c r="G1407" s="3">
        <v>380</v>
      </c>
      <c r="H1407" s="3">
        <f t="shared" si="24"/>
        <v>83.6</v>
      </c>
      <c r="I1407" s="3"/>
      <c r="J1407" s="26">
        <v>9.2</v>
      </c>
    </row>
    <row r="1408" customHeight="1" spans="1:10">
      <c r="A1408" s="3">
        <v>1460</v>
      </c>
      <c r="B1408" s="3" t="s">
        <v>279</v>
      </c>
      <c r="C1408" s="3" t="s">
        <v>177</v>
      </c>
      <c r="D1408" s="3" t="s">
        <v>328</v>
      </c>
      <c r="E1408" s="3" t="s">
        <v>13</v>
      </c>
      <c r="F1408" s="3">
        <v>0.08</v>
      </c>
      <c r="G1408" s="3">
        <v>380</v>
      </c>
      <c r="H1408" s="3">
        <f t="shared" si="24"/>
        <v>30.4</v>
      </c>
      <c r="I1408" s="3"/>
      <c r="J1408" s="26">
        <v>9.2</v>
      </c>
    </row>
    <row r="1409" customHeight="1" spans="1:10">
      <c r="A1409" s="3">
        <v>1461</v>
      </c>
      <c r="B1409" s="3" t="s">
        <v>536</v>
      </c>
      <c r="C1409" s="3" t="s">
        <v>177</v>
      </c>
      <c r="D1409" s="3" t="s">
        <v>246</v>
      </c>
      <c r="E1409" s="3" t="s">
        <v>22</v>
      </c>
      <c r="F1409" s="3">
        <v>0.66</v>
      </c>
      <c r="G1409" s="3">
        <v>480</v>
      </c>
      <c r="H1409" s="3">
        <f t="shared" si="24"/>
        <v>316.8</v>
      </c>
      <c r="I1409" s="3"/>
      <c r="J1409" s="26">
        <v>9.2</v>
      </c>
    </row>
    <row r="1410" customHeight="1" spans="1:10">
      <c r="A1410" s="3">
        <v>1462</v>
      </c>
      <c r="B1410" s="3" t="s">
        <v>521</v>
      </c>
      <c r="C1410" s="3" t="s">
        <v>177</v>
      </c>
      <c r="D1410" s="3" t="s">
        <v>246</v>
      </c>
      <c r="E1410" s="3" t="s">
        <v>22</v>
      </c>
      <c r="F1410" s="3">
        <v>0.08</v>
      </c>
      <c r="G1410" s="3">
        <v>480</v>
      </c>
      <c r="H1410" s="3">
        <f t="shared" ref="H1410:H1473" si="25">G1410*F1410</f>
        <v>38.4</v>
      </c>
      <c r="I1410" s="3"/>
      <c r="J1410" s="26">
        <v>9.2</v>
      </c>
    </row>
    <row r="1411" customHeight="1" spans="1:10">
      <c r="A1411" s="3">
        <v>1463</v>
      </c>
      <c r="B1411" s="3" t="s">
        <v>129</v>
      </c>
      <c r="C1411" s="3" t="s">
        <v>177</v>
      </c>
      <c r="D1411" s="3" t="s">
        <v>246</v>
      </c>
      <c r="E1411" s="3" t="s">
        <v>22</v>
      </c>
      <c r="F1411" s="3">
        <v>0.16</v>
      </c>
      <c r="G1411" s="3">
        <v>480</v>
      </c>
      <c r="H1411" s="3">
        <f t="shared" si="25"/>
        <v>76.8</v>
      </c>
      <c r="I1411" s="3"/>
      <c r="J1411" s="26">
        <v>9.2</v>
      </c>
    </row>
    <row r="1412" customHeight="1" spans="1:10">
      <c r="A1412" s="3">
        <v>1464</v>
      </c>
      <c r="B1412" s="3" t="s">
        <v>197</v>
      </c>
      <c r="C1412" s="3" t="s">
        <v>177</v>
      </c>
      <c r="D1412" s="3" t="s">
        <v>246</v>
      </c>
      <c r="E1412" s="3" t="s">
        <v>22</v>
      </c>
      <c r="F1412" s="3">
        <v>0.24</v>
      </c>
      <c r="G1412" s="3">
        <v>480</v>
      </c>
      <c r="H1412" s="3">
        <f t="shared" si="25"/>
        <v>115.2</v>
      </c>
      <c r="I1412" s="3"/>
      <c r="J1412" s="26">
        <v>9.2</v>
      </c>
    </row>
    <row r="1413" customHeight="1" spans="1:10">
      <c r="A1413" s="3">
        <v>1465</v>
      </c>
      <c r="B1413" s="3" t="s">
        <v>546</v>
      </c>
      <c r="C1413" s="3" t="s">
        <v>177</v>
      </c>
      <c r="D1413" s="3" t="s">
        <v>246</v>
      </c>
      <c r="E1413" s="3" t="s">
        <v>22</v>
      </c>
      <c r="F1413" s="3">
        <v>0.25</v>
      </c>
      <c r="G1413" s="3">
        <v>480</v>
      </c>
      <c r="H1413" s="3">
        <f t="shared" si="25"/>
        <v>120</v>
      </c>
      <c r="I1413" s="3"/>
      <c r="J1413" s="26">
        <v>9.2</v>
      </c>
    </row>
    <row r="1414" customHeight="1" spans="1:10">
      <c r="A1414" s="3">
        <v>1466</v>
      </c>
      <c r="B1414" s="3" t="s">
        <v>547</v>
      </c>
      <c r="C1414" s="3" t="s">
        <v>177</v>
      </c>
      <c r="D1414" s="3" t="s">
        <v>246</v>
      </c>
      <c r="E1414" s="3" t="s">
        <v>22</v>
      </c>
      <c r="F1414" s="3">
        <v>0.08</v>
      </c>
      <c r="G1414" s="3">
        <v>480</v>
      </c>
      <c r="H1414" s="3">
        <f t="shared" si="25"/>
        <v>38.4</v>
      </c>
      <c r="I1414" s="3"/>
      <c r="J1414" s="26">
        <v>9.2</v>
      </c>
    </row>
    <row r="1415" customHeight="1" spans="1:10">
      <c r="A1415" s="3">
        <v>1467</v>
      </c>
      <c r="B1415" s="3" t="s">
        <v>502</v>
      </c>
      <c r="C1415" s="3" t="s">
        <v>177</v>
      </c>
      <c r="D1415" s="3" t="s">
        <v>246</v>
      </c>
      <c r="E1415" s="3" t="s">
        <v>22</v>
      </c>
      <c r="F1415" s="3">
        <v>0.08</v>
      </c>
      <c r="G1415" s="3">
        <v>480</v>
      </c>
      <c r="H1415" s="3">
        <f t="shared" si="25"/>
        <v>38.4</v>
      </c>
      <c r="I1415" s="3"/>
      <c r="J1415" s="26">
        <v>9.2</v>
      </c>
    </row>
    <row r="1416" customHeight="1" spans="1:10">
      <c r="A1416" s="3">
        <v>1468</v>
      </c>
      <c r="B1416" s="3" t="s">
        <v>502</v>
      </c>
      <c r="C1416" s="3" t="s">
        <v>177</v>
      </c>
      <c r="D1416" s="3" t="s">
        <v>548</v>
      </c>
      <c r="E1416" s="3" t="s">
        <v>22</v>
      </c>
      <c r="F1416" s="3">
        <v>0.14</v>
      </c>
      <c r="G1416" s="3">
        <v>480</v>
      </c>
      <c r="H1416" s="3">
        <f t="shared" si="25"/>
        <v>67.2</v>
      </c>
      <c r="I1416" s="3"/>
      <c r="J1416" s="26">
        <v>9.2</v>
      </c>
    </row>
    <row r="1417" customHeight="1" spans="1:10">
      <c r="A1417" s="3">
        <v>1469</v>
      </c>
      <c r="B1417" s="3" t="s">
        <v>517</v>
      </c>
      <c r="C1417" s="3" t="s">
        <v>177</v>
      </c>
      <c r="D1417" s="3" t="s">
        <v>548</v>
      </c>
      <c r="E1417" s="3" t="s">
        <v>22</v>
      </c>
      <c r="F1417" s="3">
        <v>0.43</v>
      </c>
      <c r="G1417" s="3">
        <v>480</v>
      </c>
      <c r="H1417" s="3">
        <f t="shared" si="25"/>
        <v>206.4</v>
      </c>
      <c r="I1417" s="3"/>
      <c r="J1417" s="26">
        <v>9.2</v>
      </c>
    </row>
    <row r="1418" customHeight="1" spans="1:10">
      <c r="A1418" s="3">
        <v>1470</v>
      </c>
      <c r="B1418" s="3" t="s">
        <v>129</v>
      </c>
      <c r="C1418" s="3" t="s">
        <v>177</v>
      </c>
      <c r="D1418" s="3" t="s">
        <v>301</v>
      </c>
      <c r="E1418" s="3" t="s">
        <v>22</v>
      </c>
      <c r="F1418" s="3">
        <v>1.19</v>
      </c>
      <c r="G1418" s="3">
        <v>480</v>
      </c>
      <c r="H1418" s="3">
        <f t="shared" si="25"/>
        <v>571.2</v>
      </c>
      <c r="I1418" s="3"/>
      <c r="J1418" s="26">
        <v>9.2</v>
      </c>
    </row>
    <row r="1419" customHeight="1" spans="1:10">
      <c r="A1419" s="3">
        <v>1471</v>
      </c>
      <c r="B1419" s="3" t="s">
        <v>537</v>
      </c>
      <c r="C1419" s="3" t="s">
        <v>177</v>
      </c>
      <c r="D1419" s="3" t="s">
        <v>301</v>
      </c>
      <c r="E1419" s="3" t="s">
        <v>22</v>
      </c>
      <c r="F1419" s="3">
        <v>0.43</v>
      </c>
      <c r="G1419" s="3">
        <v>480</v>
      </c>
      <c r="H1419" s="3">
        <f t="shared" si="25"/>
        <v>206.4</v>
      </c>
      <c r="I1419" s="3"/>
      <c r="J1419" s="26">
        <v>9.2</v>
      </c>
    </row>
    <row r="1420" customHeight="1" spans="1:10">
      <c r="A1420" s="3">
        <v>1472</v>
      </c>
      <c r="B1420" s="3" t="s">
        <v>30</v>
      </c>
      <c r="C1420" s="3" t="s">
        <v>177</v>
      </c>
      <c r="D1420" s="3" t="s">
        <v>301</v>
      </c>
      <c r="E1420" s="3" t="s">
        <v>22</v>
      </c>
      <c r="F1420" s="3">
        <v>0.17</v>
      </c>
      <c r="G1420" s="3">
        <v>480</v>
      </c>
      <c r="H1420" s="3">
        <f t="shared" si="25"/>
        <v>81.6</v>
      </c>
      <c r="I1420" s="3"/>
      <c r="J1420" s="26">
        <v>9.2</v>
      </c>
    </row>
    <row r="1421" customHeight="1" spans="1:10">
      <c r="A1421" s="3">
        <v>1473</v>
      </c>
      <c r="B1421" s="3" t="s">
        <v>518</v>
      </c>
      <c r="C1421" s="3" t="s">
        <v>177</v>
      </c>
      <c r="D1421" s="3" t="s">
        <v>301</v>
      </c>
      <c r="E1421" s="3" t="s">
        <v>22</v>
      </c>
      <c r="F1421" s="3">
        <v>0.43</v>
      </c>
      <c r="G1421" s="3">
        <v>480</v>
      </c>
      <c r="H1421" s="3">
        <f t="shared" si="25"/>
        <v>206.4</v>
      </c>
      <c r="I1421" s="3"/>
      <c r="J1421" s="26">
        <v>9.2</v>
      </c>
    </row>
    <row r="1422" customHeight="1" spans="1:10">
      <c r="A1422" s="3">
        <v>1474</v>
      </c>
      <c r="B1422" s="3" t="s">
        <v>220</v>
      </c>
      <c r="C1422" s="3" t="s">
        <v>177</v>
      </c>
      <c r="D1422" s="3" t="s">
        <v>301</v>
      </c>
      <c r="E1422" s="3" t="s">
        <v>22</v>
      </c>
      <c r="F1422" s="3">
        <v>0.51</v>
      </c>
      <c r="G1422" s="3">
        <v>480</v>
      </c>
      <c r="H1422" s="3">
        <f t="shared" si="25"/>
        <v>244.8</v>
      </c>
      <c r="I1422" s="3"/>
      <c r="J1422" s="26">
        <v>9.2</v>
      </c>
    </row>
    <row r="1423" customHeight="1" spans="1:10">
      <c r="A1423" s="3">
        <v>1475</v>
      </c>
      <c r="B1423" s="3" t="s">
        <v>505</v>
      </c>
      <c r="C1423" s="3" t="s">
        <v>177</v>
      </c>
      <c r="D1423" s="3" t="s">
        <v>301</v>
      </c>
      <c r="E1423" s="3" t="s">
        <v>22</v>
      </c>
      <c r="F1423" s="3">
        <v>0.27</v>
      </c>
      <c r="G1423" s="3">
        <v>480</v>
      </c>
      <c r="H1423" s="3">
        <f t="shared" si="25"/>
        <v>129.6</v>
      </c>
      <c r="I1423" s="3"/>
      <c r="J1423" s="26">
        <v>9.2</v>
      </c>
    </row>
    <row r="1424" customHeight="1" spans="1:10">
      <c r="A1424" s="3">
        <v>1476</v>
      </c>
      <c r="B1424" s="20" t="s">
        <v>505</v>
      </c>
      <c r="C1424" s="3" t="s">
        <v>177</v>
      </c>
      <c r="D1424" s="20" t="s">
        <v>185</v>
      </c>
      <c r="E1424" s="20" t="s">
        <v>22</v>
      </c>
      <c r="F1424" s="20">
        <v>0.16</v>
      </c>
      <c r="G1424" s="3">
        <v>480</v>
      </c>
      <c r="H1424" s="3">
        <f t="shared" si="25"/>
        <v>76.8</v>
      </c>
      <c r="I1424" s="20"/>
      <c r="J1424" s="26">
        <v>9.2</v>
      </c>
    </row>
    <row r="1425" customHeight="1" spans="1:10">
      <c r="A1425" s="3">
        <v>1477</v>
      </c>
      <c r="B1425" s="20" t="s">
        <v>278</v>
      </c>
      <c r="C1425" s="3" t="s">
        <v>177</v>
      </c>
      <c r="D1425" s="20" t="s">
        <v>185</v>
      </c>
      <c r="E1425" s="20" t="s">
        <v>22</v>
      </c>
      <c r="F1425" s="20">
        <v>0.08</v>
      </c>
      <c r="G1425" s="3">
        <v>480</v>
      </c>
      <c r="H1425" s="3">
        <f t="shared" si="25"/>
        <v>38.4</v>
      </c>
      <c r="I1425" s="20"/>
      <c r="J1425" s="26">
        <v>9.2</v>
      </c>
    </row>
    <row r="1426" customHeight="1" spans="1:10">
      <c r="A1426" s="3">
        <v>1478</v>
      </c>
      <c r="B1426" s="20" t="s">
        <v>377</v>
      </c>
      <c r="C1426" s="3" t="s">
        <v>177</v>
      </c>
      <c r="D1426" s="20" t="s">
        <v>185</v>
      </c>
      <c r="E1426" s="20" t="s">
        <v>22</v>
      </c>
      <c r="F1426" s="20"/>
      <c r="G1426" s="3">
        <v>480</v>
      </c>
      <c r="H1426" s="3">
        <f t="shared" si="25"/>
        <v>0</v>
      </c>
      <c r="I1426" s="20"/>
      <c r="J1426" s="26">
        <v>9.2</v>
      </c>
    </row>
    <row r="1427" customHeight="1" spans="1:10">
      <c r="A1427" s="3">
        <v>1479</v>
      </c>
      <c r="B1427" s="20" t="s">
        <v>510</v>
      </c>
      <c r="C1427" s="3" t="s">
        <v>177</v>
      </c>
      <c r="D1427" s="20" t="s">
        <v>185</v>
      </c>
      <c r="E1427" s="20" t="s">
        <v>22</v>
      </c>
      <c r="F1427" s="20"/>
      <c r="G1427" s="3">
        <v>480</v>
      </c>
      <c r="H1427" s="3">
        <f t="shared" si="25"/>
        <v>0</v>
      </c>
      <c r="I1427" s="20"/>
      <c r="J1427" s="26">
        <v>9.2</v>
      </c>
    </row>
    <row r="1428" customHeight="1" spans="1:10">
      <c r="A1428" s="3">
        <v>1480</v>
      </c>
      <c r="B1428" s="3" t="s">
        <v>549</v>
      </c>
      <c r="C1428" s="3" t="s">
        <v>177</v>
      </c>
      <c r="D1428" s="3" t="s">
        <v>267</v>
      </c>
      <c r="E1428" s="23" t="s">
        <v>22</v>
      </c>
      <c r="F1428" s="3">
        <v>0.41</v>
      </c>
      <c r="G1428" s="3">
        <v>480</v>
      </c>
      <c r="H1428" s="3">
        <f t="shared" si="25"/>
        <v>196.8</v>
      </c>
      <c r="I1428" s="3"/>
      <c r="J1428" s="26">
        <v>9.2</v>
      </c>
    </row>
    <row r="1429" customHeight="1" spans="1:10">
      <c r="A1429" s="3">
        <v>1481</v>
      </c>
      <c r="B1429" s="3" t="s">
        <v>507</v>
      </c>
      <c r="C1429" s="3" t="s">
        <v>177</v>
      </c>
      <c r="D1429" s="3" t="s">
        <v>267</v>
      </c>
      <c r="E1429" s="23" t="s">
        <v>22</v>
      </c>
      <c r="F1429" s="3">
        <v>0.16</v>
      </c>
      <c r="G1429" s="3">
        <v>480</v>
      </c>
      <c r="H1429" s="3">
        <f t="shared" si="25"/>
        <v>76.8</v>
      </c>
      <c r="I1429" s="3"/>
      <c r="J1429" s="26">
        <v>9.2</v>
      </c>
    </row>
    <row r="1430" customHeight="1" spans="1:10">
      <c r="A1430" s="3">
        <v>1482</v>
      </c>
      <c r="B1430" s="3" t="s">
        <v>280</v>
      </c>
      <c r="C1430" s="3" t="s">
        <v>177</v>
      </c>
      <c r="D1430" s="3" t="s">
        <v>267</v>
      </c>
      <c r="E1430" s="23" t="s">
        <v>22</v>
      </c>
      <c r="F1430" s="3">
        <v>0.17</v>
      </c>
      <c r="G1430" s="3">
        <v>480</v>
      </c>
      <c r="H1430" s="3">
        <f t="shared" si="25"/>
        <v>81.6</v>
      </c>
      <c r="I1430" s="3"/>
      <c r="J1430" s="26">
        <v>9.2</v>
      </c>
    </row>
    <row r="1431" customHeight="1" spans="1:10">
      <c r="A1431" s="3">
        <v>1483</v>
      </c>
      <c r="B1431" s="3" t="s">
        <v>334</v>
      </c>
      <c r="C1431" s="3" t="s">
        <v>177</v>
      </c>
      <c r="D1431" s="3" t="s">
        <v>267</v>
      </c>
      <c r="E1431" s="23" t="s">
        <v>22</v>
      </c>
      <c r="F1431" s="3">
        <v>0.95</v>
      </c>
      <c r="G1431" s="3">
        <v>480</v>
      </c>
      <c r="H1431" s="3">
        <f t="shared" si="25"/>
        <v>456</v>
      </c>
      <c r="I1431" s="3"/>
      <c r="J1431" s="26">
        <v>9.2</v>
      </c>
    </row>
    <row r="1432" customHeight="1" spans="1:10">
      <c r="A1432" s="3">
        <v>1484</v>
      </c>
      <c r="B1432" s="3" t="s">
        <v>508</v>
      </c>
      <c r="C1432" s="3" t="s">
        <v>177</v>
      </c>
      <c r="D1432" s="3" t="s">
        <v>328</v>
      </c>
      <c r="E1432" s="3" t="s">
        <v>13</v>
      </c>
      <c r="F1432" s="3">
        <v>0.05</v>
      </c>
      <c r="G1432" s="3">
        <v>380</v>
      </c>
      <c r="H1432" s="3">
        <f t="shared" si="25"/>
        <v>19</v>
      </c>
      <c r="I1432" s="3"/>
      <c r="J1432" s="26">
        <v>9.2</v>
      </c>
    </row>
    <row r="1433" customHeight="1" spans="1:10">
      <c r="A1433" s="3">
        <v>1485</v>
      </c>
      <c r="B1433" s="3" t="s">
        <v>220</v>
      </c>
      <c r="C1433" s="3" t="s">
        <v>177</v>
      </c>
      <c r="D1433" s="3" t="s">
        <v>328</v>
      </c>
      <c r="E1433" s="3" t="s">
        <v>13</v>
      </c>
      <c r="F1433" s="3">
        <v>0.08</v>
      </c>
      <c r="G1433" s="3">
        <v>380</v>
      </c>
      <c r="H1433" s="3">
        <f t="shared" si="25"/>
        <v>30.4</v>
      </c>
      <c r="I1433" s="3"/>
      <c r="J1433" s="26">
        <v>9.2</v>
      </c>
    </row>
    <row r="1434" customHeight="1" spans="1:10">
      <c r="A1434" s="3">
        <v>1486</v>
      </c>
      <c r="B1434" s="3" t="s">
        <v>278</v>
      </c>
      <c r="C1434" s="3" t="s">
        <v>177</v>
      </c>
      <c r="D1434" s="3" t="s">
        <v>328</v>
      </c>
      <c r="E1434" s="3" t="s">
        <v>13</v>
      </c>
      <c r="F1434" s="3">
        <v>0.2</v>
      </c>
      <c r="G1434" s="3">
        <v>380</v>
      </c>
      <c r="H1434" s="3">
        <f t="shared" si="25"/>
        <v>76</v>
      </c>
      <c r="I1434" s="3"/>
      <c r="J1434" s="26">
        <v>9.2</v>
      </c>
    </row>
    <row r="1435" customHeight="1" spans="1:10">
      <c r="A1435" s="3">
        <v>1487</v>
      </c>
      <c r="B1435" s="3" t="s">
        <v>278</v>
      </c>
      <c r="C1435" s="3" t="s">
        <v>177</v>
      </c>
      <c r="D1435" s="3" t="s">
        <v>204</v>
      </c>
      <c r="E1435" s="23" t="s">
        <v>22</v>
      </c>
      <c r="F1435" s="3">
        <v>0.46</v>
      </c>
      <c r="G1435" s="3">
        <v>480</v>
      </c>
      <c r="H1435" s="3">
        <f t="shared" si="25"/>
        <v>220.8</v>
      </c>
      <c r="I1435" s="3"/>
      <c r="J1435" s="26">
        <v>9.2</v>
      </c>
    </row>
    <row r="1436" customHeight="1" spans="1:10">
      <c r="A1436" s="3">
        <v>1488</v>
      </c>
      <c r="B1436" s="3" t="s">
        <v>536</v>
      </c>
      <c r="C1436" s="3" t="s">
        <v>177</v>
      </c>
      <c r="D1436" s="3" t="s">
        <v>550</v>
      </c>
      <c r="E1436" s="23" t="s">
        <v>22</v>
      </c>
      <c r="F1436" s="3">
        <v>1.09</v>
      </c>
      <c r="G1436" s="3">
        <v>480</v>
      </c>
      <c r="H1436" s="3">
        <f t="shared" si="25"/>
        <v>523.2</v>
      </c>
      <c r="I1436" s="3"/>
      <c r="J1436" s="26">
        <v>9.2</v>
      </c>
    </row>
    <row r="1437" customHeight="1" spans="1:10">
      <c r="A1437" s="3">
        <v>1489</v>
      </c>
      <c r="B1437" s="3" t="s">
        <v>355</v>
      </c>
      <c r="C1437" s="3" t="s">
        <v>177</v>
      </c>
      <c r="D1437" s="3" t="s">
        <v>550</v>
      </c>
      <c r="E1437" s="23" t="s">
        <v>22</v>
      </c>
      <c r="F1437" s="3">
        <v>0.75</v>
      </c>
      <c r="G1437" s="3">
        <v>480</v>
      </c>
      <c r="H1437" s="3">
        <f t="shared" si="25"/>
        <v>360</v>
      </c>
      <c r="I1437" s="3"/>
      <c r="J1437" s="26">
        <v>9.2</v>
      </c>
    </row>
    <row r="1438" customHeight="1" spans="1:10">
      <c r="A1438" s="3">
        <v>1490</v>
      </c>
      <c r="B1438" s="3" t="s">
        <v>355</v>
      </c>
      <c r="C1438" s="3" t="s">
        <v>177</v>
      </c>
      <c r="D1438" s="3" t="s">
        <v>551</v>
      </c>
      <c r="E1438" s="23" t="s">
        <v>22</v>
      </c>
      <c r="F1438" s="3">
        <v>0.2</v>
      </c>
      <c r="G1438" s="3">
        <v>480</v>
      </c>
      <c r="H1438" s="3">
        <f t="shared" si="25"/>
        <v>96</v>
      </c>
      <c r="I1438" s="3"/>
      <c r="J1438" s="26">
        <v>9.2</v>
      </c>
    </row>
    <row r="1439" customHeight="1" spans="1:10">
      <c r="A1439" s="3">
        <v>1491</v>
      </c>
      <c r="B1439" s="3" t="s">
        <v>220</v>
      </c>
      <c r="C1439" s="3" t="s">
        <v>177</v>
      </c>
      <c r="D1439" s="3" t="s">
        <v>318</v>
      </c>
      <c r="E1439" s="3" t="s">
        <v>13</v>
      </c>
      <c r="F1439" s="3">
        <v>0.12</v>
      </c>
      <c r="G1439" s="3">
        <v>380</v>
      </c>
      <c r="H1439" s="3">
        <f t="shared" si="25"/>
        <v>45.6</v>
      </c>
      <c r="I1439" s="3"/>
      <c r="J1439" s="26">
        <v>9.2</v>
      </c>
    </row>
    <row r="1440" customHeight="1" spans="1:10">
      <c r="A1440" s="3">
        <v>1492</v>
      </c>
      <c r="B1440" s="3" t="s">
        <v>355</v>
      </c>
      <c r="C1440" s="3" t="s">
        <v>177</v>
      </c>
      <c r="D1440" s="3" t="s">
        <v>541</v>
      </c>
      <c r="E1440" s="23" t="s">
        <v>22</v>
      </c>
      <c r="F1440" s="3">
        <v>0.3</v>
      </c>
      <c r="G1440" s="3">
        <v>480</v>
      </c>
      <c r="H1440" s="3">
        <f t="shared" si="25"/>
        <v>144</v>
      </c>
      <c r="I1440" s="3"/>
      <c r="J1440" s="26">
        <v>9.2</v>
      </c>
    </row>
    <row r="1441" customHeight="1" spans="1:10">
      <c r="A1441" s="3">
        <v>1493</v>
      </c>
      <c r="B1441" s="3" t="s">
        <v>536</v>
      </c>
      <c r="C1441" s="3" t="s">
        <v>177</v>
      </c>
      <c r="D1441" s="3" t="s">
        <v>515</v>
      </c>
      <c r="E1441" s="3" t="s">
        <v>13</v>
      </c>
      <c r="F1441" s="3">
        <v>0.08</v>
      </c>
      <c r="G1441" s="3">
        <v>380</v>
      </c>
      <c r="H1441" s="3">
        <f t="shared" si="25"/>
        <v>30.4</v>
      </c>
      <c r="I1441" s="3"/>
      <c r="J1441" s="26">
        <v>9.2</v>
      </c>
    </row>
    <row r="1442" customHeight="1" spans="1:10">
      <c r="A1442" s="3">
        <v>1494</v>
      </c>
      <c r="B1442" s="3" t="s">
        <v>355</v>
      </c>
      <c r="C1442" s="3" t="s">
        <v>177</v>
      </c>
      <c r="D1442" s="3" t="s">
        <v>154</v>
      </c>
      <c r="E1442" s="3" t="s">
        <v>13</v>
      </c>
      <c r="F1442" s="3">
        <v>0.07</v>
      </c>
      <c r="G1442" s="3">
        <v>380</v>
      </c>
      <c r="H1442" s="3">
        <f t="shared" si="25"/>
        <v>26.6</v>
      </c>
      <c r="I1442" s="3"/>
      <c r="J1442" s="26">
        <v>9.2</v>
      </c>
    </row>
    <row r="1443" customHeight="1" spans="1:10">
      <c r="A1443" s="3">
        <v>1495</v>
      </c>
      <c r="B1443" s="3" t="s">
        <v>508</v>
      </c>
      <c r="C1443" s="3" t="s">
        <v>177</v>
      </c>
      <c r="D1443" s="3" t="s">
        <v>154</v>
      </c>
      <c r="E1443" s="3" t="s">
        <v>13</v>
      </c>
      <c r="F1443" s="3">
        <v>0.68</v>
      </c>
      <c r="G1443" s="3">
        <v>380</v>
      </c>
      <c r="H1443" s="3">
        <f t="shared" si="25"/>
        <v>258.4</v>
      </c>
      <c r="I1443" s="3"/>
      <c r="J1443" s="26">
        <v>9.2</v>
      </c>
    </row>
    <row r="1444" customHeight="1" spans="1:10">
      <c r="A1444" s="3">
        <v>1496</v>
      </c>
      <c r="B1444" s="3" t="s">
        <v>538</v>
      </c>
      <c r="C1444" s="3" t="s">
        <v>177</v>
      </c>
      <c r="D1444" s="3" t="s">
        <v>552</v>
      </c>
      <c r="E1444" s="3" t="s">
        <v>13</v>
      </c>
      <c r="F1444" s="3">
        <v>0.5</v>
      </c>
      <c r="G1444" s="3">
        <v>380</v>
      </c>
      <c r="H1444" s="3">
        <f t="shared" si="25"/>
        <v>190</v>
      </c>
      <c r="I1444" s="3"/>
      <c r="J1444" s="26">
        <v>9.2</v>
      </c>
    </row>
    <row r="1445" customHeight="1" spans="1:10">
      <c r="A1445" s="3">
        <v>1497</v>
      </c>
      <c r="B1445" s="3" t="s">
        <v>537</v>
      </c>
      <c r="C1445" s="3" t="s">
        <v>177</v>
      </c>
      <c r="D1445" s="3" t="s">
        <v>552</v>
      </c>
      <c r="E1445" s="3" t="s">
        <v>13</v>
      </c>
      <c r="F1445" s="3">
        <v>1.5</v>
      </c>
      <c r="G1445" s="3">
        <v>380</v>
      </c>
      <c r="H1445" s="3">
        <f t="shared" si="25"/>
        <v>570</v>
      </c>
      <c r="I1445" s="3"/>
      <c r="J1445" s="26">
        <v>9.2</v>
      </c>
    </row>
    <row r="1446" customHeight="1" spans="1:10">
      <c r="A1446" s="3">
        <v>1498</v>
      </c>
      <c r="B1446" s="3" t="s">
        <v>245</v>
      </c>
      <c r="C1446" s="3" t="s">
        <v>177</v>
      </c>
      <c r="D1446" s="3" t="s">
        <v>552</v>
      </c>
      <c r="E1446" s="3" t="s">
        <v>13</v>
      </c>
      <c r="F1446" s="3">
        <v>0.04</v>
      </c>
      <c r="G1446" s="3">
        <v>380</v>
      </c>
      <c r="H1446" s="3">
        <f t="shared" si="25"/>
        <v>15.2</v>
      </c>
      <c r="I1446" s="3"/>
      <c r="J1446" s="26">
        <v>9.2</v>
      </c>
    </row>
    <row r="1447" customHeight="1" spans="1:10">
      <c r="A1447" s="3">
        <v>1499</v>
      </c>
      <c r="B1447" s="3" t="s">
        <v>259</v>
      </c>
      <c r="C1447" s="3" t="s">
        <v>177</v>
      </c>
      <c r="D1447" s="3" t="s">
        <v>553</v>
      </c>
      <c r="E1447" s="3" t="s">
        <v>13</v>
      </c>
      <c r="F1447" s="3">
        <v>0.44</v>
      </c>
      <c r="G1447" s="3">
        <v>380</v>
      </c>
      <c r="H1447" s="3">
        <f t="shared" si="25"/>
        <v>167.2</v>
      </c>
      <c r="I1447" s="3"/>
      <c r="J1447" s="26">
        <v>9.2</v>
      </c>
    </row>
    <row r="1448" customHeight="1" spans="1:10">
      <c r="A1448" s="3">
        <v>1500</v>
      </c>
      <c r="B1448" s="3" t="s">
        <v>274</v>
      </c>
      <c r="C1448" s="3" t="s">
        <v>177</v>
      </c>
      <c r="D1448" s="3" t="s">
        <v>554</v>
      </c>
      <c r="E1448" s="3" t="s">
        <v>13</v>
      </c>
      <c r="F1448" s="3">
        <v>0.12</v>
      </c>
      <c r="G1448" s="3">
        <v>380</v>
      </c>
      <c r="H1448" s="3">
        <f t="shared" si="25"/>
        <v>45.6</v>
      </c>
      <c r="I1448" s="3"/>
      <c r="J1448" s="26">
        <v>9.2</v>
      </c>
    </row>
    <row r="1449" customHeight="1" spans="1:10">
      <c r="A1449" s="3">
        <v>1501</v>
      </c>
      <c r="B1449" s="3" t="s">
        <v>535</v>
      </c>
      <c r="C1449" s="3" t="s">
        <v>177</v>
      </c>
      <c r="D1449" s="3" t="s">
        <v>555</v>
      </c>
      <c r="E1449" s="3" t="s">
        <v>13</v>
      </c>
      <c r="F1449" s="3">
        <v>0.13</v>
      </c>
      <c r="G1449" s="3">
        <v>380</v>
      </c>
      <c r="H1449" s="3">
        <f t="shared" si="25"/>
        <v>49.4</v>
      </c>
      <c r="I1449" s="3"/>
      <c r="J1449" s="26">
        <v>9.2</v>
      </c>
    </row>
    <row r="1450" customHeight="1" spans="1:10">
      <c r="A1450" s="3">
        <v>1502</v>
      </c>
      <c r="B1450" s="3" t="s">
        <v>245</v>
      </c>
      <c r="C1450" s="3" t="s">
        <v>177</v>
      </c>
      <c r="D1450" s="3" t="s">
        <v>554</v>
      </c>
      <c r="E1450" s="3" t="s">
        <v>13</v>
      </c>
      <c r="F1450" s="3">
        <v>0.1</v>
      </c>
      <c r="G1450" s="3">
        <v>380</v>
      </c>
      <c r="H1450" s="3">
        <f t="shared" si="25"/>
        <v>38</v>
      </c>
      <c r="I1450" s="3"/>
      <c r="J1450" s="26">
        <v>9.2</v>
      </c>
    </row>
    <row r="1451" customHeight="1" spans="1:10">
      <c r="A1451" s="3">
        <v>1503</v>
      </c>
      <c r="B1451" s="3" t="s">
        <v>332</v>
      </c>
      <c r="C1451" s="3" t="s">
        <v>177</v>
      </c>
      <c r="D1451" s="3" t="s">
        <v>555</v>
      </c>
      <c r="E1451" s="3" t="s">
        <v>13</v>
      </c>
      <c r="F1451" s="3">
        <v>0.5</v>
      </c>
      <c r="G1451" s="3">
        <v>380</v>
      </c>
      <c r="H1451" s="3">
        <f t="shared" si="25"/>
        <v>190</v>
      </c>
      <c r="I1451" s="3"/>
      <c r="J1451" s="26">
        <v>9.2</v>
      </c>
    </row>
    <row r="1452" customHeight="1" spans="1:10">
      <c r="A1452" s="3">
        <v>1504</v>
      </c>
      <c r="B1452" s="3" t="s">
        <v>129</v>
      </c>
      <c r="C1452" s="3" t="s">
        <v>177</v>
      </c>
      <c r="D1452" s="3" t="s">
        <v>400</v>
      </c>
      <c r="E1452" s="3" t="s">
        <v>13</v>
      </c>
      <c r="F1452" s="3">
        <v>0.2</v>
      </c>
      <c r="G1452" s="3">
        <v>380</v>
      </c>
      <c r="H1452" s="3">
        <f t="shared" si="25"/>
        <v>76</v>
      </c>
      <c r="I1452" s="3"/>
      <c r="J1452" s="26">
        <v>9.2</v>
      </c>
    </row>
    <row r="1453" customHeight="1" spans="1:10">
      <c r="A1453" s="3">
        <v>1505</v>
      </c>
      <c r="B1453" s="3" t="s">
        <v>502</v>
      </c>
      <c r="C1453" s="3" t="s">
        <v>177</v>
      </c>
      <c r="D1453" s="3" t="s">
        <v>400</v>
      </c>
      <c r="E1453" s="3" t="s">
        <v>13</v>
      </c>
      <c r="F1453" s="3">
        <v>0.32</v>
      </c>
      <c r="G1453" s="3">
        <v>380</v>
      </c>
      <c r="H1453" s="3">
        <f t="shared" si="25"/>
        <v>121.6</v>
      </c>
      <c r="I1453" s="3"/>
      <c r="J1453" s="26">
        <v>9.2</v>
      </c>
    </row>
    <row r="1454" customHeight="1" spans="1:10">
      <c r="A1454" s="3">
        <v>1506</v>
      </c>
      <c r="B1454" s="3" t="s">
        <v>536</v>
      </c>
      <c r="C1454" s="3" t="s">
        <v>177</v>
      </c>
      <c r="D1454" s="3" t="s">
        <v>326</v>
      </c>
      <c r="E1454" s="3" t="s">
        <v>13</v>
      </c>
      <c r="F1454" s="3">
        <v>0.7</v>
      </c>
      <c r="G1454" s="3">
        <v>380</v>
      </c>
      <c r="H1454" s="3">
        <f t="shared" si="25"/>
        <v>266</v>
      </c>
      <c r="I1454" s="3"/>
      <c r="J1454" s="26">
        <v>9.2</v>
      </c>
    </row>
    <row r="1455" customHeight="1" spans="1:10">
      <c r="A1455" s="3">
        <v>1507</v>
      </c>
      <c r="B1455" s="3" t="s">
        <v>536</v>
      </c>
      <c r="C1455" s="3" t="s">
        <v>177</v>
      </c>
      <c r="D1455" s="3" t="s">
        <v>319</v>
      </c>
      <c r="E1455" s="3" t="s">
        <v>13</v>
      </c>
      <c r="F1455" s="3">
        <v>0.08</v>
      </c>
      <c r="G1455" s="3">
        <v>380</v>
      </c>
      <c r="H1455" s="3">
        <f t="shared" si="25"/>
        <v>30.4</v>
      </c>
      <c r="I1455" s="3"/>
      <c r="J1455" s="26">
        <v>9.2</v>
      </c>
    </row>
    <row r="1456" customHeight="1" spans="1:10">
      <c r="A1456" s="3">
        <v>1508</v>
      </c>
      <c r="B1456" s="3" t="s">
        <v>499</v>
      </c>
      <c r="C1456" s="3" t="s">
        <v>177</v>
      </c>
      <c r="D1456" s="3" t="s">
        <v>154</v>
      </c>
      <c r="E1456" s="3" t="s">
        <v>13</v>
      </c>
      <c r="F1456" s="3">
        <v>0.7</v>
      </c>
      <c r="G1456" s="3">
        <v>380</v>
      </c>
      <c r="H1456" s="3">
        <f t="shared" si="25"/>
        <v>266</v>
      </c>
      <c r="I1456" s="3"/>
      <c r="J1456" s="26">
        <v>9.2</v>
      </c>
    </row>
    <row r="1457" customHeight="1" spans="1:10">
      <c r="A1457" s="3">
        <v>1509</v>
      </c>
      <c r="B1457" s="3" t="s">
        <v>524</v>
      </c>
      <c r="C1457" s="3" t="s">
        <v>177</v>
      </c>
      <c r="D1457" s="3" t="s">
        <v>154</v>
      </c>
      <c r="E1457" s="3" t="s">
        <v>13</v>
      </c>
      <c r="F1457" s="3">
        <v>0.65</v>
      </c>
      <c r="G1457" s="3">
        <v>380</v>
      </c>
      <c r="H1457" s="3">
        <f t="shared" si="25"/>
        <v>247</v>
      </c>
      <c r="I1457" s="3"/>
      <c r="J1457" s="26">
        <v>9.2</v>
      </c>
    </row>
    <row r="1458" customHeight="1" spans="1:10">
      <c r="A1458" s="3">
        <v>1510</v>
      </c>
      <c r="B1458" s="3" t="s">
        <v>275</v>
      </c>
      <c r="C1458" s="3" t="s">
        <v>177</v>
      </c>
      <c r="D1458" s="3" t="s">
        <v>154</v>
      </c>
      <c r="E1458" s="3" t="s">
        <v>13</v>
      </c>
      <c r="F1458" s="3">
        <v>0.25</v>
      </c>
      <c r="G1458" s="3">
        <v>380</v>
      </c>
      <c r="H1458" s="3">
        <f t="shared" si="25"/>
        <v>95</v>
      </c>
      <c r="I1458" s="3"/>
      <c r="J1458" s="26">
        <v>9.2</v>
      </c>
    </row>
    <row r="1459" customHeight="1" spans="1:10">
      <c r="A1459" s="3">
        <v>1511</v>
      </c>
      <c r="B1459" s="3" t="s">
        <v>505</v>
      </c>
      <c r="C1459" s="3" t="s">
        <v>177</v>
      </c>
      <c r="D1459" s="3" t="s">
        <v>154</v>
      </c>
      <c r="E1459" s="3" t="s">
        <v>13</v>
      </c>
      <c r="F1459" s="3">
        <v>0.27</v>
      </c>
      <c r="G1459" s="3">
        <v>380</v>
      </c>
      <c r="H1459" s="3">
        <f t="shared" si="25"/>
        <v>102.6</v>
      </c>
      <c r="I1459" s="3"/>
      <c r="J1459" s="26">
        <v>9.2</v>
      </c>
    </row>
    <row r="1460" customHeight="1" spans="1:10">
      <c r="A1460" s="3">
        <v>1512</v>
      </c>
      <c r="B1460" s="3" t="s">
        <v>518</v>
      </c>
      <c r="C1460" s="3" t="s">
        <v>177</v>
      </c>
      <c r="D1460" s="3" t="s">
        <v>154</v>
      </c>
      <c r="E1460" s="3" t="s">
        <v>13</v>
      </c>
      <c r="F1460" s="3">
        <v>0.25</v>
      </c>
      <c r="G1460" s="3">
        <v>380</v>
      </c>
      <c r="H1460" s="3">
        <f t="shared" si="25"/>
        <v>95</v>
      </c>
      <c r="I1460" s="3"/>
      <c r="J1460" s="26">
        <v>9.2</v>
      </c>
    </row>
    <row r="1461" customHeight="1" spans="1:10">
      <c r="A1461" s="3">
        <v>1513</v>
      </c>
      <c r="B1461" s="3" t="s">
        <v>508</v>
      </c>
      <c r="C1461" s="3" t="s">
        <v>177</v>
      </c>
      <c r="D1461" s="3" t="s">
        <v>556</v>
      </c>
      <c r="E1461" s="3" t="s">
        <v>13</v>
      </c>
      <c r="F1461" s="3">
        <v>0.2</v>
      </c>
      <c r="G1461" s="3">
        <v>380</v>
      </c>
      <c r="H1461" s="3">
        <f t="shared" si="25"/>
        <v>76</v>
      </c>
      <c r="I1461" s="3"/>
      <c r="J1461" s="26">
        <v>9.2</v>
      </c>
    </row>
    <row r="1462" customHeight="1" spans="1:10">
      <c r="A1462" s="3">
        <v>1514</v>
      </c>
      <c r="B1462" s="3" t="s">
        <v>298</v>
      </c>
      <c r="C1462" s="3" t="s">
        <v>177</v>
      </c>
      <c r="D1462" s="3" t="s">
        <v>261</v>
      </c>
      <c r="E1462" s="3" t="s">
        <v>22</v>
      </c>
      <c r="F1462" s="3">
        <v>0.24</v>
      </c>
      <c r="G1462" s="3">
        <v>480</v>
      </c>
      <c r="H1462" s="3">
        <f t="shared" si="25"/>
        <v>115.2</v>
      </c>
      <c r="I1462" s="3"/>
      <c r="J1462" s="26">
        <v>9.2</v>
      </c>
    </row>
    <row r="1463" customHeight="1" spans="1:10">
      <c r="A1463" s="3">
        <v>1515</v>
      </c>
      <c r="B1463" s="3" t="s">
        <v>298</v>
      </c>
      <c r="C1463" s="3" t="s">
        <v>177</v>
      </c>
      <c r="D1463" s="3"/>
      <c r="E1463" s="3" t="s">
        <v>22</v>
      </c>
      <c r="F1463" s="3">
        <v>0.2</v>
      </c>
      <c r="G1463" s="3">
        <v>480</v>
      </c>
      <c r="H1463" s="3">
        <f t="shared" si="25"/>
        <v>96</v>
      </c>
      <c r="I1463" s="3"/>
      <c r="J1463" s="26">
        <v>9.2</v>
      </c>
    </row>
    <row r="1464" customHeight="1" spans="1:10">
      <c r="A1464" s="3">
        <v>1516</v>
      </c>
      <c r="B1464" s="3" t="s">
        <v>262</v>
      </c>
      <c r="C1464" s="3" t="s">
        <v>177</v>
      </c>
      <c r="D1464" s="3" t="s">
        <v>528</v>
      </c>
      <c r="E1464" s="3" t="s">
        <v>13</v>
      </c>
      <c r="F1464" s="3">
        <v>0.04</v>
      </c>
      <c r="G1464" s="3">
        <v>380</v>
      </c>
      <c r="H1464" s="3">
        <f t="shared" si="25"/>
        <v>15.2</v>
      </c>
      <c r="I1464" s="3"/>
      <c r="J1464" s="26">
        <v>9.2</v>
      </c>
    </row>
    <row r="1465" customHeight="1" spans="1:10">
      <c r="A1465" s="3">
        <v>1517</v>
      </c>
      <c r="B1465" s="3" t="s">
        <v>557</v>
      </c>
      <c r="C1465" s="3" t="s">
        <v>558</v>
      </c>
      <c r="D1465" s="3" t="s">
        <v>559</v>
      </c>
      <c r="E1465" s="3" t="s">
        <v>13</v>
      </c>
      <c r="F1465" s="3">
        <v>0.52</v>
      </c>
      <c r="G1465" s="3">
        <v>380</v>
      </c>
      <c r="H1465" s="3">
        <f t="shared" si="25"/>
        <v>197.6</v>
      </c>
      <c r="I1465" s="3"/>
      <c r="J1465" s="3">
        <v>9.25</v>
      </c>
    </row>
    <row r="1466" customHeight="1" spans="1:10">
      <c r="A1466" s="3">
        <v>1518</v>
      </c>
      <c r="B1466" s="3" t="s">
        <v>560</v>
      </c>
      <c r="C1466" s="3" t="s">
        <v>558</v>
      </c>
      <c r="D1466" s="3" t="s">
        <v>559</v>
      </c>
      <c r="E1466" s="3" t="s">
        <v>13</v>
      </c>
      <c r="F1466" s="3">
        <v>0.57</v>
      </c>
      <c r="G1466" s="3">
        <v>380</v>
      </c>
      <c r="H1466" s="3">
        <f t="shared" si="25"/>
        <v>216.6</v>
      </c>
      <c r="I1466" s="3"/>
      <c r="J1466" s="3">
        <v>9.25</v>
      </c>
    </row>
    <row r="1467" customHeight="1" spans="1:10">
      <c r="A1467" s="3">
        <v>1519</v>
      </c>
      <c r="B1467" s="3" t="s">
        <v>561</v>
      </c>
      <c r="C1467" s="3" t="s">
        <v>558</v>
      </c>
      <c r="D1467" s="3" t="s">
        <v>319</v>
      </c>
      <c r="E1467" s="3" t="s">
        <v>13</v>
      </c>
      <c r="F1467" s="3">
        <v>0.16</v>
      </c>
      <c r="G1467" s="3">
        <v>380</v>
      </c>
      <c r="H1467" s="3">
        <f t="shared" si="25"/>
        <v>60.8</v>
      </c>
      <c r="I1467" s="3"/>
      <c r="J1467" s="3">
        <v>9.25</v>
      </c>
    </row>
    <row r="1468" customHeight="1" spans="1:10">
      <c r="A1468" s="3">
        <v>1520</v>
      </c>
      <c r="B1468" s="3" t="s">
        <v>562</v>
      </c>
      <c r="C1468" s="3" t="s">
        <v>558</v>
      </c>
      <c r="D1468" s="3" t="s">
        <v>563</v>
      </c>
      <c r="E1468" s="3" t="s">
        <v>13</v>
      </c>
      <c r="F1468" s="3">
        <v>0.25</v>
      </c>
      <c r="G1468" s="3">
        <v>380</v>
      </c>
      <c r="H1468" s="3">
        <f t="shared" si="25"/>
        <v>95</v>
      </c>
      <c r="I1468" s="3"/>
      <c r="J1468" s="3">
        <v>9.25</v>
      </c>
    </row>
    <row r="1469" customHeight="1" spans="1:10">
      <c r="A1469" s="3">
        <v>1521</v>
      </c>
      <c r="B1469" s="3" t="s">
        <v>564</v>
      </c>
      <c r="C1469" s="3" t="s">
        <v>558</v>
      </c>
      <c r="D1469" s="3" t="s">
        <v>563</v>
      </c>
      <c r="E1469" s="3" t="s">
        <v>13</v>
      </c>
      <c r="F1469" s="3">
        <v>0.14</v>
      </c>
      <c r="G1469" s="3">
        <v>380</v>
      </c>
      <c r="H1469" s="3">
        <f t="shared" si="25"/>
        <v>53.2</v>
      </c>
      <c r="I1469" s="3"/>
      <c r="J1469" s="3">
        <v>9.25</v>
      </c>
    </row>
    <row r="1470" customHeight="1" spans="1:10">
      <c r="A1470" s="3">
        <v>1522</v>
      </c>
      <c r="B1470" s="3" t="s">
        <v>565</v>
      </c>
      <c r="C1470" s="3" t="s">
        <v>558</v>
      </c>
      <c r="D1470" s="3" t="s">
        <v>566</v>
      </c>
      <c r="E1470" s="3" t="s">
        <v>13</v>
      </c>
      <c r="F1470" s="3">
        <v>0.65</v>
      </c>
      <c r="G1470" s="3">
        <v>380</v>
      </c>
      <c r="H1470" s="3">
        <f t="shared" si="25"/>
        <v>247</v>
      </c>
      <c r="I1470" s="3"/>
      <c r="J1470" s="3">
        <v>9.25</v>
      </c>
    </row>
    <row r="1471" customHeight="1" spans="1:10">
      <c r="A1471" s="3">
        <v>1523</v>
      </c>
      <c r="B1471" s="3" t="s">
        <v>561</v>
      </c>
      <c r="C1471" s="3" t="s">
        <v>558</v>
      </c>
      <c r="D1471" s="3" t="s">
        <v>566</v>
      </c>
      <c r="E1471" s="3" t="s">
        <v>13</v>
      </c>
      <c r="F1471" s="3">
        <v>0.29</v>
      </c>
      <c r="G1471" s="3">
        <v>380</v>
      </c>
      <c r="H1471" s="3">
        <f t="shared" si="25"/>
        <v>110.2</v>
      </c>
      <c r="I1471" s="3"/>
      <c r="J1471" s="3">
        <v>9.25</v>
      </c>
    </row>
    <row r="1472" customHeight="1" spans="1:10">
      <c r="A1472" s="3">
        <v>1524</v>
      </c>
      <c r="B1472" s="3" t="s">
        <v>564</v>
      </c>
      <c r="C1472" s="3" t="s">
        <v>558</v>
      </c>
      <c r="D1472" s="3" t="s">
        <v>566</v>
      </c>
      <c r="E1472" s="3" t="s">
        <v>13</v>
      </c>
      <c r="F1472" s="3">
        <v>0.36</v>
      </c>
      <c r="G1472" s="3">
        <v>380</v>
      </c>
      <c r="H1472" s="3">
        <f t="shared" si="25"/>
        <v>136.8</v>
      </c>
      <c r="I1472" s="3"/>
      <c r="J1472" s="3">
        <v>9.25</v>
      </c>
    </row>
    <row r="1473" customHeight="1" spans="1:10">
      <c r="A1473" s="3">
        <v>1525</v>
      </c>
      <c r="B1473" s="3" t="s">
        <v>567</v>
      </c>
      <c r="C1473" s="3" t="s">
        <v>558</v>
      </c>
      <c r="D1473" s="3" t="s">
        <v>568</v>
      </c>
      <c r="E1473" s="3" t="s">
        <v>13</v>
      </c>
      <c r="F1473" s="3">
        <v>0.9</v>
      </c>
      <c r="G1473" s="3">
        <v>380</v>
      </c>
      <c r="H1473" s="3">
        <f t="shared" si="25"/>
        <v>342</v>
      </c>
      <c r="I1473" s="3" t="s">
        <v>25</v>
      </c>
      <c r="J1473" s="3">
        <v>9.25</v>
      </c>
    </row>
    <row r="1474" customHeight="1" spans="1:10">
      <c r="A1474" s="3">
        <v>1526</v>
      </c>
      <c r="B1474" s="3" t="s">
        <v>569</v>
      </c>
      <c r="C1474" s="3" t="s">
        <v>558</v>
      </c>
      <c r="D1474" s="3" t="s">
        <v>568</v>
      </c>
      <c r="E1474" s="3" t="s">
        <v>13</v>
      </c>
      <c r="F1474" s="3">
        <v>0.52</v>
      </c>
      <c r="G1474" s="3">
        <v>380</v>
      </c>
      <c r="H1474" s="3">
        <f t="shared" ref="H1474:H1537" si="26">G1474*F1474</f>
        <v>197.6</v>
      </c>
      <c r="I1474" s="3"/>
      <c r="J1474" s="3">
        <v>9.25</v>
      </c>
    </row>
    <row r="1475" customHeight="1" spans="1:10">
      <c r="A1475" s="3">
        <v>1527</v>
      </c>
      <c r="B1475" s="3" t="s">
        <v>570</v>
      </c>
      <c r="C1475" s="3" t="s">
        <v>558</v>
      </c>
      <c r="D1475" s="3" t="s">
        <v>568</v>
      </c>
      <c r="E1475" s="3" t="s">
        <v>13</v>
      </c>
      <c r="F1475" s="3">
        <v>0.48</v>
      </c>
      <c r="G1475" s="3">
        <v>380</v>
      </c>
      <c r="H1475" s="3">
        <f t="shared" si="26"/>
        <v>182.4</v>
      </c>
      <c r="I1475" s="3"/>
      <c r="J1475" s="3">
        <v>9.25</v>
      </c>
    </row>
    <row r="1476" customHeight="1" spans="1:10">
      <c r="A1476" s="3">
        <v>1528</v>
      </c>
      <c r="B1476" s="3" t="s">
        <v>567</v>
      </c>
      <c r="C1476" s="3" t="s">
        <v>558</v>
      </c>
      <c r="D1476" s="3" t="s">
        <v>568</v>
      </c>
      <c r="E1476" s="3" t="s">
        <v>13</v>
      </c>
      <c r="F1476" s="3">
        <v>0.2</v>
      </c>
      <c r="G1476" s="3">
        <v>380</v>
      </c>
      <c r="H1476" s="3">
        <f t="shared" si="26"/>
        <v>76</v>
      </c>
      <c r="I1476" s="3" t="s">
        <v>25</v>
      </c>
      <c r="J1476" s="3">
        <v>9.25</v>
      </c>
    </row>
    <row r="1477" customHeight="1" spans="1:10">
      <c r="A1477" s="3">
        <v>1529</v>
      </c>
      <c r="B1477" s="3" t="s">
        <v>571</v>
      </c>
      <c r="C1477" s="3" t="s">
        <v>558</v>
      </c>
      <c r="D1477" s="3" t="s">
        <v>572</v>
      </c>
      <c r="E1477" s="3" t="s">
        <v>13</v>
      </c>
      <c r="F1477" s="3">
        <v>0.33</v>
      </c>
      <c r="G1477" s="3">
        <v>380</v>
      </c>
      <c r="H1477" s="3">
        <f t="shared" si="26"/>
        <v>125.4</v>
      </c>
      <c r="I1477" s="3"/>
      <c r="J1477" s="3">
        <v>9.25</v>
      </c>
    </row>
    <row r="1478" customHeight="1" spans="1:10">
      <c r="A1478" s="3">
        <v>1530</v>
      </c>
      <c r="B1478" s="3" t="s">
        <v>573</v>
      </c>
      <c r="C1478" s="3" t="s">
        <v>558</v>
      </c>
      <c r="D1478" s="3" t="s">
        <v>572</v>
      </c>
      <c r="E1478" s="3" t="s">
        <v>13</v>
      </c>
      <c r="F1478" s="3">
        <v>0.3</v>
      </c>
      <c r="G1478" s="3">
        <v>380</v>
      </c>
      <c r="H1478" s="3">
        <f t="shared" si="26"/>
        <v>114</v>
      </c>
      <c r="I1478" s="3"/>
      <c r="J1478" s="3">
        <v>9.25</v>
      </c>
    </row>
    <row r="1479" customHeight="1" spans="1:10">
      <c r="A1479" s="3">
        <v>1531</v>
      </c>
      <c r="B1479" s="3" t="s">
        <v>574</v>
      </c>
      <c r="C1479" s="3" t="s">
        <v>558</v>
      </c>
      <c r="D1479" s="3" t="s">
        <v>572</v>
      </c>
      <c r="E1479" s="3" t="s">
        <v>13</v>
      </c>
      <c r="F1479" s="3">
        <v>0.27</v>
      </c>
      <c r="G1479" s="3">
        <v>380</v>
      </c>
      <c r="H1479" s="3">
        <f t="shared" si="26"/>
        <v>102.6</v>
      </c>
      <c r="I1479" s="3"/>
      <c r="J1479" s="3">
        <v>9.25</v>
      </c>
    </row>
    <row r="1480" customHeight="1" spans="1:10">
      <c r="A1480" s="3">
        <v>1532</v>
      </c>
      <c r="B1480" s="3" t="s">
        <v>564</v>
      </c>
      <c r="C1480" s="3" t="s">
        <v>558</v>
      </c>
      <c r="D1480" s="3" t="s">
        <v>572</v>
      </c>
      <c r="E1480" s="3" t="s">
        <v>13</v>
      </c>
      <c r="F1480" s="3">
        <v>0.62</v>
      </c>
      <c r="G1480" s="3">
        <v>380</v>
      </c>
      <c r="H1480" s="3">
        <f t="shared" si="26"/>
        <v>235.6</v>
      </c>
      <c r="I1480" s="3"/>
      <c r="J1480" s="3">
        <v>9.25</v>
      </c>
    </row>
    <row r="1481" customHeight="1" spans="1:10">
      <c r="A1481" s="3">
        <v>1533</v>
      </c>
      <c r="B1481" s="3" t="s">
        <v>575</v>
      </c>
      <c r="C1481" s="3" t="s">
        <v>558</v>
      </c>
      <c r="D1481" s="3" t="s">
        <v>572</v>
      </c>
      <c r="E1481" s="3" t="s">
        <v>13</v>
      </c>
      <c r="F1481" s="3">
        <v>0.6</v>
      </c>
      <c r="G1481" s="3">
        <v>380</v>
      </c>
      <c r="H1481" s="3">
        <f t="shared" si="26"/>
        <v>228</v>
      </c>
      <c r="I1481" s="3"/>
      <c r="J1481" s="3">
        <v>9.25</v>
      </c>
    </row>
    <row r="1482" customHeight="1" spans="1:10">
      <c r="A1482" s="3">
        <v>1534</v>
      </c>
      <c r="B1482" s="3" t="s">
        <v>576</v>
      </c>
      <c r="C1482" s="3" t="s">
        <v>558</v>
      </c>
      <c r="D1482" s="3" t="s">
        <v>577</v>
      </c>
      <c r="E1482" s="3" t="s">
        <v>13</v>
      </c>
      <c r="F1482" s="3">
        <v>0.3</v>
      </c>
      <c r="G1482" s="3">
        <v>380</v>
      </c>
      <c r="H1482" s="3">
        <f t="shared" si="26"/>
        <v>114</v>
      </c>
      <c r="I1482" s="3"/>
      <c r="J1482" s="3">
        <v>9.25</v>
      </c>
    </row>
    <row r="1483" customHeight="1" spans="1:10">
      <c r="A1483" s="3">
        <v>1535</v>
      </c>
      <c r="B1483" s="3" t="s">
        <v>578</v>
      </c>
      <c r="C1483" s="3" t="s">
        <v>558</v>
      </c>
      <c r="D1483" s="3" t="s">
        <v>147</v>
      </c>
      <c r="E1483" s="3" t="s">
        <v>13</v>
      </c>
      <c r="F1483" s="3">
        <v>0.32</v>
      </c>
      <c r="G1483" s="3">
        <v>380</v>
      </c>
      <c r="H1483" s="3">
        <f t="shared" si="26"/>
        <v>121.6</v>
      </c>
      <c r="I1483" s="3"/>
      <c r="J1483" s="3">
        <v>9.25</v>
      </c>
    </row>
    <row r="1484" customHeight="1" spans="1:10">
      <c r="A1484" s="3">
        <v>1536</v>
      </c>
      <c r="B1484" s="3" t="s">
        <v>571</v>
      </c>
      <c r="C1484" s="3" t="s">
        <v>558</v>
      </c>
      <c r="D1484" s="3" t="s">
        <v>147</v>
      </c>
      <c r="E1484" s="3" t="s">
        <v>13</v>
      </c>
      <c r="F1484" s="3">
        <v>0.4</v>
      </c>
      <c r="G1484" s="3">
        <v>380</v>
      </c>
      <c r="H1484" s="3">
        <f t="shared" si="26"/>
        <v>152</v>
      </c>
      <c r="I1484" s="3"/>
      <c r="J1484" s="3">
        <v>9.25</v>
      </c>
    </row>
    <row r="1485" customHeight="1" spans="1:10">
      <c r="A1485" s="3">
        <v>1537</v>
      </c>
      <c r="B1485" s="3" t="s">
        <v>567</v>
      </c>
      <c r="C1485" s="3" t="s">
        <v>558</v>
      </c>
      <c r="D1485" s="3" t="s">
        <v>147</v>
      </c>
      <c r="E1485" s="3" t="s">
        <v>13</v>
      </c>
      <c r="F1485" s="3">
        <v>0.37</v>
      </c>
      <c r="G1485" s="3">
        <v>380</v>
      </c>
      <c r="H1485" s="3">
        <f t="shared" si="26"/>
        <v>140.6</v>
      </c>
      <c r="I1485" s="3" t="s">
        <v>25</v>
      </c>
      <c r="J1485" s="3">
        <v>9.25</v>
      </c>
    </row>
    <row r="1486" customHeight="1" spans="1:10">
      <c r="A1486" s="3">
        <v>1538</v>
      </c>
      <c r="B1486" s="3" t="s">
        <v>579</v>
      </c>
      <c r="C1486" s="3" t="s">
        <v>558</v>
      </c>
      <c r="D1486" s="3" t="s">
        <v>147</v>
      </c>
      <c r="E1486" s="3" t="s">
        <v>13</v>
      </c>
      <c r="F1486" s="3">
        <v>0.2</v>
      </c>
      <c r="G1486" s="3">
        <v>380</v>
      </c>
      <c r="H1486" s="3">
        <f t="shared" si="26"/>
        <v>76</v>
      </c>
      <c r="I1486" s="3"/>
      <c r="J1486" s="3">
        <v>9.25</v>
      </c>
    </row>
    <row r="1487" customHeight="1" spans="1:10">
      <c r="A1487" s="3">
        <v>1539</v>
      </c>
      <c r="B1487" s="3" t="s">
        <v>561</v>
      </c>
      <c r="C1487" s="3" t="s">
        <v>558</v>
      </c>
      <c r="D1487" s="3" t="s">
        <v>147</v>
      </c>
      <c r="E1487" s="3" t="s">
        <v>13</v>
      </c>
      <c r="F1487" s="3">
        <v>0.24</v>
      </c>
      <c r="G1487" s="3">
        <v>380</v>
      </c>
      <c r="H1487" s="3">
        <f t="shared" si="26"/>
        <v>91.2</v>
      </c>
      <c r="I1487" s="3"/>
      <c r="J1487" s="3">
        <v>9.25</v>
      </c>
    </row>
    <row r="1488" customHeight="1" spans="1:10">
      <c r="A1488" s="3">
        <v>1540</v>
      </c>
      <c r="B1488" s="3" t="s">
        <v>580</v>
      </c>
      <c r="C1488" s="3" t="s">
        <v>558</v>
      </c>
      <c r="D1488" s="3" t="s">
        <v>572</v>
      </c>
      <c r="E1488" s="3" t="s">
        <v>13</v>
      </c>
      <c r="F1488" s="3">
        <v>1.42</v>
      </c>
      <c r="G1488" s="3">
        <v>380</v>
      </c>
      <c r="H1488" s="3">
        <f t="shared" si="26"/>
        <v>539.6</v>
      </c>
      <c r="I1488" s="3"/>
      <c r="J1488" s="3">
        <v>9.25</v>
      </c>
    </row>
    <row r="1489" customHeight="1" spans="1:10">
      <c r="A1489" s="3">
        <v>1541</v>
      </c>
      <c r="B1489" s="3" t="s">
        <v>561</v>
      </c>
      <c r="C1489" s="3" t="s">
        <v>558</v>
      </c>
      <c r="D1489" s="3" t="s">
        <v>577</v>
      </c>
      <c r="E1489" s="3" t="s">
        <v>13</v>
      </c>
      <c r="F1489" s="3">
        <v>0.77</v>
      </c>
      <c r="G1489" s="3">
        <v>380</v>
      </c>
      <c r="H1489" s="3">
        <f t="shared" si="26"/>
        <v>292.6</v>
      </c>
      <c r="I1489" s="3"/>
      <c r="J1489" s="3">
        <v>9.25</v>
      </c>
    </row>
    <row r="1490" customHeight="1" spans="1:10">
      <c r="A1490" s="3">
        <v>1542</v>
      </c>
      <c r="B1490" s="3" t="s">
        <v>581</v>
      </c>
      <c r="C1490" s="3" t="s">
        <v>558</v>
      </c>
      <c r="D1490" s="3" t="s">
        <v>577</v>
      </c>
      <c r="E1490" s="3" t="s">
        <v>13</v>
      </c>
      <c r="F1490" s="3">
        <v>0.37</v>
      </c>
      <c r="G1490" s="3">
        <v>380</v>
      </c>
      <c r="H1490" s="3">
        <f t="shared" si="26"/>
        <v>140.6</v>
      </c>
      <c r="I1490" s="3"/>
      <c r="J1490" s="3">
        <v>9.25</v>
      </c>
    </row>
    <row r="1491" customHeight="1" spans="1:10">
      <c r="A1491" s="3">
        <v>1543</v>
      </c>
      <c r="B1491" s="3" t="s">
        <v>582</v>
      </c>
      <c r="C1491" s="3" t="s">
        <v>558</v>
      </c>
      <c r="D1491" s="3" t="s">
        <v>577</v>
      </c>
      <c r="E1491" s="3" t="s">
        <v>13</v>
      </c>
      <c r="F1491" s="3">
        <v>0.36</v>
      </c>
      <c r="G1491" s="3">
        <v>380</v>
      </c>
      <c r="H1491" s="3">
        <f t="shared" si="26"/>
        <v>136.8</v>
      </c>
      <c r="I1491" s="3"/>
      <c r="J1491" s="3">
        <v>9.25</v>
      </c>
    </row>
    <row r="1492" customHeight="1" spans="1:10">
      <c r="A1492" s="3">
        <v>1544</v>
      </c>
      <c r="B1492" s="3" t="s">
        <v>560</v>
      </c>
      <c r="C1492" s="3" t="s">
        <v>558</v>
      </c>
      <c r="D1492" s="3" t="s">
        <v>583</v>
      </c>
      <c r="E1492" s="3" t="s">
        <v>13</v>
      </c>
      <c r="F1492" s="3">
        <v>0.37</v>
      </c>
      <c r="G1492" s="3">
        <v>380</v>
      </c>
      <c r="H1492" s="3">
        <f t="shared" si="26"/>
        <v>140.6</v>
      </c>
      <c r="I1492" s="3"/>
      <c r="J1492" s="3">
        <v>9.25</v>
      </c>
    </row>
    <row r="1493" customHeight="1" spans="1:10">
      <c r="A1493" s="3">
        <v>1545</v>
      </c>
      <c r="B1493" s="3" t="s">
        <v>584</v>
      </c>
      <c r="C1493" s="3" t="s">
        <v>558</v>
      </c>
      <c r="D1493" s="3" t="s">
        <v>583</v>
      </c>
      <c r="E1493" s="3" t="s">
        <v>13</v>
      </c>
      <c r="F1493" s="3">
        <v>1.06</v>
      </c>
      <c r="G1493" s="3">
        <v>380</v>
      </c>
      <c r="H1493" s="3">
        <f t="shared" si="26"/>
        <v>402.8</v>
      </c>
      <c r="I1493" s="3"/>
      <c r="J1493" s="3">
        <v>9.25</v>
      </c>
    </row>
    <row r="1494" customHeight="1" spans="1:10">
      <c r="A1494" s="3">
        <v>1546</v>
      </c>
      <c r="B1494" s="3" t="s">
        <v>585</v>
      </c>
      <c r="C1494" s="3" t="s">
        <v>558</v>
      </c>
      <c r="D1494" s="3" t="s">
        <v>583</v>
      </c>
      <c r="E1494" s="3" t="s">
        <v>13</v>
      </c>
      <c r="F1494" s="3">
        <v>0.83</v>
      </c>
      <c r="G1494" s="3">
        <v>380</v>
      </c>
      <c r="H1494" s="3">
        <f t="shared" si="26"/>
        <v>315.4</v>
      </c>
      <c r="I1494" s="3"/>
      <c r="J1494" s="3">
        <v>9.25</v>
      </c>
    </row>
    <row r="1495" customHeight="1" spans="1:10">
      <c r="A1495" s="3">
        <v>1547</v>
      </c>
      <c r="B1495" s="3" t="s">
        <v>586</v>
      </c>
      <c r="C1495" s="3" t="s">
        <v>558</v>
      </c>
      <c r="D1495" s="3" t="s">
        <v>583</v>
      </c>
      <c r="E1495" s="3" t="s">
        <v>13</v>
      </c>
      <c r="F1495" s="3">
        <v>0.46</v>
      </c>
      <c r="G1495" s="3">
        <v>380</v>
      </c>
      <c r="H1495" s="3">
        <f t="shared" si="26"/>
        <v>174.8</v>
      </c>
      <c r="I1495" s="3"/>
      <c r="J1495" s="3">
        <v>9.25</v>
      </c>
    </row>
    <row r="1496" customHeight="1" spans="1:10">
      <c r="A1496" s="3">
        <v>1548</v>
      </c>
      <c r="B1496" s="3" t="s">
        <v>587</v>
      </c>
      <c r="C1496" s="3" t="s">
        <v>558</v>
      </c>
      <c r="D1496" s="3" t="s">
        <v>583</v>
      </c>
      <c r="E1496" s="3" t="s">
        <v>13</v>
      </c>
      <c r="F1496" s="3">
        <v>0.36</v>
      </c>
      <c r="G1496" s="3">
        <v>380</v>
      </c>
      <c r="H1496" s="3">
        <f t="shared" si="26"/>
        <v>136.8</v>
      </c>
      <c r="I1496" s="3"/>
      <c r="J1496" s="3">
        <v>9.25</v>
      </c>
    </row>
    <row r="1497" customHeight="1" spans="1:10">
      <c r="A1497" s="3">
        <v>1549</v>
      </c>
      <c r="B1497" s="3" t="s">
        <v>588</v>
      </c>
      <c r="C1497" s="3" t="s">
        <v>558</v>
      </c>
      <c r="D1497" s="3" t="s">
        <v>583</v>
      </c>
      <c r="E1497" s="3" t="s">
        <v>13</v>
      </c>
      <c r="F1497" s="3">
        <v>0.47</v>
      </c>
      <c r="G1497" s="3">
        <v>380</v>
      </c>
      <c r="H1497" s="3">
        <f t="shared" si="26"/>
        <v>178.6</v>
      </c>
      <c r="I1497" s="3"/>
      <c r="J1497" s="3">
        <v>9.25</v>
      </c>
    </row>
    <row r="1498" customHeight="1" spans="1:10">
      <c r="A1498" s="3">
        <v>1550</v>
      </c>
      <c r="B1498" s="3" t="s">
        <v>589</v>
      </c>
      <c r="C1498" s="3" t="s">
        <v>558</v>
      </c>
      <c r="D1498" s="3" t="s">
        <v>583</v>
      </c>
      <c r="E1498" s="3" t="s">
        <v>13</v>
      </c>
      <c r="F1498" s="3">
        <v>0.26</v>
      </c>
      <c r="G1498" s="3">
        <v>380</v>
      </c>
      <c r="H1498" s="3">
        <f t="shared" si="26"/>
        <v>98.8</v>
      </c>
      <c r="I1498" s="3"/>
      <c r="J1498" s="3">
        <v>9.25</v>
      </c>
    </row>
    <row r="1499" customHeight="1" spans="1:10">
      <c r="A1499" s="3">
        <v>1551</v>
      </c>
      <c r="B1499" s="3" t="s">
        <v>590</v>
      </c>
      <c r="C1499" s="3" t="s">
        <v>558</v>
      </c>
      <c r="D1499" s="3" t="s">
        <v>583</v>
      </c>
      <c r="E1499" s="3" t="s">
        <v>13</v>
      </c>
      <c r="F1499" s="3">
        <v>0.24</v>
      </c>
      <c r="G1499" s="3">
        <v>380</v>
      </c>
      <c r="H1499" s="3">
        <f t="shared" si="26"/>
        <v>91.2</v>
      </c>
      <c r="I1499" s="3"/>
      <c r="J1499" s="3">
        <v>9.25</v>
      </c>
    </row>
    <row r="1500" customHeight="1" spans="1:10">
      <c r="A1500" s="3">
        <v>1552</v>
      </c>
      <c r="B1500" s="3" t="s">
        <v>591</v>
      </c>
      <c r="C1500" s="3" t="s">
        <v>558</v>
      </c>
      <c r="D1500" s="3" t="s">
        <v>583</v>
      </c>
      <c r="E1500" s="3" t="s">
        <v>13</v>
      </c>
      <c r="F1500" s="3">
        <v>0.36</v>
      </c>
      <c r="G1500" s="3">
        <v>380</v>
      </c>
      <c r="H1500" s="3">
        <f t="shared" si="26"/>
        <v>136.8</v>
      </c>
      <c r="I1500" s="3"/>
      <c r="J1500" s="3">
        <v>9.25</v>
      </c>
    </row>
    <row r="1501" customHeight="1" spans="1:10">
      <c r="A1501" s="3">
        <v>1553</v>
      </c>
      <c r="B1501" s="3" t="s">
        <v>574</v>
      </c>
      <c r="C1501" s="3" t="s">
        <v>558</v>
      </c>
      <c r="D1501" s="3" t="s">
        <v>583</v>
      </c>
      <c r="E1501" s="3" t="s">
        <v>13</v>
      </c>
      <c r="F1501" s="3">
        <v>0.34</v>
      </c>
      <c r="G1501" s="3">
        <v>380</v>
      </c>
      <c r="H1501" s="3">
        <f t="shared" si="26"/>
        <v>129.2</v>
      </c>
      <c r="I1501" s="3"/>
      <c r="J1501" s="3">
        <v>9.25</v>
      </c>
    </row>
    <row r="1502" customHeight="1" spans="1:10">
      <c r="A1502" s="3">
        <v>1554</v>
      </c>
      <c r="B1502" s="3" t="s">
        <v>592</v>
      </c>
      <c r="C1502" s="3" t="s">
        <v>558</v>
      </c>
      <c r="D1502" s="3" t="s">
        <v>583</v>
      </c>
      <c r="E1502" s="3" t="s">
        <v>13</v>
      </c>
      <c r="F1502" s="3">
        <v>1.05</v>
      </c>
      <c r="G1502" s="3">
        <v>380</v>
      </c>
      <c r="H1502" s="3">
        <f t="shared" si="26"/>
        <v>399</v>
      </c>
      <c r="I1502" s="3"/>
      <c r="J1502" s="3">
        <v>9.25</v>
      </c>
    </row>
    <row r="1503" customHeight="1" spans="1:10">
      <c r="A1503" s="3">
        <v>1555</v>
      </c>
      <c r="B1503" s="3" t="s">
        <v>593</v>
      </c>
      <c r="C1503" s="3" t="s">
        <v>558</v>
      </c>
      <c r="D1503" s="3"/>
      <c r="E1503" s="3" t="s">
        <v>13</v>
      </c>
      <c r="F1503" s="3">
        <v>1.7</v>
      </c>
      <c r="G1503" s="3">
        <v>380</v>
      </c>
      <c r="H1503" s="3">
        <f t="shared" si="26"/>
        <v>646</v>
      </c>
      <c r="I1503" s="3"/>
      <c r="J1503" s="3">
        <v>9.25</v>
      </c>
    </row>
    <row r="1504" customHeight="1" spans="1:10">
      <c r="A1504" s="3">
        <v>1556</v>
      </c>
      <c r="B1504" s="3" t="s">
        <v>594</v>
      </c>
      <c r="C1504" s="3" t="s">
        <v>558</v>
      </c>
      <c r="D1504" s="3"/>
      <c r="E1504" s="3" t="s">
        <v>13</v>
      </c>
      <c r="F1504" s="3"/>
      <c r="G1504" s="3">
        <v>380</v>
      </c>
      <c r="H1504" s="3">
        <f t="shared" si="26"/>
        <v>0</v>
      </c>
      <c r="I1504" s="3"/>
      <c r="J1504" s="3">
        <v>9.25</v>
      </c>
    </row>
    <row r="1505" customHeight="1" spans="1:10">
      <c r="A1505" s="3">
        <v>1557</v>
      </c>
      <c r="B1505" s="3" t="s">
        <v>595</v>
      </c>
      <c r="C1505" s="3" t="s">
        <v>558</v>
      </c>
      <c r="D1505" s="3"/>
      <c r="E1505" s="3" t="s">
        <v>13</v>
      </c>
      <c r="F1505" s="3"/>
      <c r="G1505" s="3">
        <v>380</v>
      </c>
      <c r="H1505" s="3">
        <f t="shared" si="26"/>
        <v>0</v>
      </c>
      <c r="I1505" s="3"/>
      <c r="J1505" s="3">
        <v>9.25</v>
      </c>
    </row>
    <row r="1506" customHeight="1" spans="1:10">
      <c r="A1506" s="3">
        <v>1558</v>
      </c>
      <c r="B1506" s="3" t="s">
        <v>557</v>
      </c>
      <c r="C1506" s="3" t="s">
        <v>558</v>
      </c>
      <c r="D1506" s="3"/>
      <c r="E1506" s="3" t="s">
        <v>13</v>
      </c>
      <c r="F1506" s="3">
        <v>0.26</v>
      </c>
      <c r="G1506" s="3">
        <v>380</v>
      </c>
      <c r="H1506" s="3">
        <f t="shared" si="26"/>
        <v>98.8</v>
      </c>
      <c r="I1506" s="3"/>
      <c r="J1506" s="3">
        <v>9.25</v>
      </c>
    </row>
    <row r="1507" customHeight="1" spans="1:10">
      <c r="A1507" s="3">
        <v>1559</v>
      </c>
      <c r="B1507" s="3" t="s">
        <v>596</v>
      </c>
      <c r="C1507" s="3" t="s">
        <v>558</v>
      </c>
      <c r="D1507" s="3"/>
      <c r="E1507" s="3" t="s">
        <v>13</v>
      </c>
      <c r="F1507" s="3">
        <v>1.1</v>
      </c>
      <c r="G1507" s="3">
        <v>380</v>
      </c>
      <c r="H1507" s="3">
        <f t="shared" si="26"/>
        <v>418</v>
      </c>
      <c r="I1507" s="3"/>
      <c r="J1507" s="3">
        <v>9.25</v>
      </c>
    </row>
    <row r="1508" customHeight="1" spans="1:10">
      <c r="A1508" s="3">
        <v>1560</v>
      </c>
      <c r="B1508" s="3" t="s">
        <v>597</v>
      </c>
      <c r="C1508" s="3" t="s">
        <v>558</v>
      </c>
      <c r="D1508" s="3"/>
      <c r="E1508" s="3" t="s">
        <v>13</v>
      </c>
      <c r="F1508" s="3">
        <v>0.2</v>
      </c>
      <c r="G1508" s="3">
        <v>380</v>
      </c>
      <c r="H1508" s="3">
        <f t="shared" si="26"/>
        <v>76</v>
      </c>
      <c r="I1508" s="3"/>
      <c r="J1508" s="3">
        <v>9.25</v>
      </c>
    </row>
    <row r="1509" customHeight="1" spans="1:10">
      <c r="A1509" s="3">
        <v>1561</v>
      </c>
      <c r="B1509" s="3" t="s">
        <v>598</v>
      </c>
      <c r="C1509" s="3" t="s">
        <v>558</v>
      </c>
      <c r="D1509" s="3"/>
      <c r="E1509" s="3" t="s">
        <v>13</v>
      </c>
      <c r="F1509" s="3">
        <v>0.26</v>
      </c>
      <c r="G1509" s="3">
        <v>380</v>
      </c>
      <c r="H1509" s="3">
        <f t="shared" si="26"/>
        <v>98.8</v>
      </c>
      <c r="I1509" s="3"/>
      <c r="J1509" s="3">
        <v>9.25</v>
      </c>
    </row>
    <row r="1510" customHeight="1" spans="1:10">
      <c r="A1510" s="3">
        <v>1562</v>
      </c>
      <c r="B1510" s="3" t="s">
        <v>578</v>
      </c>
      <c r="C1510" s="3" t="s">
        <v>558</v>
      </c>
      <c r="D1510" s="3"/>
      <c r="E1510" s="3" t="s">
        <v>13</v>
      </c>
      <c r="F1510" s="3">
        <v>0.2</v>
      </c>
      <c r="G1510" s="3">
        <v>380</v>
      </c>
      <c r="H1510" s="3">
        <f t="shared" si="26"/>
        <v>76</v>
      </c>
      <c r="I1510" s="3"/>
      <c r="J1510" s="3">
        <v>9.25</v>
      </c>
    </row>
    <row r="1511" customHeight="1" spans="1:10">
      <c r="A1511" s="3">
        <v>1563</v>
      </c>
      <c r="B1511" s="3" t="s">
        <v>593</v>
      </c>
      <c r="C1511" s="3" t="s">
        <v>558</v>
      </c>
      <c r="D1511" s="3"/>
      <c r="E1511" s="3" t="s">
        <v>13</v>
      </c>
      <c r="F1511" s="3">
        <v>0.5</v>
      </c>
      <c r="G1511" s="3">
        <v>380</v>
      </c>
      <c r="H1511" s="3">
        <f t="shared" si="26"/>
        <v>190</v>
      </c>
      <c r="I1511" s="3"/>
      <c r="J1511" s="3">
        <v>9.25</v>
      </c>
    </row>
    <row r="1512" customHeight="1" spans="1:10">
      <c r="A1512" s="3">
        <v>1564</v>
      </c>
      <c r="B1512" s="3" t="s">
        <v>595</v>
      </c>
      <c r="C1512" s="3" t="s">
        <v>558</v>
      </c>
      <c r="D1512" s="3"/>
      <c r="E1512" s="3" t="s">
        <v>13</v>
      </c>
      <c r="F1512" s="3">
        <v>0.7</v>
      </c>
      <c r="G1512" s="3">
        <v>380</v>
      </c>
      <c r="H1512" s="3">
        <f t="shared" si="26"/>
        <v>266</v>
      </c>
      <c r="I1512" s="3"/>
      <c r="J1512" s="3">
        <v>9.25</v>
      </c>
    </row>
    <row r="1513" customHeight="1" spans="1:10">
      <c r="A1513" s="3">
        <v>1565</v>
      </c>
      <c r="B1513" s="3" t="s">
        <v>594</v>
      </c>
      <c r="C1513" s="3" t="s">
        <v>558</v>
      </c>
      <c r="D1513" s="3"/>
      <c r="E1513" s="3" t="s">
        <v>13</v>
      </c>
      <c r="F1513" s="3">
        <v>0.6</v>
      </c>
      <c r="G1513" s="3">
        <v>380</v>
      </c>
      <c r="H1513" s="3">
        <f t="shared" si="26"/>
        <v>228</v>
      </c>
      <c r="I1513" s="3"/>
      <c r="J1513" s="3">
        <v>9.25</v>
      </c>
    </row>
    <row r="1514" customHeight="1" spans="1:10">
      <c r="A1514" s="3">
        <v>1566</v>
      </c>
      <c r="B1514" s="3" t="s">
        <v>582</v>
      </c>
      <c r="C1514" s="3" t="s">
        <v>558</v>
      </c>
      <c r="D1514" s="3" t="s">
        <v>551</v>
      </c>
      <c r="E1514" s="3" t="s">
        <v>22</v>
      </c>
      <c r="F1514" s="3">
        <v>0.11</v>
      </c>
      <c r="G1514" s="3">
        <v>480</v>
      </c>
      <c r="H1514" s="3">
        <f t="shared" si="26"/>
        <v>52.8</v>
      </c>
      <c r="I1514" s="3"/>
      <c r="J1514" s="3">
        <v>9.25</v>
      </c>
    </row>
    <row r="1515" customHeight="1" spans="1:10">
      <c r="A1515" s="3">
        <v>1567</v>
      </c>
      <c r="B1515" s="3" t="s">
        <v>599</v>
      </c>
      <c r="C1515" s="3" t="s">
        <v>558</v>
      </c>
      <c r="D1515" s="3" t="s">
        <v>551</v>
      </c>
      <c r="E1515" s="3" t="s">
        <v>22</v>
      </c>
      <c r="F1515" s="3">
        <v>0.36</v>
      </c>
      <c r="G1515" s="3">
        <v>480</v>
      </c>
      <c r="H1515" s="3">
        <f t="shared" si="26"/>
        <v>172.8</v>
      </c>
      <c r="I1515" s="3"/>
      <c r="J1515" s="3">
        <v>9.25</v>
      </c>
    </row>
    <row r="1516" customHeight="1" spans="1:10">
      <c r="A1516" s="3"/>
      <c r="B1516" s="3"/>
      <c r="C1516" s="3"/>
      <c r="D1516" s="3"/>
      <c r="E1516" s="3"/>
      <c r="F1516" s="3"/>
      <c r="G1516" s="3"/>
      <c r="H1516" s="3"/>
      <c r="I1516" s="3"/>
      <c r="J1516" s="3"/>
    </row>
    <row r="1517" customHeight="1" spans="1:10">
      <c r="A1517" s="3">
        <v>1569</v>
      </c>
      <c r="B1517" s="3" t="s">
        <v>569</v>
      </c>
      <c r="C1517" s="3" t="s">
        <v>558</v>
      </c>
      <c r="D1517" s="3" t="s">
        <v>411</v>
      </c>
      <c r="E1517" s="3" t="s">
        <v>22</v>
      </c>
      <c r="F1517" s="3">
        <v>0.09</v>
      </c>
      <c r="G1517" s="3">
        <v>480</v>
      </c>
      <c r="H1517" s="3">
        <f t="shared" si="26"/>
        <v>43.2</v>
      </c>
      <c r="I1517" s="3"/>
      <c r="J1517" s="3">
        <v>9.25</v>
      </c>
    </row>
    <row r="1518" customHeight="1" spans="1:10">
      <c r="A1518" s="3">
        <v>1570</v>
      </c>
      <c r="B1518" s="3" t="s">
        <v>600</v>
      </c>
      <c r="C1518" s="3" t="s">
        <v>558</v>
      </c>
      <c r="D1518" s="3" t="s">
        <v>411</v>
      </c>
      <c r="E1518" s="3" t="s">
        <v>22</v>
      </c>
      <c r="F1518" s="3">
        <v>0.9</v>
      </c>
      <c r="G1518" s="3">
        <v>480</v>
      </c>
      <c r="H1518" s="3">
        <f t="shared" si="26"/>
        <v>432</v>
      </c>
      <c r="I1518" s="3"/>
      <c r="J1518" s="3">
        <v>9.25</v>
      </c>
    </row>
    <row r="1519" customHeight="1" spans="1:10">
      <c r="A1519" s="3">
        <v>1571</v>
      </c>
      <c r="B1519" s="3" t="s">
        <v>578</v>
      </c>
      <c r="C1519" s="3" t="s">
        <v>558</v>
      </c>
      <c r="D1519" s="3" t="s">
        <v>411</v>
      </c>
      <c r="E1519" s="3" t="s">
        <v>22</v>
      </c>
      <c r="F1519" s="3">
        <v>0.89</v>
      </c>
      <c r="G1519" s="3">
        <v>480</v>
      </c>
      <c r="H1519" s="3">
        <f t="shared" si="26"/>
        <v>427.2</v>
      </c>
      <c r="I1519" s="3"/>
      <c r="J1519" s="3">
        <v>9.25</v>
      </c>
    </row>
    <row r="1520" customHeight="1" spans="1:10">
      <c r="A1520" s="3">
        <v>1572</v>
      </c>
      <c r="B1520" s="3" t="s">
        <v>584</v>
      </c>
      <c r="C1520" s="3" t="s">
        <v>558</v>
      </c>
      <c r="D1520" s="3" t="s">
        <v>246</v>
      </c>
      <c r="E1520" s="3" t="s">
        <v>22</v>
      </c>
      <c r="F1520" s="3">
        <v>0.2</v>
      </c>
      <c r="G1520" s="3">
        <v>480</v>
      </c>
      <c r="H1520" s="3">
        <f t="shared" si="26"/>
        <v>96</v>
      </c>
      <c r="I1520" s="3"/>
      <c r="J1520" s="3">
        <v>9.25</v>
      </c>
    </row>
    <row r="1521" customHeight="1" spans="1:10">
      <c r="A1521" s="3">
        <v>1574</v>
      </c>
      <c r="B1521" s="3" t="s">
        <v>574</v>
      </c>
      <c r="C1521" s="3" t="s">
        <v>558</v>
      </c>
      <c r="D1521" s="3" t="s">
        <v>246</v>
      </c>
      <c r="E1521" s="3" t="s">
        <v>22</v>
      </c>
      <c r="F1521" s="3">
        <v>0.63</v>
      </c>
      <c r="G1521" s="3">
        <v>480</v>
      </c>
      <c r="H1521" s="3">
        <f t="shared" si="26"/>
        <v>302.4</v>
      </c>
      <c r="I1521" s="3"/>
      <c r="J1521" s="3">
        <v>9.25</v>
      </c>
    </row>
    <row r="1522" customHeight="1" spans="1:10">
      <c r="A1522" s="3">
        <v>1575</v>
      </c>
      <c r="B1522" s="3" t="s">
        <v>567</v>
      </c>
      <c r="C1522" s="3" t="s">
        <v>558</v>
      </c>
      <c r="D1522" s="3" t="s">
        <v>246</v>
      </c>
      <c r="E1522" s="3" t="s">
        <v>22</v>
      </c>
      <c r="F1522" s="3">
        <v>0.98</v>
      </c>
      <c r="G1522" s="3">
        <v>480</v>
      </c>
      <c r="H1522" s="3">
        <f t="shared" si="26"/>
        <v>470.4</v>
      </c>
      <c r="I1522" s="3" t="s">
        <v>25</v>
      </c>
      <c r="J1522" s="3">
        <v>9.25</v>
      </c>
    </row>
    <row r="1523" customHeight="1" spans="1:10">
      <c r="A1523" s="3">
        <v>1576</v>
      </c>
      <c r="B1523" s="3" t="s">
        <v>601</v>
      </c>
      <c r="C1523" s="3" t="s">
        <v>558</v>
      </c>
      <c r="D1523" s="3" t="s">
        <v>246</v>
      </c>
      <c r="E1523" s="3" t="s">
        <v>22</v>
      </c>
      <c r="F1523" s="3">
        <v>0.48</v>
      </c>
      <c r="G1523" s="3">
        <v>480</v>
      </c>
      <c r="H1523" s="3">
        <f t="shared" si="26"/>
        <v>230.4</v>
      </c>
      <c r="I1523" s="3"/>
      <c r="J1523" s="3">
        <v>9.25</v>
      </c>
    </row>
    <row r="1524" customHeight="1" spans="1:10">
      <c r="A1524" s="3">
        <v>1578</v>
      </c>
      <c r="B1524" s="3" t="s">
        <v>570</v>
      </c>
      <c r="C1524" s="3" t="s">
        <v>558</v>
      </c>
      <c r="D1524" s="3" t="s">
        <v>246</v>
      </c>
      <c r="E1524" s="3" t="s">
        <v>22</v>
      </c>
      <c r="F1524" s="3">
        <v>0.23</v>
      </c>
      <c r="G1524" s="3">
        <v>480</v>
      </c>
      <c r="H1524" s="3">
        <f t="shared" si="26"/>
        <v>110.4</v>
      </c>
      <c r="I1524" s="3"/>
      <c r="J1524" s="3">
        <v>9.25</v>
      </c>
    </row>
    <row r="1525" customHeight="1" spans="1:10">
      <c r="A1525" s="3">
        <v>1579</v>
      </c>
      <c r="B1525" s="3" t="s">
        <v>585</v>
      </c>
      <c r="C1525" s="3" t="s">
        <v>558</v>
      </c>
      <c r="D1525" s="3" t="s">
        <v>246</v>
      </c>
      <c r="E1525" s="3" t="s">
        <v>22</v>
      </c>
      <c r="F1525" s="3">
        <v>0.07</v>
      </c>
      <c r="G1525" s="3">
        <v>480</v>
      </c>
      <c r="H1525" s="3">
        <f t="shared" si="26"/>
        <v>33.6</v>
      </c>
      <c r="I1525" s="3"/>
      <c r="J1525" s="3">
        <v>9.25</v>
      </c>
    </row>
    <row r="1526" customHeight="1" spans="1:10">
      <c r="A1526" s="3">
        <v>1580</v>
      </c>
      <c r="B1526" s="3" t="s">
        <v>602</v>
      </c>
      <c r="C1526" s="3" t="s">
        <v>558</v>
      </c>
      <c r="D1526" s="3" t="s">
        <v>246</v>
      </c>
      <c r="E1526" s="3" t="s">
        <v>22</v>
      </c>
      <c r="F1526" s="3">
        <v>0.23</v>
      </c>
      <c r="G1526" s="3">
        <v>480</v>
      </c>
      <c r="H1526" s="3">
        <f t="shared" si="26"/>
        <v>110.4</v>
      </c>
      <c r="I1526" s="3"/>
      <c r="J1526" s="3">
        <v>9.25</v>
      </c>
    </row>
    <row r="1527" customHeight="1" spans="1:10">
      <c r="A1527" s="3">
        <v>1581</v>
      </c>
      <c r="B1527" s="3" t="s">
        <v>561</v>
      </c>
      <c r="C1527" s="3" t="s">
        <v>558</v>
      </c>
      <c r="D1527" s="3" t="s">
        <v>246</v>
      </c>
      <c r="E1527" s="3" t="s">
        <v>22</v>
      </c>
      <c r="F1527" s="3">
        <v>0.13</v>
      </c>
      <c r="G1527" s="3">
        <v>480</v>
      </c>
      <c r="H1527" s="3">
        <f t="shared" si="26"/>
        <v>62.4</v>
      </c>
      <c r="I1527" s="3"/>
      <c r="J1527" s="3">
        <v>9.25</v>
      </c>
    </row>
    <row r="1528" customHeight="1" spans="1:10">
      <c r="A1528" s="3">
        <v>1582</v>
      </c>
      <c r="B1528" s="3" t="s">
        <v>603</v>
      </c>
      <c r="C1528" s="3" t="s">
        <v>558</v>
      </c>
      <c r="D1528" s="3" t="s">
        <v>246</v>
      </c>
      <c r="E1528" s="3" t="s">
        <v>22</v>
      </c>
      <c r="F1528" s="3">
        <v>0.27</v>
      </c>
      <c r="G1528" s="3">
        <v>480</v>
      </c>
      <c r="H1528" s="3">
        <f t="shared" si="26"/>
        <v>129.6</v>
      </c>
      <c r="I1528" s="3"/>
      <c r="J1528" s="3">
        <v>9.25</v>
      </c>
    </row>
    <row r="1529" customHeight="1" spans="1:10">
      <c r="A1529" s="3">
        <v>1583</v>
      </c>
      <c r="B1529" s="3" t="s">
        <v>593</v>
      </c>
      <c r="C1529" s="3" t="s">
        <v>558</v>
      </c>
      <c r="D1529" s="3" t="s">
        <v>604</v>
      </c>
      <c r="E1529" s="3" t="s">
        <v>22</v>
      </c>
      <c r="F1529" s="3">
        <v>0.15</v>
      </c>
      <c r="G1529" s="3">
        <v>480</v>
      </c>
      <c r="H1529" s="3">
        <f t="shared" si="26"/>
        <v>72</v>
      </c>
      <c r="I1529" s="3"/>
      <c r="J1529" s="3">
        <v>9.25</v>
      </c>
    </row>
    <row r="1530" customHeight="1" spans="1:10">
      <c r="A1530" s="3">
        <v>1584</v>
      </c>
      <c r="B1530" s="3" t="s">
        <v>594</v>
      </c>
      <c r="C1530" s="3" t="s">
        <v>558</v>
      </c>
      <c r="D1530" s="3" t="s">
        <v>604</v>
      </c>
      <c r="E1530" s="3" t="s">
        <v>22</v>
      </c>
      <c r="F1530" s="3">
        <v>0.16</v>
      </c>
      <c r="G1530" s="3">
        <v>480</v>
      </c>
      <c r="H1530" s="3">
        <f t="shared" si="26"/>
        <v>76.8</v>
      </c>
      <c r="I1530" s="3"/>
      <c r="J1530" s="3">
        <v>9.25</v>
      </c>
    </row>
    <row r="1531" customHeight="1" spans="1:10">
      <c r="A1531" s="3">
        <v>1585</v>
      </c>
      <c r="B1531" s="3" t="s">
        <v>605</v>
      </c>
      <c r="C1531" s="3" t="s">
        <v>558</v>
      </c>
      <c r="D1531" s="3" t="s">
        <v>604</v>
      </c>
      <c r="E1531" s="3" t="s">
        <v>22</v>
      </c>
      <c r="F1531" s="3">
        <v>0.16</v>
      </c>
      <c r="G1531" s="3">
        <v>480</v>
      </c>
      <c r="H1531" s="3">
        <f t="shared" si="26"/>
        <v>76.8</v>
      </c>
      <c r="I1531" s="3"/>
      <c r="J1531" s="3">
        <v>9.25</v>
      </c>
    </row>
    <row r="1532" customHeight="1" spans="1:10">
      <c r="A1532" s="3">
        <v>1586</v>
      </c>
      <c r="B1532" s="3" t="s">
        <v>578</v>
      </c>
      <c r="C1532" s="3" t="s">
        <v>558</v>
      </c>
      <c r="D1532" s="3" t="s">
        <v>238</v>
      </c>
      <c r="E1532" s="3" t="s">
        <v>22</v>
      </c>
      <c r="F1532" s="3">
        <v>0.13</v>
      </c>
      <c r="G1532" s="3">
        <v>480</v>
      </c>
      <c r="H1532" s="3">
        <f t="shared" si="26"/>
        <v>62.4</v>
      </c>
      <c r="I1532" s="3"/>
      <c r="J1532" s="3">
        <v>9.25</v>
      </c>
    </row>
    <row r="1533" customHeight="1" spans="1:10">
      <c r="A1533" s="3">
        <v>1587</v>
      </c>
      <c r="B1533" s="3" t="s">
        <v>606</v>
      </c>
      <c r="C1533" s="3" t="s">
        <v>558</v>
      </c>
      <c r="D1533" s="3" t="s">
        <v>604</v>
      </c>
      <c r="E1533" s="3" t="s">
        <v>22</v>
      </c>
      <c r="F1533" s="3">
        <v>0.17</v>
      </c>
      <c r="G1533" s="3">
        <v>480</v>
      </c>
      <c r="H1533" s="3">
        <f t="shared" si="26"/>
        <v>81.6</v>
      </c>
      <c r="I1533" s="3"/>
      <c r="J1533" s="3">
        <v>9.25</v>
      </c>
    </row>
    <row r="1534" customHeight="1" spans="1:10">
      <c r="A1534" s="3">
        <v>1589</v>
      </c>
      <c r="B1534" s="3" t="s">
        <v>585</v>
      </c>
      <c r="C1534" s="3" t="s">
        <v>558</v>
      </c>
      <c r="D1534" s="3" t="s">
        <v>607</v>
      </c>
      <c r="E1534" s="3" t="s">
        <v>22</v>
      </c>
      <c r="F1534" s="3">
        <v>0.32</v>
      </c>
      <c r="G1534" s="3">
        <v>480</v>
      </c>
      <c r="H1534" s="3">
        <f t="shared" si="26"/>
        <v>153.6</v>
      </c>
      <c r="I1534" s="3"/>
      <c r="J1534" s="3">
        <v>9.25</v>
      </c>
    </row>
    <row r="1535" customHeight="1" spans="1:10">
      <c r="A1535" s="3">
        <v>1591</v>
      </c>
      <c r="B1535" s="3" t="s">
        <v>594</v>
      </c>
      <c r="C1535" s="3" t="s">
        <v>558</v>
      </c>
      <c r="D1535" s="3" t="s">
        <v>551</v>
      </c>
      <c r="E1535" s="3" t="s">
        <v>22</v>
      </c>
      <c r="F1535" s="3">
        <v>0.6</v>
      </c>
      <c r="G1535" s="3">
        <v>480</v>
      </c>
      <c r="H1535" s="3">
        <f t="shared" si="26"/>
        <v>288</v>
      </c>
      <c r="I1535" s="3"/>
      <c r="J1535" s="3">
        <v>9.25</v>
      </c>
    </row>
    <row r="1536" customHeight="1" spans="1:10">
      <c r="A1536" s="3">
        <v>1592</v>
      </c>
      <c r="B1536" s="3" t="s">
        <v>593</v>
      </c>
      <c r="C1536" s="3" t="s">
        <v>558</v>
      </c>
      <c r="D1536" s="3" t="s">
        <v>551</v>
      </c>
      <c r="E1536" s="3" t="s">
        <v>22</v>
      </c>
      <c r="F1536" s="3">
        <v>0.6</v>
      </c>
      <c r="G1536" s="3">
        <v>480</v>
      </c>
      <c r="H1536" s="3">
        <f t="shared" si="26"/>
        <v>288</v>
      </c>
      <c r="I1536" s="3"/>
      <c r="J1536" s="3">
        <v>9.25</v>
      </c>
    </row>
    <row r="1537" customHeight="1" spans="1:10">
      <c r="A1537" s="3">
        <v>1593</v>
      </c>
      <c r="B1537" s="3" t="s">
        <v>595</v>
      </c>
      <c r="C1537" s="3" t="s">
        <v>558</v>
      </c>
      <c r="D1537" s="3" t="s">
        <v>551</v>
      </c>
      <c r="E1537" s="3" t="s">
        <v>22</v>
      </c>
      <c r="F1537" s="3">
        <v>0.6</v>
      </c>
      <c r="G1537" s="3">
        <v>480</v>
      </c>
      <c r="H1537" s="3">
        <f t="shared" si="26"/>
        <v>288</v>
      </c>
      <c r="I1537" s="3"/>
      <c r="J1537" s="3">
        <v>9.25</v>
      </c>
    </row>
    <row r="1538" customHeight="1" spans="1:10">
      <c r="A1538" s="3">
        <v>1595</v>
      </c>
      <c r="B1538" s="3" t="s">
        <v>562</v>
      </c>
      <c r="C1538" s="3" t="s">
        <v>558</v>
      </c>
      <c r="D1538" s="3" t="s">
        <v>551</v>
      </c>
      <c r="E1538" s="3" t="s">
        <v>22</v>
      </c>
      <c r="F1538" s="3">
        <v>0.13</v>
      </c>
      <c r="G1538" s="3">
        <v>480</v>
      </c>
      <c r="H1538" s="3">
        <f t="shared" ref="H1538:H1601" si="27">G1538*F1538</f>
        <v>62.4</v>
      </c>
      <c r="I1538" s="3"/>
      <c r="J1538" s="3">
        <v>9.25</v>
      </c>
    </row>
    <row r="1539" customHeight="1" spans="1:10">
      <c r="A1539" s="3">
        <v>1597</v>
      </c>
      <c r="B1539" s="3" t="s">
        <v>608</v>
      </c>
      <c r="C1539" s="3" t="s">
        <v>558</v>
      </c>
      <c r="D1539" s="3" t="s">
        <v>551</v>
      </c>
      <c r="E1539" s="3" t="s">
        <v>22</v>
      </c>
      <c r="F1539" s="3">
        <v>0.59</v>
      </c>
      <c r="G1539" s="3">
        <v>480</v>
      </c>
      <c r="H1539" s="3">
        <f t="shared" si="27"/>
        <v>283.2</v>
      </c>
      <c r="I1539" s="3"/>
      <c r="J1539" s="3">
        <v>9.25</v>
      </c>
    </row>
    <row r="1540" customHeight="1" spans="1:10">
      <c r="A1540" s="3">
        <v>1599</v>
      </c>
      <c r="B1540" s="3" t="s">
        <v>598</v>
      </c>
      <c r="C1540" s="3" t="s">
        <v>558</v>
      </c>
      <c r="D1540" s="3"/>
      <c r="E1540" s="3" t="s">
        <v>22</v>
      </c>
      <c r="F1540" s="3">
        <v>0.11</v>
      </c>
      <c r="G1540" s="3">
        <v>480</v>
      </c>
      <c r="H1540" s="3">
        <f t="shared" si="27"/>
        <v>52.8</v>
      </c>
      <c r="I1540" s="3"/>
      <c r="J1540" s="3">
        <v>9.25</v>
      </c>
    </row>
    <row r="1541" customHeight="1" spans="1:10">
      <c r="A1541" s="3">
        <v>1600</v>
      </c>
      <c r="B1541" s="3" t="s">
        <v>586</v>
      </c>
      <c r="C1541" s="3" t="s">
        <v>558</v>
      </c>
      <c r="D1541" s="3"/>
      <c r="E1541" s="3" t="s">
        <v>22</v>
      </c>
      <c r="F1541" s="3">
        <v>1.58</v>
      </c>
      <c r="G1541" s="3">
        <v>480</v>
      </c>
      <c r="H1541" s="3">
        <f t="shared" si="27"/>
        <v>758.4</v>
      </c>
      <c r="I1541" s="3"/>
      <c r="J1541" s="3">
        <v>9.25</v>
      </c>
    </row>
    <row r="1542" customHeight="1" spans="1:10">
      <c r="A1542" s="3">
        <v>1601</v>
      </c>
      <c r="B1542" s="3" t="s">
        <v>573</v>
      </c>
      <c r="C1542" s="3" t="s">
        <v>558</v>
      </c>
      <c r="D1542" s="3" t="s">
        <v>609</v>
      </c>
      <c r="E1542" s="3" t="s">
        <v>22</v>
      </c>
      <c r="F1542" s="3">
        <v>0.6</v>
      </c>
      <c r="G1542" s="3">
        <v>480</v>
      </c>
      <c r="H1542" s="3">
        <f t="shared" si="27"/>
        <v>288</v>
      </c>
      <c r="I1542" s="3"/>
      <c r="J1542" s="3">
        <v>9.25</v>
      </c>
    </row>
    <row r="1543" customHeight="1" spans="1:10">
      <c r="A1543" s="3">
        <v>1603</v>
      </c>
      <c r="B1543" s="3" t="s">
        <v>596</v>
      </c>
      <c r="C1543" s="3" t="s">
        <v>558</v>
      </c>
      <c r="D1543" s="3" t="s">
        <v>610</v>
      </c>
      <c r="E1543" s="3" t="s">
        <v>22</v>
      </c>
      <c r="F1543" s="3">
        <v>1.04</v>
      </c>
      <c r="G1543" s="3">
        <v>480</v>
      </c>
      <c r="H1543" s="3">
        <f t="shared" si="27"/>
        <v>499.2</v>
      </c>
      <c r="I1543" s="3"/>
      <c r="J1543" s="3">
        <v>9.25</v>
      </c>
    </row>
    <row r="1544" customHeight="1" spans="1:10">
      <c r="A1544" s="3">
        <v>1604</v>
      </c>
      <c r="B1544" s="3" t="s">
        <v>557</v>
      </c>
      <c r="C1544" s="3" t="s">
        <v>558</v>
      </c>
      <c r="D1544" s="3" t="s">
        <v>611</v>
      </c>
      <c r="E1544" s="3" t="s">
        <v>22</v>
      </c>
      <c r="F1544" s="3">
        <v>0.7</v>
      </c>
      <c r="G1544" s="3">
        <v>480</v>
      </c>
      <c r="H1544" s="3">
        <f t="shared" si="27"/>
        <v>336</v>
      </c>
      <c r="I1544" s="3"/>
      <c r="J1544" s="3">
        <v>9.25</v>
      </c>
    </row>
    <row r="1545" customHeight="1" spans="1:10">
      <c r="A1545" s="3">
        <v>1605</v>
      </c>
      <c r="B1545" s="3" t="s">
        <v>612</v>
      </c>
      <c r="C1545" s="3" t="s">
        <v>558</v>
      </c>
      <c r="D1545" s="3" t="s">
        <v>611</v>
      </c>
      <c r="E1545" s="3" t="s">
        <v>22</v>
      </c>
      <c r="F1545" s="3">
        <v>0.7</v>
      </c>
      <c r="G1545" s="3">
        <v>480</v>
      </c>
      <c r="H1545" s="3">
        <f t="shared" si="27"/>
        <v>336</v>
      </c>
      <c r="I1545" s="3"/>
      <c r="J1545" s="3">
        <v>9.25</v>
      </c>
    </row>
    <row r="1546" customHeight="1" spans="1:10">
      <c r="A1546" s="3">
        <v>1606</v>
      </c>
      <c r="B1546" s="3" t="s">
        <v>601</v>
      </c>
      <c r="C1546" s="3" t="s">
        <v>558</v>
      </c>
      <c r="D1546" s="3" t="s">
        <v>226</v>
      </c>
      <c r="E1546" s="3" t="s">
        <v>22</v>
      </c>
      <c r="F1546" s="3">
        <v>0.44</v>
      </c>
      <c r="G1546" s="3">
        <v>480</v>
      </c>
      <c r="H1546" s="3">
        <f t="shared" si="27"/>
        <v>211.2</v>
      </c>
      <c r="I1546" s="3"/>
      <c r="J1546" s="3">
        <v>9.25</v>
      </c>
    </row>
    <row r="1547" customHeight="1" spans="1:10">
      <c r="A1547" s="3">
        <v>1607</v>
      </c>
      <c r="B1547" s="3" t="s">
        <v>606</v>
      </c>
      <c r="C1547" s="3" t="s">
        <v>558</v>
      </c>
      <c r="D1547" s="3" t="s">
        <v>226</v>
      </c>
      <c r="E1547" s="3" t="s">
        <v>22</v>
      </c>
      <c r="F1547" s="3">
        <v>0.1</v>
      </c>
      <c r="G1547" s="3">
        <v>480</v>
      </c>
      <c r="H1547" s="3">
        <f t="shared" si="27"/>
        <v>48</v>
      </c>
      <c r="I1547" s="3"/>
      <c r="J1547" s="3">
        <v>9.25</v>
      </c>
    </row>
    <row r="1548" customHeight="1" spans="1:10">
      <c r="A1548" s="3">
        <v>1608</v>
      </c>
      <c r="B1548" s="3" t="s">
        <v>557</v>
      </c>
      <c r="C1548" s="3" t="s">
        <v>558</v>
      </c>
      <c r="D1548" s="3" t="s">
        <v>226</v>
      </c>
      <c r="E1548" s="3" t="s">
        <v>22</v>
      </c>
      <c r="F1548" s="3">
        <v>0.51</v>
      </c>
      <c r="G1548" s="3">
        <v>480</v>
      </c>
      <c r="H1548" s="3">
        <f t="shared" si="27"/>
        <v>244.8</v>
      </c>
      <c r="I1548" s="3"/>
      <c r="J1548" s="3">
        <v>9.25</v>
      </c>
    </row>
    <row r="1549" customHeight="1" spans="1:10">
      <c r="A1549" s="3">
        <v>1609</v>
      </c>
      <c r="B1549" s="3" t="s">
        <v>606</v>
      </c>
      <c r="C1549" s="3" t="s">
        <v>558</v>
      </c>
      <c r="D1549" s="3" t="s">
        <v>613</v>
      </c>
      <c r="E1549" s="3" t="s">
        <v>22</v>
      </c>
      <c r="F1549" s="3">
        <v>0.51</v>
      </c>
      <c r="G1549" s="3">
        <v>480</v>
      </c>
      <c r="H1549" s="3">
        <f t="shared" si="27"/>
        <v>244.8</v>
      </c>
      <c r="I1549" s="3"/>
      <c r="J1549" s="3">
        <v>9.25</v>
      </c>
    </row>
    <row r="1550" customHeight="1" spans="1:10">
      <c r="A1550" s="3">
        <v>1610</v>
      </c>
      <c r="B1550" s="3" t="s">
        <v>614</v>
      </c>
      <c r="C1550" s="3" t="s">
        <v>558</v>
      </c>
      <c r="D1550" s="3" t="s">
        <v>226</v>
      </c>
      <c r="E1550" s="3" t="s">
        <v>22</v>
      </c>
      <c r="F1550" s="3">
        <v>0.25</v>
      </c>
      <c r="G1550" s="3">
        <v>480</v>
      </c>
      <c r="H1550" s="3">
        <f t="shared" si="27"/>
        <v>120</v>
      </c>
      <c r="I1550" s="3"/>
      <c r="J1550" s="3">
        <v>9.25</v>
      </c>
    </row>
    <row r="1551" customHeight="1" spans="1:10">
      <c r="A1551" s="3">
        <v>1612</v>
      </c>
      <c r="B1551" s="3" t="s">
        <v>573</v>
      </c>
      <c r="C1551" s="3" t="s">
        <v>558</v>
      </c>
      <c r="D1551" s="3" t="s">
        <v>226</v>
      </c>
      <c r="E1551" s="3" t="s">
        <v>22</v>
      </c>
      <c r="F1551" s="3">
        <v>0.25</v>
      </c>
      <c r="G1551" s="3">
        <v>480</v>
      </c>
      <c r="H1551" s="3">
        <f t="shared" si="27"/>
        <v>120</v>
      </c>
      <c r="I1551" s="3"/>
      <c r="J1551" s="3">
        <v>9.25</v>
      </c>
    </row>
    <row r="1552" customHeight="1" spans="1:10">
      <c r="A1552" s="3">
        <v>1613</v>
      </c>
      <c r="B1552" s="3" t="s">
        <v>594</v>
      </c>
      <c r="C1552" s="3" t="s">
        <v>558</v>
      </c>
      <c r="D1552" s="3" t="s">
        <v>226</v>
      </c>
      <c r="E1552" s="3" t="s">
        <v>22</v>
      </c>
      <c r="F1552" s="3">
        <v>0.1</v>
      </c>
      <c r="G1552" s="3">
        <v>480</v>
      </c>
      <c r="H1552" s="3">
        <f t="shared" si="27"/>
        <v>48</v>
      </c>
      <c r="I1552" s="3"/>
      <c r="J1552" s="3">
        <v>9.25</v>
      </c>
    </row>
    <row r="1553" customHeight="1" spans="1:10">
      <c r="A1553" s="3">
        <v>1614</v>
      </c>
      <c r="B1553" s="3" t="s">
        <v>606</v>
      </c>
      <c r="C1553" s="3" t="s">
        <v>558</v>
      </c>
      <c r="D1553" s="3" t="s">
        <v>226</v>
      </c>
      <c r="E1553" s="3" t="s">
        <v>22</v>
      </c>
      <c r="F1553" s="3">
        <v>0.37</v>
      </c>
      <c r="G1553" s="3">
        <v>480</v>
      </c>
      <c r="H1553" s="3">
        <f t="shared" si="27"/>
        <v>177.6</v>
      </c>
      <c r="I1553" s="3"/>
      <c r="J1553" s="3">
        <v>9.25</v>
      </c>
    </row>
    <row r="1554" customHeight="1" spans="1:10">
      <c r="A1554" s="3">
        <v>1615</v>
      </c>
      <c r="B1554" s="3" t="s">
        <v>569</v>
      </c>
      <c r="C1554" s="3" t="s">
        <v>558</v>
      </c>
      <c r="D1554" s="3" t="s">
        <v>226</v>
      </c>
      <c r="E1554" s="3" t="s">
        <v>22</v>
      </c>
      <c r="F1554" s="3">
        <v>0.18</v>
      </c>
      <c r="G1554" s="3">
        <v>480</v>
      </c>
      <c r="H1554" s="3">
        <f t="shared" si="27"/>
        <v>86.4</v>
      </c>
      <c r="I1554" s="3"/>
      <c r="J1554" s="3">
        <v>9.25</v>
      </c>
    </row>
    <row r="1555" customHeight="1" spans="1:10">
      <c r="A1555" s="3">
        <v>1616</v>
      </c>
      <c r="B1555" s="3" t="s">
        <v>567</v>
      </c>
      <c r="C1555" s="3" t="s">
        <v>558</v>
      </c>
      <c r="D1555" s="3" t="s">
        <v>217</v>
      </c>
      <c r="E1555" s="3" t="s">
        <v>22</v>
      </c>
      <c r="F1555" s="3">
        <v>1.98</v>
      </c>
      <c r="G1555" s="3">
        <v>480</v>
      </c>
      <c r="H1555" s="3">
        <f t="shared" si="27"/>
        <v>950.4</v>
      </c>
      <c r="I1555" s="3" t="s">
        <v>25</v>
      </c>
      <c r="J1555" s="3">
        <v>9.25</v>
      </c>
    </row>
    <row r="1556" customHeight="1" spans="1:10">
      <c r="A1556" s="3">
        <v>1618</v>
      </c>
      <c r="B1556" s="3" t="s">
        <v>584</v>
      </c>
      <c r="C1556" s="3" t="s">
        <v>558</v>
      </c>
      <c r="D1556" s="3" t="s">
        <v>194</v>
      </c>
      <c r="E1556" s="3" t="s">
        <v>22</v>
      </c>
      <c r="F1556" s="3">
        <v>1.52</v>
      </c>
      <c r="G1556" s="3">
        <v>480</v>
      </c>
      <c r="H1556" s="3">
        <f t="shared" si="27"/>
        <v>729.6</v>
      </c>
      <c r="I1556" s="3"/>
      <c r="J1556" s="3">
        <v>9.25</v>
      </c>
    </row>
    <row r="1557" customHeight="1" spans="1:10">
      <c r="A1557" s="3">
        <v>1619</v>
      </c>
      <c r="B1557" s="3" t="s">
        <v>615</v>
      </c>
      <c r="C1557" s="3" t="s">
        <v>558</v>
      </c>
      <c r="D1557" s="3" t="s">
        <v>194</v>
      </c>
      <c r="E1557" s="3" t="s">
        <v>22</v>
      </c>
      <c r="F1557" s="3">
        <v>0.37</v>
      </c>
      <c r="G1557" s="3">
        <v>480</v>
      </c>
      <c r="H1557" s="3">
        <f t="shared" si="27"/>
        <v>177.6</v>
      </c>
      <c r="I1557" s="3"/>
      <c r="J1557" s="3">
        <v>9.25</v>
      </c>
    </row>
    <row r="1558" customHeight="1" spans="1:10">
      <c r="A1558" s="3">
        <v>1620</v>
      </c>
      <c r="B1558" s="3" t="s">
        <v>608</v>
      </c>
      <c r="C1558" s="3" t="s">
        <v>558</v>
      </c>
      <c r="D1558" s="3" t="s">
        <v>194</v>
      </c>
      <c r="E1558" s="3" t="s">
        <v>22</v>
      </c>
      <c r="F1558" s="3">
        <v>0.24</v>
      </c>
      <c r="G1558" s="3">
        <v>480</v>
      </c>
      <c r="H1558" s="3">
        <f t="shared" si="27"/>
        <v>115.2</v>
      </c>
      <c r="I1558" s="3"/>
      <c r="J1558" s="3">
        <v>9.25</v>
      </c>
    </row>
    <row r="1559" customHeight="1" spans="1:10">
      <c r="A1559" s="3">
        <v>1621</v>
      </c>
      <c r="B1559" s="3" t="s">
        <v>570</v>
      </c>
      <c r="C1559" s="3" t="s">
        <v>558</v>
      </c>
      <c r="D1559" s="3" t="s">
        <v>194</v>
      </c>
      <c r="E1559" s="3" t="s">
        <v>22</v>
      </c>
      <c r="F1559" s="3">
        <v>2.61</v>
      </c>
      <c r="G1559" s="3">
        <v>480</v>
      </c>
      <c r="H1559" s="3">
        <f t="shared" si="27"/>
        <v>1252.8</v>
      </c>
      <c r="I1559" s="3"/>
      <c r="J1559" s="3">
        <v>9.25</v>
      </c>
    </row>
    <row r="1560" customHeight="1" spans="1:10">
      <c r="A1560" s="3">
        <v>1622</v>
      </c>
      <c r="B1560" s="3" t="s">
        <v>578</v>
      </c>
      <c r="C1560" s="3" t="s">
        <v>558</v>
      </c>
      <c r="D1560" s="3" t="s">
        <v>194</v>
      </c>
      <c r="E1560" s="3" t="s">
        <v>22</v>
      </c>
      <c r="F1560" s="3">
        <v>1.26</v>
      </c>
      <c r="G1560" s="3">
        <v>480</v>
      </c>
      <c r="H1560" s="3">
        <f t="shared" si="27"/>
        <v>604.8</v>
      </c>
      <c r="I1560" s="3"/>
      <c r="J1560" s="3">
        <v>9.25</v>
      </c>
    </row>
    <row r="1561" customHeight="1" spans="1:10">
      <c r="A1561" s="3">
        <v>1623</v>
      </c>
      <c r="B1561" s="3" t="s">
        <v>575</v>
      </c>
      <c r="C1561" s="3" t="s">
        <v>558</v>
      </c>
      <c r="D1561" s="3" t="s">
        <v>194</v>
      </c>
      <c r="E1561" s="3" t="s">
        <v>22</v>
      </c>
      <c r="F1561" s="3">
        <v>1.83</v>
      </c>
      <c r="G1561" s="3">
        <v>480</v>
      </c>
      <c r="H1561" s="3">
        <f t="shared" si="27"/>
        <v>878.4</v>
      </c>
      <c r="I1561" s="3"/>
      <c r="J1561" s="3">
        <v>9.25</v>
      </c>
    </row>
    <row r="1562" customHeight="1" spans="1:10">
      <c r="A1562" s="3">
        <v>1624</v>
      </c>
      <c r="B1562" s="3" t="s">
        <v>575</v>
      </c>
      <c r="C1562" s="3" t="s">
        <v>558</v>
      </c>
      <c r="D1562" s="3" t="s">
        <v>194</v>
      </c>
      <c r="E1562" s="3" t="s">
        <v>22</v>
      </c>
      <c r="F1562" s="3">
        <v>0.13</v>
      </c>
      <c r="G1562" s="3">
        <v>480</v>
      </c>
      <c r="H1562" s="3">
        <f t="shared" si="27"/>
        <v>62.4</v>
      </c>
      <c r="I1562" s="3"/>
      <c r="J1562" s="3">
        <v>9.25</v>
      </c>
    </row>
    <row r="1563" customHeight="1" spans="1:10">
      <c r="A1563" s="3">
        <v>1625</v>
      </c>
      <c r="B1563" s="3" t="s">
        <v>599</v>
      </c>
      <c r="C1563" s="3" t="s">
        <v>558</v>
      </c>
      <c r="D1563" s="3" t="s">
        <v>415</v>
      </c>
      <c r="E1563" s="3" t="s">
        <v>22</v>
      </c>
      <c r="F1563" s="3">
        <v>0.33</v>
      </c>
      <c r="G1563" s="3">
        <v>480</v>
      </c>
      <c r="H1563" s="3">
        <f t="shared" si="27"/>
        <v>158.4</v>
      </c>
      <c r="I1563" s="3"/>
      <c r="J1563" s="3">
        <v>9.25</v>
      </c>
    </row>
    <row r="1564" customHeight="1" spans="1:10">
      <c r="A1564" s="3">
        <v>1626</v>
      </c>
      <c r="B1564" s="3" t="s">
        <v>585</v>
      </c>
      <c r="C1564" s="3" t="s">
        <v>558</v>
      </c>
      <c r="D1564" s="3" t="s">
        <v>616</v>
      </c>
      <c r="E1564" s="3" t="s">
        <v>22</v>
      </c>
      <c r="F1564" s="3">
        <v>0.68</v>
      </c>
      <c r="G1564" s="3">
        <v>480</v>
      </c>
      <c r="H1564" s="3">
        <f t="shared" si="27"/>
        <v>326.4</v>
      </c>
      <c r="I1564" s="3"/>
      <c r="J1564" s="3">
        <v>9.25</v>
      </c>
    </row>
    <row r="1565" customHeight="1" spans="1:10">
      <c r="A1565" s="3">
        <v>1627</v>
      </c>
      <c r="B1565" s="3" t="s">
        <v>596</v>
      </c>
      <c r="C1565" s="3" t="s">
        <v>558</v>
      </c>
      <c r="D1565" s="3" t="s">
        <v>616</v>
      </c>
      <c r="E1565" s="3" t="s">
        <v>22</v>
      </c>
      <c r="F1565" s="3">
        <v>0.82</v>
      </c>
      <c r="G1565" s="3">
        <v>480</v>
      </c>
      <c r="H1565" s="3">
        <f t="shared" si="27"/>
        <v>393.6</v>
      </c>
      <c r="I1565" s="3"/>
      <c r="J1565" s="3">
        <v>9.25</v>
      </c>
    </row>
    <row r="1566" customHeight="1" spans="1:10">
      <c r="A1566" s="3">
        <v>1629</v>
      </c>
      <c r="B1566" s="3" t="s">
        <v>617</v>
      </c>
      <c r="C1566" s="3" t="s">
        <v>558</v>
      </c>
      <c r="D1566" s="3" t="s">
        <v>618</v>
      </c>
      <c r="E1566" s="3" t="s">
        <v>22</v>
      </c>
      <c r="F1566" s="3">
        <v>0.39</v>
      </c>
      <c r="G1566" s="3">
        <v>480</v>
      </c>
      <c r="H1566" s="3">
        <f t="shared" si="27"/>
        <v>187.2</v>
      </c>
      <c r="I1566" s="3"/>
      <c r="J1566" s="3">
        <v>9.25</v>
      </c>
    </row>
    <row r="1567" customHeight="1" spans="1:10">
      <c r="A1567" s="3">
        <v>1630</v>
      </c>
      <c r="B1567" s="3" t="s">
        <v>591</v>
      </c>
      <c r="C1567" s="3" t="s">
        <v>558</v>
      </c>
      <c r="D1567" s="3" t="s">
        <v>618</v>
      </c>
      <c r="E1567" s="3" t="s">
        <v>22</v>
      </c>
      <c r="F1567" s="3">
        <v>0.5</v>
      </c>
      <c r="G1567" s="3">
        <v>480</v>
      </c>
      <c r="H1567" s="3">
        <f t="shared" si="27"/>
        <v>240</v>
      </c>
      <c r="I1567" s="3"/>
      <c r="J1567" s="3">
        <v>9.25</v>
      </c>
    </row>
    <row r="1568" customHeight="1" spans="1:10">
      <c r="A1568" s="3">
        <v>1631</v>
      </c>
      <c r="B1568" s="3" t="s">
        <v>597</v>
      </c>
      <c r="C1568" s="3" t="s">
        <v>558</v>
      </c>
      <c r="D1568" s="3" t="s">
        <v>618</v>
      </c>
      <c r="E1568" s="3" t="s">
        <v>22</v>
      </c>
      <c r="F1568" s="3">
        <v>0.57</v>
      </c>
      <c r="G1568" s="3">
        <v>480</v>
      </c>
      <c r="H1568" s="3">
        <f t="shared" si="27"/>
        <v>273.6</v>
      </c>
      <c r="I1568" s="3"/>
      <c r="J1568" s="3">
        <v>9.25</v>
      </c>
    </row>
    <row r="1569" customHeight="1" spans="1:10">
      <c r="A1569" s="3">
        <v>1632</v>
      </c>
      <c r="B1569" s="3" t="s">
        <v>619</v>
      </c>
      <c r="C1569" s="3" t="s">
        <v>558</v>
      </c>
      <c r="D1569" s="3" t="s">
        <v>609</v>
      </c>
      <c r="E1569" s="3" t="s">
        <v>22</v>
      </c>
      <c r="F1569" s="3">
        <v>0.45</v>
      </c>
      <c r="G1569" s="3">
        <v>480</v>
      </c>
      <c r="H1569" s="3">
        <f t="shared" si="27"/>
        <v>216</v>
      </c>
      <c r="I1569" s="3"/>
      <c r="J1569" s="3">
        <v>9.25</v>
      </c>
    </row>
    <row r="1570" customHeight="1" spans="1:10">
      <c r="A1570" s="3">
        <v>1633</v>
      </c>
      <c r="B1570" s="3" t="s">
        <v>589</v>
      </c>
      <c r="C1570" s="3" t="s">
        <v>558</v>
      </c>
      <c r="D1570" s="3" t="s">
        <v>609</v>
      </c>
      <c r="E1570" s="3" t="s">
        <v>22</v>
      </c>
      <c r="F1570" s="3">
        <v>0.46</v>
      </c>
      <c r="G1570" s="3">
        <v>480</v>
      </c>
      <c r="H1570" s="3">
        <f t="shared" si="27"/>
        <v>220.8</v>
      </c>
      <c r="I1570" s="3"/>
      <c r="J1570" s="3">
        <v>9.25</v>
      </c>
    </row>
    <row r="1571" customHeight="1" spans="1:10">
      <c r="A1571" s="3">
        <v>1634</v>
      </c>
      <c r="B1571" s="3" t="s">
        <v>567</v>
      </c>
      <c r="C1571" s="3" t="s">
        <v>558</v>
      </c>
      <c r="D1571" s="3" t="s">
        <v>609</v>
      </c>
      <c r="E1571" s="3" t="s">
        <v>22</v>
      </c>
      <c r="F1571" s="3">
        <v>0.8</v>
      </c>
      <c r="G1571" s="3">
        <v>480</v>
      </c>
      <c r="H1571" s="3">
        <f t="shared" si="27"/>
        <v>384</v>
      </c>
      <c r="I1571" s="3" t="s">
        <v>25</v>
      </c>
      <c r="J1571" s="3">
        <v>9.25</v>
      </c>
    </row>
    <row r="1572" customHeight="1" spans="1:10">
      <c r="A1572" s="3">
        <v>1636</v>
      </c>
      <c r="B1572" s="3" t="s">
        <v>578</v>
      </c>
      <c r="C1572" s="3" t="s">
        <v>558</v>
      </c>
      <c r="D1572" s="3" t="s">
        <v>609</v>
      </c>
      <c r="E1572" s="3" t="s">
        <v>22</v>
      </c>
      <c r="F1572" s="3">
        <v>0.67</v>
      </c>
      <c r="G1572" s="3">
        <v>480</v>
      </c>
      <c r="H1572" s="3">
        <f t="shared" si="27"/>
        <v>321.6</v>
      </c>
      <c r="I1572" s="3"/>
      <c r="J1572" s="3">
        <v>9.25</v>
      </c>
    </row>
    <row r="1573" customHeight="1" spans="1:10">
      <c r="A1573" s="3">
        <v>1637</v>
      </c>
      <c r="B1573" s="3" t="s">
        <v>620</v>
      </c>
      <c r="C1573" s="3" t="s">
        <v>558</v>
      </c>
      <c r="D1573" s="3" t="s">
        <v>551</v>
      </c>
      <c r="E1573" s="3" t="s">
        <v>22</v>
      </c>
      <c r="F1573" s="3">
        <v>0.23</v>
      </c>
      <c r="G1573" s="3">
        <v>480</v>
      </c>
      <c r="H1573" s="3">
        <f t="shared" si="27"/>
        <v>110.4</v>
      </c>
      <c r="I1573" s="3"/>
      <c r="J1573" s="3">
        <v>9.25</v>
      </c>
    </row>
    <row r="1574" customHeight="1" spans="1:10">
      <c r="A1574" s="3">
        <v>1638</v>
      </c>
      <c r="B1574" s="3" t="s">
        <v>621</v>
      </c>
      <c r="C1574" s="3" t="s">
        <v>558</v>
      </c>
      <c r="D1574" s="3" t="s">
        <v>551</v>
      </c>
      <c r="E1574" s="3" t="s">
        <v>22</v>
      </c>
      <c r="F1574" s="3">
        <v>0.35</v>
      </c>
      <c r="G1574" s="3">
        <v>480</v>
      </c>
      <c r="H1574" s="3">
        <f t="shared" si="27"/>
        <v>168</v>
      </c>
      <c r="I1574" s="3"/>
      <c r="J1574" s="3">
        <v>9.25</v>
      </c>
    </row>
    <row r="1575" customHeight="1" spans="1:10">
      <c r="A1575" s="3">
        <v>1640</v>
      </c>
      <c r="B1575" s="3" t="s">
        <v>571</v>
      </c>
      <c r="C1575" s="3" t="s">
        <v>558</v>
      </c>
      <c r="D1575" s="3" t="s">
        <v>622</v>
      </c>
      <c r="E1575" s="3" t="s">
        <v>13</v>
      </c>
      <c r="F1575" s="3">
        <v>0.44</v>
      </c>
      <c r="G1575" s="3">
        <v>380</v>
      </c>
      <c r="H1575" s="3">
        <f t="shared" si="27"/>
        <v>167.2</v>
      </c>
      <c r="I1575" s="3"/>
      <c r="J1575" s="3">
        <v>9.25</v>
      </c>
    </row>
    <row r="1576" customHeight="1" spans="1:10">
      <c r="A1576" s="3">
        <v>1641</v>
      </c>
      <c r="B1576" s="3" t="s">
        <v>597</v>
      </c>
      <c r="C1576" s="3" t="s">
        <v>558</v>
      </c>
      <c r="D1576" s="3" t="s">
        <v>622</v>
      </c>
      <c r="E1576" s="3" t="s">
        <v>13</v>
      </c>
      <c r="F1576" s="3">
        <v>0.34</v>
      </c>
      <c r="G1576" s="3">
        <v>380</v>
      </c>
      <c r="H1576" s="3">
        <f t="shared" si="27"/>
        <v>129.2</v>
      </c>
      <c r="I1576" s="3"/>
      <c r="J1576" s="3">
        <v>9.25</v>
      </c>
    </row>
    <row r="1577" customHeight="1" spans="1:10">
      <c r="A1577" s="3">
        <v>1642</v>
      </c>
      <c r="B1577" s="3" t="s">
        <v>585</v>
      </c>
      <c r="C1577" s="3" t="s">
        <v>558</v>
      </c>
      <c r="D1577" s="3" t="s">
        <v>622</v>
      </c>
      <c r="E1577" s="3" t="s">
        <v>13</v>
      </c>
      <c r="F1577" s="3">
        <v>0.37</v>
      </c>
      <c r="G1577" s="3">
        <v>380</v>
      </c>
      <c r="H1577" s="3">
        <f t="shared" si="27"/>
        <v>140.6</v>
      </c>
      <c r="I1577" s="3"/>
      <c r="J1577" s="3">
        <v>9.25</v>
      </c>
    </row>
    <row r="1578" customHeight="1" spans="1:10">
      <c r="A1578" s="3">
        <v>1643</v>
      </c>
      <c r="B1578" s="3" t="s">
        <v>581</v>
      </c>
      <c r="C1578" s="3" t="s">
        <v>558</v>
      </c>
      <c r="D1578" s="3" t="s">
        <v>622</v>
      </c>
      <c r="E1578" s="3" t="s">
        <v>13</v>
      </c>
      <c r="F1578" s="3">
        <v>1.54</v>
      </c>
      <c r="G1578" s="3">
        <v>380</v>
      </c>
      <c r="H1578" s="3">
        <f t="shared" si="27"/>
        <v>585.2</v>
      </c>
      <c r="I1578" s="3"/>
      <c r="J1578" s="3">
        <v>9.25</v>
      </c>
    </row>
    <row r="1579" customHeight="1" spans="1:10">
      <c r="A1579" s="3">
        <v>1644</v>
      </c>
      <c r="B1579" s="3" t="s">
        <v>623</v>
      </c>
      <c r="C1579" s="3" t="s">
        <v>558</v>
      </c>
      <c r="D1579" s="3" t="s">
        <v>622</v>
      </c>
      <c r="E1579" s="3" t="s">
        <v>13</v>
      </c>
      <c r="F1579" s="3">
        <v>0.62</v>
      </c>
      <c r="G1579" s="3">
        <v>380</v>
      </c>
      <c r="H1579" s="3">
        <f t="shared" si="27"/>
        <v>235.6</v>
      </c>
      <c r="I1579" s="3"/>
      <c r="J1579" s="3">
        <v>9.25</v>
      </c>
    </row>
    <row r="1580" customHeight="1" spans="1:10">
      <c r="A1580" s="3">
        <v>1645</v>
      </c>
      <c r="B1580" s="3" t="s">
        <v>597</v>
      </c>
      <c r="C1580" s="3" t="s">
        <v>558</v>
      </c>
      <c r="D1580" s="3" t="s">
        <v>622</v>
      </c>
      <c r="E1580" s="3" t="s">
        <v>13</v>
      </c>
      <c r="F1580" s="3">
        <v>0.78</v>
      </c>
      <c r="G1580" s="3">
        <v>380</v>
      </c>
      <c r="H1580" s="3">
        <f t="shared" si="27"/>
        <v>296.4</v>
      </c>
      <c r="I1580" s="3"/>
      <c r="J1580" s="3">
        <v>9.25</v>
      </c>
    </row>
    <row r="1581" customHeight="1" spans="1:10">
      <c r="A1581" s="3">
        <v>1646</v>
      </c>
      <c r="B1581" s="3" t="s">
        <v>623</v>
      </c>
      <c r="C1581" s="3" t="s">
        <v>558</v>
      </c>
      <c r="D1581" s="3" t="s">
        <v>622</v>
      </c>
      <c r="E1581" s="3" t="s">
        <v>13</v>
      </c>
      <c r="F1581" s="3">
        <v>0.3</v>
      </c>
      <c r="G1581" s="3">
        <v>380</v>
      </c>
      <c r="H1581" s="3">
        <f t="shared" si="27"/>
        <v>114</v>
      </c>
      <c r="I1581" s="3"/>
      <c r="J1581" s="3">
        <v>9.25</v>
      </c>
    </row>
    <row r="1582" customHeight="1" spans="1:10">
      <c r="A1582" s="3">
        <v>1647</v>
      </c>
      <c r="B1582" s="3" t="s">
        <v>585</v>
      </c>
      <c r="C1582" s="3" t="s">
        <v>558</v>
      </c>
      <c r="D1582" s="3"/>
      <c r="E1582" s="3" t="s">
        <v>22</v>
      </c>
      <c r="F1582" s="3">
        <v>0.57</v>
      </c>
      <c r="G1582" s="3">
        <v>480</v>
      </c>
      <c r="H1582" s="3">
        <f t="shared" si="27"/>
        <v>273.6</v>
      </c>
      <c r="I1582" s="3"/>
      <c r="J1582" s="3">
        <v>9.25</v>
      </c>
    </row>
    <row r="1583" customHeight="1" spans="1:10">
      <c r="A1583" s="3">
        <v>1648</v>
      </c>
      <c r="B1583" s="3" t="s">
        <v>585</v>
      </c>
      <c r="C1583" s="3" t="s">
        <v>558</v>
      </c>
      <c r="D1583" s="3" t="s">
        <v>194</v>
      </c>
      <c r="E1583" s="3" t="s">
        <v>22</v>
      </c>
      <c r="F1583" s="3">
        <v>1.29</v>
      </c>
      <c r="G1583" s="3">
        <v>480</v>
      </c>
      <c r="H1583" s="3">
        <f t="shared" si="27"/>
        <v>619.2</v>
      </c>
      <c r="I1583" s="3"/>
      <c r="J1583" s="3">
        <v>9.25</v>
      </c>
    </row>
    <row r="1584" customHeight="1" spans="1:10">
      <c r="A1584" s="3">
        <v>1649</v>
      </c>
      <c r="B1584" s="3" t="s">
        <v>571</v>
      </c>
      <c r="C1584" s="3" t="s">
        <v>558</v>
      </c>
      <c r="D1584" s="3" t="s">
        <v>616</v>
      </c>
      <c r="E1584" s="3" t="s">
        <v>22</v>
      </c>
      <c r="F1584" s="3">
        <v>0.18</v>
      </c>
      <c r="G1584" s="3">
        <v>480</v>
      </c>
      <c r="H1584" s="3">
        <f t="shared" si="27"/>
        <v>86.4</v>
      </c>
      <c r="I1584" s="3"/>
      <c r="J1584" s="3">
        <v>9.25</v>
      </c>
    </row>
    <row r="1585" customHeight="1" spans="1:10">
      <c r="A1585" s="3">
        <v>1650</v>
      </c>
      <c r="B1585" s="3" t="s">
        <v>624</v>
      </c>
      <c r="C1585" s="3" t="s">
        <v>558</v>
      </c>
      <c r="D1585" s="3"/>
      <c r="E1585" s="3" t="s">
        <v>22</v>
      </c>
      <c r="F1585" s="3">
        <v>0.13</v>
      </c>
      <c r="G1585" s="3">
        <v>480</v>
      </c>
      <c r="H1585" s="3">
        <f t="shared" si="27"/>
        <v>62.4</v>
      </c>
      <c r="I1585" s="3"/>
      <c r="J1585" s="3">
        <v>9.25</v>
      </c>
    </row>
    <row r="1586" customHeight="1" spans="1:10">
      <c r="A1586" s="3">
        <v>1651</v>
      </c>
      <c r="B1586" s="3" t="s">
        <v>578</v>
      </c>
      <c r="C1586" s="3" t="s">
        <v>558</v>
      </c>
      <c r="D1586" s="3" t="s">
        <v>616</v>
      </c>
      <c r="E1586" s="3" t="s">
        <v>22</v>
      </c>
      <c r="F1586" s="3">
        <v>0.24</v>
      </c>
      <c r="G1586" s="3">
        <v>480</v>
      </c>
      <c r="H1586" s="3">
        <f t="shared" si="27"/>
        <v>115.2</v>
      </c>
      <c r="I1586" s="3"/>
      <c r="J1586" s="3">
        <v>9.25</v>
      </c>
    </row>
    <row r="1587" customHeight="1" spans="1:10">
      <c r="A1587" s="3">
        <v>1652</v>
      </c>
      <c r="B1587" s="3" t="s">
        <v>617</v>
      </c>
      <c r="C1587" s="3" t="s">
        <v>558</v>
      </c>
      <c r="D1587" s="3" t="s">
        <v>616</v>
      </c>
      <c r="E1587" s="3" t="s">
        <v>22</v>
      </c>
      <c r="F1587" s="3">
        <v>0.63</v>
      </c>
      <c r="G1587" s="3">
        <v>480</v>
      </c>
      <c r="H1587" s="3">
        <f t="shared" si="27"/>
        <v>302.4</v>
      </c>
      <c r="I1587" s="3"/>
      <c r="J1587" s="3">
        <v>9.25</v>
      </c>
    </row>
    <row r="1588" customHeight="1" spans="1:10">
      <c r="A1588" s="3">
        <v>1653</v>
      </c>
      <c r="B1588" s="3" t="s">
        <v>591</v>
      </c>
      <c r="C1588" s="3" t="s">
        <v>558</v>
      </c>
      <c r="D1588" s="3" t="s">
        <v>625</v>
      </c>
      <c r="E1588" s="3" t="s">
        <v>22</v>
      </c>
      <c r="F1588" s="3">
        <v>1.33</v>
      </c>
      <c r="G1588" s="3">
        <v>480</v>
      </c>
      <c r="H1588" s="3">
        <f t="shared" si="27"/>
        <v>638.4</v>
      </c>
      <c r="I1588" s="3"/>
      <c r="J1588" s="3">
        <v>9.25</v>
      </c>
    </row>
    <row r="1589" customHeight="1" spans="1:10">
      <c r="A1589" s="3">
        <v>1655</v>
      </c>
      <c r="B1589" s="3" t="s">
        <v>603</v>
      </c>
      <c r="C1589" s="3" t="s">
        <v>558</v>
      </c>
      <c r="D1589" s="3" t="s">
        <v>625</v>
      </c>
      <c r="E1589" s="3" t="s">
        <v>22</v>
      </c>
      <c r="F1589" s="3">
        <v>0.9</v>
      </c>
      <c r="G1589" s="3">
        <v>480</v>
      </c>
      <c r="H1589" s="3">
        <f t="shared" si="27"/>
        <v>432</v>
      </c>
      <c r="I1589" s="3"/>
      <c r="J1589" s="3">
        <v>9.25</v>
      </c>
    </row>
    <row r="1590" customHeight="1" spans="1:10">
      <c r="A1590" s="3">
        <v>1657</v>
      </c>
      <c r="B1590" s="3" t="s">
        <v>573</v>
      </c>
      <c r="C1590" s="3" t="s">
        <v>558</v>
      </c>
      <c r="D1590" s="3" t="s">
        <v>415</v>
      </c>
      <c r="E1590" s="3" t="s">
        <v>22</v>
      </c>
      <c r="F1590" s="3">
        <v>0.1</v>
      </c>
      <c r="G1590" s="3">
        <v>480</v>
      </c>
      <c r="H1590" s="3">
        <f t="shared" si="27"/>
        <v>48</v>
      </c>
      <c r="I1590" s="3"/>
      <c r="J1590" s="3">
        <v>9.25</v>
      </c>
    </row>
    <row r="1591" customHeight="1" spans="1:10">
      <c r="A1591" s="3">
        <v>1658</v>
      </c>
      <c r="B1591" s="3" t="s">
        <v>561</v>
      </c>
      <c r="C1591" s="3" t="s">
        <v>558</v>
      </c>
      <c r="D1591" s="3" t="s">
        <v>415</v>
      </c>
      <c r="E1591" s="3" t="s">
        <v>22</v>
      </c>
      <c r="F1591" s="3">
        <v>0.1</v>
      </c>
      <c r="G1591" s="3">
        <v>480</v>
      </c>
      <c r="H1591" s="3">
        <f t="shared" si="27"/>
        <v>48</v>
      </c>
      <c r="I1591" s="3"/>
      <c r="J1591" s="3">
        <v>9.25</v>
      </c>
    </row>
    <row r="1592" customHeight="1" spans="1:10">
      <c r="A1592" s="3">
        <v>1659</v>
      </c>
      <c r="B1592" s="3" t="s">
        <v>578</v>
      </c>
      <c r="C1592" s="3" t="s">
        <v>558</v>
      </c>
      <c r="D1592" s="3" t="s">
        <v>415</v>
      </c>
      <c r="E1592" s="3" t="s">
        <v>22</v>
      </c>
      <c r="F1592" s="3">
        <v>0.5</v>
      </c>
      <c r="G1592" s="3">
        <v>480</v>
      </c>
      <c r="H1592" s="3">
        <f t="shared" si="27"/>
        <v>240</v>
      </c>
      <c r="I1592" s="3"/>
      <c r="J1592" s="3">
        <v>9.25</v>
      </c>
    </row>
    <row r="1593" customHeight="1" spans="1:10">
      <c r="A1593" s="3">
        <v>1660</v>
      </c>
      <c r="B1593" s="3" t="s">
        <v>594</v>
      </c>
      <c r="C1593" s="3" t="s">
        <v>558</v>
      </c>
      <c r="D1593" s="3" t="s">
        <v>415</v>
      </c>
      <c r="E1593" s="3" t="s">
        <v>22</v>
      </c>
      <c r="F1593" s="3">
        <v>0.12</v>
      </c>
      <c r="G1593" s="3">
        <v>480</v>
      </c>
      <c r="H1593" s="3">
        <f t="shared" si="27"/>
        <v>57.6</v>
      </c>
      <c r="I1593" s="3"/>
      <c r="J1593" s="3">
        <v>9.25</v>
      </c>
    </row>
    <row r="1594" customHeight="1" spans="1:10">
      <c r="A1594" s="3">
        <v>1661</v>
      </c>
      <c r="B1594" s="3" t="s">
        <v>571</v>
      </c>
      <c r="C1594" s="3" t="s">
        <v>558</v>
      </c>
      <c r="D1594" s="3" t="s">
        <v>415</v>
      </c>
      <c r="E1594" s="3" t="s">
        <v>22</v>
      </c>
      <c r="F1594" s="3">
        <v>0.55</v>
      </c>
      <c r="G1594" s="3">
        <v>480</v>
      </c>
      <c r="H1594" s="3">
        <f t="shared" si="27"/>
        <v>264</v>
      </c>
      <c r="I1594" s="3"/>
      <c r="J1594" s="3">
        <v>9.25</v>
      </c>
    </row>
    <row r="1595" customHeight="1" spans="1:10">
      <c r="A1595" s="3">
        <v>1662</v>
      </c>
      <c r="B1595" s="3" t="s">
        <v>620</v>
      </c>
      <c r="C1595" s="3" t="s">
        <v>558</v>
      </c>
      <c r="D1595" s="3" t="s">
        <v>415</v>
      </c>
      <c r="E1595" s="3" t="s">
        <v>22</v>
      </c>
      <c r="F1595" s="3">
        <v>0.22</v>
      </c>
      <c r="G1595" s="3">
        <v>480</v>
      </c>
      <c r="H1595" s="3">
        <f t="shared" si="27"/>
        <v>105.6</v>
      </c>
      <c r="I1595" s="3"/>
      <c r="J1595" s="3">
        <v>9.25</v>
      </c>
    </row>
    <row r="1596" customHeight="1" spans="1:10">
      <c r="A1596" s="3">
        <v>1663</v>
      </c>
      <c r="B1596" s="3" t="s">
        <v>626</v>
      </c>
      <c r="C1596" s="3" t="s">
        <v>558</v>
      </c>
      <c r="D1596" s="3" t="s">
        <v>154</v>
      </c>
      <c r="E1596" s="3" t="s">
        <v>13</v>
      </c>
      <c r="F1596" s="3">
        <v>0.62</v>
      </c>
      <c r="G1596" s="3">
        <v>380</v>
      </c>
      <c r="H1596" s="3">
        <f t="shared" si="27"/>
        <v>235.6</v>
      </c>
      <c r="I1596" s="3"/>
      <c r="J1596" s="3">
        <v>9.25</v>
      </c>
    </row>
    <row r="1597" customHeight="1" spans="1:10">
      <c r="A1597" s="3">
        <v>1664</v>
      </c>
      <c r="B1597" s="3" t="s">
        <v>627</v>
      </c>
      <c r="C1597" s="3" t="s">
        <v>558</v>
      </c>
      <c r="D1597" s="3" t="s">
        <v>154</v>
      </c>
      <c r="E1597" s="3" t="s">
        <v>13</v>
      </c>
      <c r="F1597" s="3">
        <v>0.15</v>
      </c>
      <c r="G1597" s="3">
        <v>380</v>
      </c>
      <c r="H1597" s="3">
        <f t="shared" si="27"/>
        <v>57</v>
      </c>
      <c r="I1597" s="3"/>
      <c r="J1597" s="3">
        <v>9.25</v>
      </c>
    </row>
    <row r="1598" customHeight="1" spans="1:10">
      <c r="A1598" s="3">
        <v>1665</v>
      </c>
      <c r="B1598" s="3" t="s">
        <v>571</v>
      </c>
      <c r="C1598" s="3" t="s">
        <v>558</v>
      </c>
      <c r="D1598" s="3" t="s">
        <v>154</v>
      </c>
      <c r="E1598" s="3" t="s">
        <v>13</v>
      </c>
      <c r="F1598" s="3">
        <v>0.15</v>
      </c>
      <c r="G1598" s="3">
        <v>380</v>
      </c>
      <c r="H1598" s="3">
        <f t="shared" si="27"/>
        <v>57</v>
      </c>
      <c r="I1598" s="3"/>
      <c r="J1598" s="3">
        <v>9.25</v>
      </c>
    </row>
    <row r="1599" customHeight="1" spans="1:10">
      <c r="A1599" s="3">
        <v>1666</v>
      </c>
      <c r="B1599" s="3" t="s">
        <v>619</v>
      </c>
      <c r="C1599" s="3" t="s">
        <v>558</v>
      </c>
      <c r="D1599" s="3" t="s">
        <v>154</v>
      </c>
      <c r="E1599" s="3" t="s">
        <v>13</v>
      </c>
      <c r="F1599" s="3">
        <v>0.16</v>
      </c>
      <c r="G1599" s="3">
        <v>380</v>
      </c>
      <c r="H1599" s="3">
        <f t="shared" si="27"/>
        <v>60.8</v>
      </c>
      <c r="I1599" s="3"/>
      <c r="J1599" s="3">
        <v>9.25</v>
      </c>
    </row>
    <row r="1600" customHeight="1" spans="1:10">
      <c r="A1600" s="3">
        <v>1667</v>
      </c>
      <c r="B1600" s="3" t="s">
        <v>560</v>
      </c>
      <c r="C1600" s="3" t="s">
        <v>558</v>
      </c>
      <c r="D1600" s="3" t="s">
        <v>559</v>
      </c>
      <c r="E1600" s="3" t="s">
        <v>13</v>
      </c>
      <c r="F1600" s="3">
        <v>0.21</v>
      </c>
      <c r="G1600" s="3">
        <v>380</v>
      </c>
      <c r="H1600" s="3">
        <f t="shared" si="27"/>
        <v>79.8</v>
      </c>
      <c r="I1600" s="3"/>
      <c r="J1600" s="3">
        <v>9.25</v>
      </c>
    </row>
    <row r="1601" customHeight="1" spans="1:10">
      <c r="A1601" s="3">
        <v>1668</v>
      </c>
      <c r="B1601" s="3" t="s">
        <v>628</v>
      </c>
      <c r="C1601" s="3" t="s">
        <v>558</v>
      </c>
      <c r="D1601" s="3" t="s">
        <v>629</v>
      </c>
      <c r="E1601" s="3" t="s">
        <v>13</v>
      </c>
      <c r="F1601" s="3">
        <v>0.9</v>
      </c>
      <c r="G1601" s="3">
        <v>380</v>
      </c>
      <c r="H1601" s="3">
        <f t="shared" si="27"/>
        <v>342</v>
      </c>
      <c r="I1601" s="3"/>
      <c r="J1601" s="3">
        <v>9.25</v>
      </c>
    </row>
    <row r="1602" customHeight="1" spans="1:10">
      <c r="A1602" s="3">
        <v>1669</v>
      </c>
      <c r="B1602" s="3" t="s">
        <v>560</v>
      </c>
      <c r="C1602" s="3" t="s">
        <v>558</v>
      </c>
      <c r="D1602" s="3" t="s">
        <v>629</v>
      </c>
      <c r="E1602" s="3" t="s">
        <v>13</v>
      </c>
      <c r="F1602" s="3">
        <v>0.35</v>
      </c>
      <c r="G1602" s="3">
        <v>380</v>
      </c>
      <c r="H1602" s="3">
        <f t="shared" ref="H1602:H1665" si="28">G1602*F1602</f>
        <v>133</v>
      </c>
      <c r="I1602" s="3"/>
      <c r="J1602" s="3">
        <v>9.25</v>
      </c>
    </row>
    <row r="1603" customHeight="1" spans="1:10">
      <c r="A1603" s="3">
        <v>1670</v>
      </c>
      <c r="B1603" s="3" t="s">
        <v>564</v>
      </c>
      <c r="C1603" s="3" t="s">
        <v>558</v>
      </c>
      <c r="D1603" s="3" t="s">
        <v>629</v>
      </c>
      <c r="E1603" s="3" t="s">
        <v>13</v>
      </c>
      <c r="F1603" s="3">
        <v>0.26</v>
      </c>
      <c r="G1603" s="3">
        <v>380</v>
      </c>
      <c r="H1603" s="3">
        <f t="shared" si="28"/>
        <v>98.8</v>
      </c>
      <c r="I1603" s="3"/>
      <c r="J1603" s="3">
        <v>9.25</v>
      </c>
    </row>
    <row r="1604" customHeight="1" spans="1:10">
      <c r="A1604" s="3">
        <v>1671</v>
      </c>
      <c r="B1604" s="3" t="s">
        <v>560</v>
      </c>
      <c r="C1604" s="3" t="s">
        <v>558</v>
      </c>
      <c r="D1604" s="3" t="s">
        <v>629</v>
      </c>
      <c r="E1604" s="3" t="s">
        <v>13</v>
      </c>
      <c r="F1604" s="3">
        <v>0.1</v>
      </c>
      <c r="G1604" s="3">
        <v>380</v>
      </c>
      <c r="H1604" s="3">
        <f t="shared" si="28"/>
        <v>38</v>
      </c>
      <c r="I1604" s="3"/>
      <c r="J1604" s="3">
        <v>9.25</v>
      </c>
    </row>
    <row r="1605" customHeight="1" spans="1:10">
      <c r="A1605" s="3">
        <v>1672</v>
      </c>
      <c r="B1605" s="3" t="s">
        <v>179</v>
      </c>
      <c r="C1605" s="3" t="s">
        <v>558</v>
      </c>
      <c r="D1605" s="3" t="s">
        <v>629</v>
      </c>
      <c r="E1605" s="3" t="s">
        <v>13</v>
      </c>
      <c r="F1605" s="3">
        <v>0.4</v>
      </c>
      <c r="G1605" s="3">
        <v>380</v>
      </c>
      <c r="H1605" s="3">
        <f t="shared" si="28"/>
        <v>152</v>
      </c>
      <c r="I1605" s="3"/>
      <c r="J1605" s="3">
        <v>9.25</v>
      </c>
    </row>
    <row r="1606" customHeight="1" spans="1:10">
      <c r="A1606" s="3">
        <v>1673</v>
      </c>
      <c r="B1606" s="3" t="s">
        <v>620</v>
      </c>
      <c r="C1606" s="3" t="s">
        <v>558</v>
      </c>
      <c r="D1606" s="3" t="s">
        <v>629</v>
      </c>
      <c r="E1606" s="3" t="s">
        <v>13</v>
      </c>
      <c r="F1606" s="3">
        <v>0.7</v>
      </c>
      <c r="G1606" s="3">
        <v>380</v>
      </c>
      <c r="H1606" s="3">
        <f t="shared" si="28"/>
        <v>266</v>
      </c>
      <c r="I1606" s="3"/>
      <c r="J1606" s="3">
        <v>9.25</v>
      </c>
    </row>
    <row r="1607" customHeight="1" spans="1:10">
      <c r="A1607" s="3">
        <v>1674</v>
      </c>
      <c r="B1607" s="3" t="s">
        <v>606</v>
      </c>
      <c r="C1607" s="3" t="s">
        <v>558</v>
      </c>
      <c r="D1607" s="3" t="s">
        <v>629</v>
      </c>
      <c r="E1607" s="3" t="s">
        <v>13</v>
      </c>
      <c r="F1607" s="3"/>
      <c r="G1607" s="3">
        <v>380</v>
      </c>
      <c r="H1607" s="3">
        <f t="shared" si="28"/>
        <v>0</v>
      </c>
      <c r="I1607" s="3"/>
      <c r="J1607" s="3">
        <v>9.25</v>
      </c>
    </row>
    <row r="1608" customHeight="1" spans="1:10">
      <c r="A1608" s="3">
        <v>1675</v>
      </c>
      <c r="B1608" s="3" t="s">
        <v>589</v>
      </c>
      <c r="C1608" s="3" t="s">
        <v>558</v>
      </c>
      <c r="D1608" s="3" t="s">
        <v>154</v>
      </c>
      <c r="E1608" s="3" t="s">
        <v>13</v>
      </c>
      <c r="F1608" s="3">
        <v>0.1</v>
      </c>
      <c r="G1608" s="3">
        <v>380</v>
      </c>
      <c r="H1608" s="3">
        <f t="shared" si="28"/>
        <v>38</v>
      </c>
      <c r="I1608" s="3"/>
      <c r="J1608" s="3">
        <v>9.25</v>
      </c>
    </row>
    <row r="1609" customHeight="1" spans="1:10">
      <c r="A1609" s="3">
        <v>1676</v>
      </c>
      <c r="B1609" s="3" t="s">
        <v>574</v>
      </c>
      <c r="C1609" s="3" t="s">
        <v>558</v>
      </c>
      <c r="D1609" s="3" t="s">
        <v>622</v>
      </c>
      <c r="E1609" s="3" t="s">
        <v>13</v>
      </c>
      <c r="F1609" s="3">
        <v>0.36</v>
      </c>
      <c r="G1609" s="3">
        <v>380</v>
      </c>
      <c r="H1609" s="3">
        <f t="shared" si="28"/>
        <v>136.8</v>
      </c>
      <c r="I1609" s="3"/>
      <c r="J1609" s="3">
        <v>9.25</v>
      </c>
    </row>
    <row r="1610" customHeight="1" spans="1:10">
      <c r="A1610" s="3">
        <v>1677</v>
      </c>
      <c r="B1610" s="3" t="s">
        <v>574</v>
      </c>
      <c r="C1610" s="3" t="s">
        <v>558</v>
      </c>
      <c r="D1610" s="3" t="s">
        <v>630</v>
      </c>
      <c r="E1610" s="3" t="s">
        <v>22</v>
      </c>
      <c r="F1610" s="3">
        <v>0.31</v>
      </c>
      <c r="G1610" s="3">
        <v>480</v>
      </c>
      <c r="H1610" s="3">
        <f t="shared" si="28"/>
        <v>148.8</v>
      </c>
      <c r="I1610" s="3"/>
      <c r="J1610" s="3">
        <v>9.25</v>
      </c>
    </row>
    <row r="1611" customHeight="1" spans="1:10">
      <c r="A1611" s="3">
        <v>1678</v>
      </c>
      <c r="B1611" s="3" t="s">
        <v>624</v>
      </c>
      <c r="C1611" s="3" t="s">
        <v>558</v>
      </c>
      <c r="D1611" s="3" t="s">
        <v>630</v>
      </c>
      <c r="E1611" s="3" t="s">
        <v>22</v>
      </c>
      <c r="F1611" s="3">
        <v>0.16</v>
      </c>
      <c r="G1611" s="3">
        <v>480</v>
      </c>
      <c r="H1611" s="3">
        <f t="shared" si="28"/>
        <v>76.8</v>
      </c>
      <c r="I1611" s="3"/>
      <c r="J1611" s="3">
        <v>9.25</v>
      </c>
    </row>
    <row r="1612" customHeight="1" spans="1:10">
      <c r="A1612" s="3">
        <v>1679</v>
      </c>
      <c r="B1612" s="3" t="s">
        <v>578</v>
      </c>
      <c r="C1612" s="3" t="s">
        <v>558</v>
      </c>
      <c r="D1612" s="3" t="s">
        <v>631</v>
      </c>
      <c r="E1612" s="3" t="s">
        <v>22</v>
      </c>
      <c r="F1612" s="3">
        <v>0.84</v>
      </c>
      <c r="G1612" s="3">
        <v>480</v>
      </c>
      <c r="H1612" s="3">
        <f t="shared" si="28"/>
        <v>403.2</v>
      </c>
      <c r="I1612" s="3"/>
      <c r="J1612" s="3">
        <v>9.25</v>
      </c>
    </row>
    <row r="1613" customHeight="1" spans="1:10">
      <c r="A1613" s="3">
        <v>1680</v>
      </c>
      <c r="B1613" s="3" t="s">
        <v>620</v>
      </c>
      <c r="C1613" s="3" t="s">
        <v>558</v>
      </c>
      <c r="D1613" s="3" t="s">
        <v>631</v>
      </c>
      <c r="E1613" s="3" t="s">
        <v>22</v>
      </c>
      <c r="F1613" s="3">
        <v>0.7</v>
      </c>
      <c r="G1613" s="3">
        <v>480</v>
      </c>
      <c r="H1613" s="3">
        <f t="shared" si="28"/>
        <v>336</v>
      </c>
      <c r="I1613" s="3"/>
      <c r="J1613" s="3">
        <v>9.25</v>
      </c>
    </row>
    <row r="1614" customHeight="1" spans="1:10">
      <c r="A1614" s="3">
        <v>1681</v>
      </c>
      <c r="B1614" s="3" t="s">
        <v>570</v>
      </c>
      <c r="C1614" s="3" t="s">
        <v>558</v>
      </c>
      <c r="D1614" s="3" t="s">
        <v>631</v>
      </c>
      <c r="E1614" s="3" t="s">
        <v>22</v>
      </c>
      <c r="F1614" s="3">
        <v>0.15</v>
      </c>
      <c r="G1614" s="3">
        <v>480</v>
      </c>
      <c r="H1614" s="3">
        <f t="shared" si="28"/>
        <v>72</v>
      </c>
      <c r="I1614" s="3"/>
      <c r="J1614" s="3">
        <v>9.25</v>
      </c>
    </row>
    <row r="1615" customHeight="1" spans="1:10">
      <c r="A1615" s="3">
        <v>1682</v>
      </c>
      <c r="B1615" s="3" t="s">
        <v>571</v>
      </c>
      <c r="C1615" s="3" t="s">
        <v>558</v>
      </c>
      <c r="D1615" s="3" t="s">
        <v>631</v>
      </c>
      <c r="E1615" s="3" t="s">
        <v>22</v>
      </c>
      <c r="F1615" s="3">
        <v>0.67</v>
      </c>
      <c r="G1615" s="3">
        <v>480</v>
      </c>
      <c r="H1615" s="3">
        <f t="shared" si="28"/>
        <v>321.6</v>
      </c>
      <c r="I1615" s="3"/>
      <c r="J1615" s="3">
        <v>9.25</v>
      </c>
    </row>
    <row r="1616" customHeight="1" spans="1:10">
      <c r="A1616" s="3">
        <v>1683</v>
      </c>
      <c r="B1616" s="3" t="s">
        <v>599</v>
      </c>
      <c r="C1616" s="3" t="s">
        <v>558</v>
      </c>
      <c r="D1616" s="3" t="s">
        <v>632</v>
      </c>
      <c r="E1616" s="3" t="s">
        <v>22</v>
      </c>
      <c r="F1616" s="3">
        <v>0.19</v>
      </c>
      <c r="G1616" s="3">
        <v>480</v>
      </c>
      <c r="H1616" s="3">
        <f t="shared" si="28"/>
        <v>91.2</v>
      </c>
      <c r="I1616" s="3"/>
      <c r="J1616" s="3">
        <v>9.25</v>
      </c>
    </row>
    <row r="1617" customHeight="1" spans="1:10">
      <c r="A1617" s="3">
        <v>1684</v>
      </c>
      <c r="B1617" s="3" t="s">
        <v>586</v>
      </c>
      <c r="C1617" s="3" t="s">
        <v>558</v>
      </c>
      <c r="D1617" s="3" t="s">
        <v>633</v>
      </c>
      <c r="E1617" s="3" t="s">
        <v>22</v>
      </c>
      <c r="F1617" s="3">
        <v>0.51</v>
      </c>
      <c r="G1617" s="3">
        <v>480</v>
      </c>
      <c r="H1617" s="3">
        <f t="shared" si="28"/>
        <v>244.8</v>
      </c>
      <c r="I1617" s="3"/>
      <c r="J1617" s="3">
        <v>9.25</v>
      </c>
    </row>
    <row r="1618" customHeight="1" spans="1:10">
      <c r="A1618" s="3">
        <v>1685</v>
      </c>
      <c r="B1618" s="3" t="s">
        <v>624</v>
      </c>
      <c r="C1618" s="3" t="s">
        <v>558</v>
      </c>
      <c r="D1618" s="3" t="s">
        <v>622</v>
      </c>
      <c r="E1618" s="3" t="s">
        <v>13</v>
      </c>
      <c r="F1618" s="3">
        <v>0.35</v>
      </c>
      <c r="G1618" s="3">
        <v>380</v>
      </c>
      <c r="H1618" s="3">
        <f t="shared" si="28"/>
        <v>133</v>
      </c>
      <c r="I1618" s="3"/>
      <c r="J1618" s="3">
        <v>9.25</v>
      </c>
    </row>
    <row r="1619" customHeight="1" spans="1:10">
      <c r="A1619" s="3">
        <v>1686</v>
      </c>
      <c r="B1619" s="3" t="s">
        <v>574</v>
      </c>
      <c r="C1619" s="3" t="s">
        <v>558</v>
      </c>
      <c r="D1619" s="3" t="s">
        <v>622</v>
      </c>
      <c r="E1619" s="3" t="s">
        <v>13</v>
      </c>
      <c r="F1619" s="3">
        <v>0.1</v>
      </c>
      <c r="G1619" s="3">
        <v>380</v>
      </c>
      <c r="H1619" s="3">
        <f t="shared" si="28"/>
        <v>38</v>
      </c>
      <c r="I1619" s="3"/>
      <c r="J1619" s="3">
        <v>9.25</v>
      </c>
    </row>
    <row r="1620" customHeight="1" spans="1:10">
      <c r="A1620" s="3">
        <v>1687</v>
      </c>
      <c r="B1620" s="3" t="s">
        <v>585</v>
      </c>
      <c r="C1620" s="3" t="s">
        <v>558</v>
      </c>
      <c r="D1620" s="3" t="s">
        <v>633</v>
      </c>
      <c r="E1620" s="3" t="s">
        <v>22</v>
      </c>
      <c r="F1620" s="3">
        <v>0.35</v>
      </c>
      <c r="G1620" s="3">
        <v>480</v>
      </c>
      <c r="H1620" s="3">
        <f t="shared" si="28"/>
        <v>168</v>
      </c>
      <c r="I1620" s="3"/>
      <c r="J1620" s="3">
        <v>9.25</v>
      </c>
    </row>
    <row r="1621" customHeight="1" spans="1:10">
      <c r="A1621" s="3">
        <v>1688</v>
      </c>
      <c r="B1621" s="3" t="s">
        <v>567</v>
      </c>
      <c r="C1621" s="3" t="s">
        <v>558</v>
      </c>
      <c r="D1621" s="3" t="s">
        <v>633</v>
      </c>
      <c r="E1621" s="3" t="s">
        <v>22</v>
      </c>
      <c r="F1621" s="3">
        <v>0.39</v>
      </c>
      <c r="G1621" s="3">
        <v>480</v>
      </c>
      <c r="H1621" s="3">
        <f t="shared" si="28"/>
        <v>187.2</v>
      </c>
      <c r="I1621" s="3" t="s">
        <v>25</v>
      </c>
      <c r="J1621" s="3">
        <v>9.25</v>
      </c>
    </row>
    <row r="1622" customHeight="1" spans="1:10">
      <c r="A1622" s="3">
        <v>1689</v>
      </c>
      <c r="B1622" s="3" t="s">
        <v>561</v>
      </c>
      <c r="C1622" s="3" t="s">
        <v>558</v>
      </c>
      <c r="D1622" s="3" t="s">
        <v>633</v>
      </c>
      <c r="E1622" s="3" t="s">
        <v>22</v>
      </c>
      <c r="F1622" s="3">
        <v>0.7</v>
      </c>
      <c r="G1622" s="3">
        <v>480</v>
      </c>
      <c r="H1622" s="3">
        <f t="shared" si="28"/>
        <v>336</v>
      </c>
      <c r="I1622" s="3"/>
      <c r="J1622" s="3">
        <v>9.25</v>
      </c>
    </row>
    <row r="1623" customHeight="1" spans="1:10">
      <c r="A1623" s="3">
        <v>1690</v>
      </c>
      <c r="B1623" s="3" t="s">
        <v>578</v>
      </c>
      <c r="C1623" s="3" t="s">
        <v>558</v>
      </c>
      <c r="D1623" s="3" t="s">
        <v>634</v>
      </c>
      <c r="E1623" s="3" t="s">
        <v>22</v>
      </c>
      <c r="F1623" s="3">
        <v>0.22</v>
      </c>
      <c r="G1623" s="3">
        <v>480</v>
      </c>
      <c r="H1623" s="3">
        <f t="shared" si="28"/>
        <v>105.6</v>
      </c>
      <c r="I1623" s="3"/>
      <c r="J1623" s="3">
        <v>9.25</v>
      </c>
    </row>
    <row r="1624" customHeight="1" spans="1:10">
      <c r="A1624" s="3">
        <v>1691</v>
      </c>
      <c r="B1624" s="3" t="s">
        <v>589</v>
      </c>
      <c r="C1624" s="3" t="s">
        <v>558</v>
      </c>
      <c r="D1624" s="3" t="s">
        <v>634</v>
      </c>
      <c r="E1624" s="3" t="s">
        <v>22</v>
      </c>
      <c r="F1624" s="3">
        <v>0.34</v>
      </c>
      <c r="G1624" s="3">
        <v>480</v>
      </c>
      <c r="H1624" s="3">
        <f t="shared" si="28"/>
        <v>163.2</v>
      </c>
      <c r="I1624" s="3"/>
      <c r="J1624" s="3">
        <v>9.25</v>
      </c>
    </row>
    <row r="1625" customHeight="1" spans="1:10">
      <c r="A1625" s="3">
        <v>1692</v>
      </c>
      <c r="B1625" s="3" t="s">
        <v>602</v>
      </c>
      <c r="C1625" s="3" t="s">
        <v>558</v>
      </c>
      <c r="D1625" s="3" t="s">
        <v>634</v>
      </c>
      <c r="E1625" s="3" t="s">
        <v>22</v>
      </c>
      <c r="F1625" s="3">
        <v>0.4</v>
      </c>
      <c r="G1625" s="3">
        <v>480</v>
      </c>
      <c r="H1625" s="3">
        <f t="shared" si="28"/>
        <v>192</v>
      </c>
      <c r="I1625" s="3"/>
      <c r="J1625" s="3">
        <v>9.25</v>
      </c>
    </row>
    <row r="1626" customHeight="1" spans="1:10">
      <c r="A1626" s="3">
        <v>1693</v>
      </c>
      <c r="B1626" s="3" t="s">
        <v>619</v>
      </c>
      <c r="C1626" s="3" t="s">
        <v>558</v>
      </c>
      <c r="D1626" s="3" t="s">
        <v>634</v>
      </c>
      <c r="E1626" s="3" t="s">
        <v>22</v>
      </c>
      <c r="F1626" s="3">
        <v>0.41</v>
      </c>
      <c r="G1626" s="3">
        <v>480</v>
      </c>
      <c r="H1626" s="3">
        <f t="shared" si="28"/>
        <v>196.8</v>
      </c>
      <c r="I1626" s="3"/>
      <c r="J1626" s="3">
        <v>9.25</v>
      </c>
    </row>
    <row r="1627" customHeight="1" spans="1:10">
      <c r="A1627" s="3">
        <v>1694</v>
      </c>
      <c r="B1627" s="3" t="s">
        <v>589</v>
      </c>
      <c r="C1627" s="3" t="s">
        <v>558</v>
      </c>
      <c r="D1627" s="3" t="s">
        <v>635</v>
      </c>
      <c r="E1627" s="3" t="s">
        <v>22</v>
      </c>
      <c r="F1627" s="3">
        <v>0.07</v>
      </c>
      <c r="G1627" s="3">
        <v>480</v>
      </c>
      <c r="H1627" s="3">
        <f t="shared" si="28"/>
        <v>33.6</v>
      </c>
      <c r="I1627" s="3"/>
      <c r="J1627" s="3">
        <v>9.25</v>
      </c>
    </row>
    <row r="1628" customHeight="1" spans="1:10">
      <c r="A1628" s="3">
        <v>1695</v>
      </c>
      <c r="B1628" s="3" t="s">
        <v>598</v>
      </c>
      <c r="C1628" s="3" t="s">
        <v>558</v>
      </c>
      <c r="D1628" s="3" t="s">
        <v>635</v>
      </c>
      <c r="E1628" s="3" t="s">
        <v>22</v>
      </c>
      <c r="F1628" s="3">
        <v>0.41</v>
      </c>
      <c r="G1628" s="3">
        <v>480</v>
      </c>
      <c r="H1628" s="3">
        <f t="shared" si="28"/>
        <v>196.8</v>
      </c>
      <c r="I1628" s="3"/>
      <c r="J1628" s="3">
        <v>9.25</v>
      </c>
    </row>
    <row r="1629" customHeight="1" spans="1:10">
      <c r="A1629" s="3">
        <v>1696</v>
      </c>
      <c r="B1629" s="3" t="s">
        <v>582</v>
      </c>
      <c r="C1629" s="3" t="s">
        <v>558</v>
      </c>
      <c r="D1629" s="3" t="s">
        <v>635</v>
      </c>
      <c r="E1629" s="3" t="s">
        <v>22</v>
      </c>
      <c r="F1629" s="3">
        <v>1.12</v>
      </c>
      <c r="G1629" s="3">
        <v>480</v>
      </c>
      <c r="H1629" s="3">
        <f t="shared" si="28"/>
        <v>537.6</v>
      </c>
      <c r="I1629" s="3"/>
      <c r="J1629" s="3">
        <v>9.25</v>
      </c>
    </row>
    <row r="1630" customHeight="1" spans="1:10">
      <c r="A1630" s="3">
        <v>1697</v>
      </c>
      <c r="B1630" s="3" t="s">
        <v>602</v>
      </c>
      <c r="C1630" s="3" t="s">
        <v>558</v>
      </c>
      <c r="D1630" s="3" t="s">
        <v>610</v>
      </c>
      <c r="E1630" s="3" t="s">
        <v>22</v>
      </c>
      <c r="F1630" s="3">
        <v>0.15</v>
      </c>
      <c r="G1630" s="3">
        <v>480</v>
      </c>
      <c r="H1630" s="3">
        <f t="shared" si="28"/>
        <v>72</v>
      </c>
      <c r="I1630" s="3"/>
      <c r="J1630" s="3">
        <v>9.25</v>
      </c>
    </row>
    <row r="1631" customHeight="1" spans="1:10">
      <c r="A1631" s="3">
        <v>1698</v>
      </c>
      <c r="B1631" s="3" t="s">
        <v>564</v>
      </c>
      <c r="C1631" s="3" t="s">
        <v>558</v>
      </c>
      <c r="D1631" s="3" t="s">
        <v>610</v>
      </c>
      <c r="E1631" s="3" t="s">
        <v>22</v>
      </c>
      <c r="F1631" s="3">
        <v>0.9</v>
      </c>
      <c r="G1631" s="3">
        <v>480</v>
      </c>
      <c r="H1631" s="3">
        <f t="shared" si="28"/>
        <v>432</v>
      </c>
      <c r="I1631" s="3"/>
      <c r="J1631" s="3">
        <v>9.25</v>
      </c>
    </row>
    <row r="1632" customHeight="1" spans="1:10">
      <c r="A1632" s="3">
        <v>1699</v>
      </c>
      <c r="B1632" s="3" t="s">
        <v>636</v>
      </c>
      <c r="C1632" s="3" t="s">
        <v>558</v>
      </c>
      <c r="D1632" s="3" t="s">
        <v>568</v>
      </c>
      <c r="E1632" s="3" t="s">
        <v>13</v>
      </c>
      <c r="F1632" s="3">
        <v>0.25</v>
      </c>
      <c r="G1632" s="3">
        <v>380</v>
      </c>
      <c r="H1632" s="3">
        <f t="shared" si="28"/>
        <v>95</v>
      </c>
      <c r="I1632" s="3"/>
      <c r="J1632" s="3">
        <v>9.25</v>
      </c>
    </row>
    <row r="1633" customHeight="1" spans="1:10">
      <c r="A1633" s="3">
        <v>1700</v>
      </c>
      <c r="B1633" s="3" t="s">
        <v>571</v>
      </c>
      <c r="C1633" s="3" t="s">
        <v>558</v>
      </c>
      <c r="D1633" s="3" t="s">
        <v>154</v>
      </c>
      <c r="E1633" s="3" t="s">
        <v>13</v>
      </c>
      <c r="F1633" s="3">
        <v>0.09</v>
      </c>
      <c r="G1633" s="3">
        <v>380</v>
      </c>
      <c r="H1633" s="3">
        <f t="shared" si="28"/>
        <v>34.2</v>
      </c>
      <c r="I1633" s="3"/>
      <c r="J1633" s="3">
        <v>9.25</v>
      </c>
    </row>
    <row r="1634" customHeight="1" spans="1:10">
      <c r="A1634" s="3">
        <v>1701</v>
      </c>
      <c r="B1634" s="3" t="s">
        <v>591</v>
      </c>
      <c r="C1634" s="3" t="s">
        <v>558</v>
      </c>
      <c r="D1634" s="3" t="s">
        <v>154</v>
      </c>
      <c r="E1634" s="3" t="s">
        <v>13</v>
      </c>
      <c r="F1634" s="3">
        <v>0.23</v>
      </c>
      <c r="G1634" s="3">
        <v>380</v>
      </c>
      <c r="H1634" s="3">
        <f t="shared" si="28"/>
        <v>87.4</v>
      </c>
      <c r="I1634" s="3"/>
      <c r="J1634" s="3">
        <v>9.25</v>
      </c>
    </row>
    <row r="1635" customHeight="1" spans="1:10">
      <c r="A1635" s="3">
        <v>1702</v>
      </c>
      <c r="B1635" s="3" t="s">
        <v>560</v>
      </c>
      <c r="C1635" s="3" t="s">
        <v>558</v>
      </c>
      <c r="D1635" s="3" t="s">
        <v>154</v>
      </c>
      <c r="E1635" s="3" t="s">
        <v>13</v>
      </c>
      <c r="F1635" s="3">
        <v>0.3</v>
      </c>
      <c r="G1635" s="3">
        <v>380</v>
      </c>
      <c r="H1635" s="3">
        <f t="shared" si="28"/>
        <v>114</v>
      </c>
      <c r="I1635" s="3"/>
      <c r="J1635" s="3">
        <v>9.25</v>
      </c>
    </row>
    <row r="1636" customHeight="1" spans="1:10">
      <c r="A1636" s="3">
        <v>1703</v>
      </c>
      <c r="B1636" s="3" t="s">
        <v>590</v>
      </c>
      <c r="C1636" s="3" t="s">
        <v>558</v>
      </c>
      <c r="D1636" s="3" t="s">
        <v>154</v>
      </c>
      <c r="E1636" s="3" t="s">
        <v>13</v>
      </c>
      <c r="F1636" s="3">
        <v>0.25</v>
      </c>
      <c r="G1636" s="3">
        <v>380</v>
      </c>
      <c r="H1636" s="3">
        <f t="shared" si="28"/>
        <v>95</v>
      </c>
      <c r="I1636" s="3"/>
      <c r="J1636" s="3">
        <v>9.25</v>
      </c>
    </row>
    <row r="1637" customHeight="1" spans="1:10">
      <c r="A1637" s="3">
        <v>1704</v>
      </c>
      <c r="B1637" s="3" t="s">
        <v>637</v>
      </c>
      <c r="C1637" s="3" t="s">
        <v>558</v>
      </c>
      <c r="D1637" s="3" t="s">
        <v>154</v>
      </c>
      <c r="E1637" s="3" t="s">
        <v>13</v>
      </c>
      <c r="F1637" s="3">
        <v>0.14</v>
      </c>
      <c r="G1637" s="3">
        <v>380</v>
      </c>
      <c r="H1637" s="3">
        <f t="shared" si="28"/>
        <v>53.2</v>
      </c>
      <c r="I1637" s="3"/>
      <c r="J1637" s="3">
        <v>9.25</v>
      </c>
    </row>
    <row r="1638" customHeight="1" spans="1:10">
      <c r="A1638" s="3">
        <v>1705</v>
      </c>
      <c r="B1638" s="3" t="s">
        <v>585</v>
      </c>
      <c r="C1638" s="3" t="s">
        <v>558</v>
      </c>
      <c r="D1638" s="3" t="s">
        <v>638</v>
      </c>
      <c r="E1638" s="3" t="s">
        <v>13</v>
      </c>
      <c r="F1638" s="3">
        <v>1.05</v>
      </c>
      <c r="G1638" s="3">
        <v>380</v>
      </c>
      <c r="H1638" s="3">
        <f t="shared" si="28"/>
        <v>399</v>
      </c>
      <c r="I1638" s="3"/>
      <c r="J1638" s="3">
        <v>9.25</v>
      </c>
    </row>
    <row r="1639" customHeight="1" spans="1:10">
      <c r="A1639" s="3">
        <v>1706</v>
      </c>
      <c r="B1639" s="3" t="s">
        <v>619</v>
      </c>
      <c r="C1639" s="3" t="s">
        <v>558</v>
      </c>
      <c r="D1639" s="3" t="s">
        <v>638</v>
      </c>
      <c r="E1639" s="3" t="s">
        <v>13</v>
      </c>
      <c r="F1639" s="3">
        <v>0.72</v>
      </c>
      <c r="G1639" s="3">
        <v>380</v>
      </c>
      <c r="H1639" s="3">
        <f t="shared" si="28"/>
        <v>273.6</v>
      </c>
      <c r="I1639" s="3"/>
      <c r="J1639" s="3">
        <v>9.25</v>
      </c>
    </row>
    <row r="1640" customHeight="1" spans="1:10">
      <c r="A1640" s="3">
        <v>1707</v>
      </c>
      <c r="B1640" s="3" t="s">
        <v>590</v>
      </c>
      <c r="C1640" s="3" t="s">
        <v>558</v>
      </c>
      <c r="D1640" s="3" t="s">
        <v>319</v>
      </c>
      <c r="E1640" s="3" t="s">
        <v>13</v>
      </c>
      <c r="F1640" s="3">
        <v>0.15</v>
      </c>
      <c r="G1640" s="3">
        <v>380</v>
      </c>
      <c r="H1640" s="3">
        <f t="shared" si="28"/>
        <v>57</v>
      </c>
      <c r="I1640" s="3"/>
      <c r="J1640" s="3">
        <v>9.25</v>
      </c>
    </row>
    <row r="1641" customHeight="1" spans="1:10">
      <c r="A1641" s="3">
        <v>1708</v>
      </c>
      <c r="B1641" s="3" t="s">
        <v>585</v>
      </c>
      <c r="C1641" s="3" t="s">
        <v>558</v>
      </c>
      <c r="D1641" s="3" t="s">
        <v>319</v>
      </c>
      <c r="E1641" s="3" t="s">
        <v>13</v>
      </c>
      <c r="F1641" s="3">
        <v>0.08</v>
      </c>
      <c r="G1641" s="3">
        <v>380</v>
      </c>
      <c r="H1641" s="3">
        <f t="shared" si="28"/>
        <v>30.4</v>
      </c>
      <c r="I1641" s="3"/>
      <c r="J1641" s="3">
        <v>9.25</v>
      </c>
    </row>
    <row r="1642" customHeight="1" spans="1:10">
      <c r="A1642" s="3">
        <v>1709</v>
      </c>
      <c r="B1642" s="3" t="s">
        <v>587</v>
      </c>
      <c r="C1642" s="3" t="s">
        <v>558</v>
      </c>
      <c r="D1642" s="3" t="s">
        <v>319</v>
      </c>
      <c r="E1642" s="3" t="s">
        <v>13</v>
      </c>
      <c r="F1642" s="3">
        <v>0.52</v>
      </c>
      <c r="G1642" s="3">
        <v>380</v>
      </c>
      <c r="H1642" s="3">
        <f t="shared" si="28"/>
        <v>197.6</v>
      </c>
      <c r="I1642" s="3"/>
      <c r="J1642" s="3">
        <v>9.25</v>
      </c>
    </row>
    <row r="1643" customHeight="1" spans="1:10">
      <c r="A1643" s="3">
        <v>1710</v>
      </c>
      <c r="B1643" s="3" t="s">
        <v>589</v>
      </c>
      <c r="C1643" s="3" t="s">
        <v>558</v>
      </c>
      <c r="D1643" s="3" t="s">
        <v>638</v>
      </c>
      <c r="E1643" s="3" t="s">
        <v>13</v>
      </c>
      <c r="F1643" s="3">
        <v>0.37</v>
      </c>
      <c r="G1643" s="3">
        <v>380</v>
      </c>
      <c r="H1643" s="3">
        <f t="shared" si="28"/>
        <v>140.6</v>
      </c>
      <c r="I1643" s="3"/>
      <c r="J1643" s="3">
        <v>9.25</v>
      </c>
    </row>
    <row r="1644" customHeight="1" spans="1:10">
      <c r="A1644" s="3">
        <v>1711</v>
      </c>
      <c r="B1644" s="3" t="s">
        <v>639</v>
      </c>
      <c r="C1644" s="3" t="s">
        <v>558</v>
      </c>
      <c r="D1644" s="3" t="s">
        <v>638</v>
      </c>
      <c r="E1644" s="3" t="s">
        <v>13</v>
      </c>
      <c r="F1644" s="3">
        <v>0.63</v>
      </c>
      <c r="G1644" s="3">
        <v>380</v>
      </c>
      <c r="H1644" s="3">
        <f t="shared" si="28"/>
        <v>239.4</v>
      </c>
      <c r="I1644" s="3"/>
      <c r="J1644" s="3">
        <v>9.25</v>
      </c>
    </row>
    <row r="1645" customHeight="1" spans="1:10">
      <c r="A1645" s="3">
        <v>1712</v>
      </c>
      <c r="B1645" s="3" t="s">
        <v>602</v>
      </c>
      <c r="C1645" s="3" t="s">
        <v>558</v>
      </c>
      <c r="D1645" s="3" t="s">
        <v>638</v>
      </c>
      <c r="E1645" s="3" t="s">
        <v>13</v>
      </c>
      <c r="F1645" s="3">
        <v>0.65</v>
      </c>
      <c r="G1645" s="3">
        <v>380</v>
      </c>
      <c r="H1645" s="3">
        <f t="shared" si="28"/>
        <v>247</v>
      </c>
      <c r="I1645" s="3"/>
      <c r="J1645" s="3">
        <v>9.25</v>
      </c>
    </row>
    <row r="1646" customHeight="1" spans="1:10">
      <c r="A1646" s="3">
        <v>1713</v>
      </c>
      <c r="B1646" s="3" t="s">
        <v>608</v>
      </c>
      <c r="C1646" s="3" t="s">
        <v>558</v>
      </c>
      <c r="D1646" s="3" t="s">
        <v>316</v>
      </c>
      <c r="E1646" s="3" t="s">
        <v>22</v>
      </c>
      <c r="F1646" s="3">
        <v>0.26</v>
      </c>
      <c r="G1646" s="3">
        <v>480</v>
      </c>
      <c r="H1646" s="3">
        <f t="shared" si="28"/>
        <v>124.8</v>
      </c>
      <c r="I1646" s="3"/>
      <c r="J1646" s="3">
        <v>9.26</v>
      </c>
    </row>
    <row r="1647" customHeight="1" spans="1:10">
      <c r="A1647" s="3">
        <v>1715</v>
      </c>
      <c r="B1647" s="3" t="s">
        <v>571</v>
      </c>
      <c r="C1647" s="3" t="s">
        <v>558</v>
      </c>
      <c r="D1647" s="3" t="s">
        <v>551</v>
      </c>
      <c r="E1647" s="3" t="s">
        <v>22</v>
      </c>
      <c r="F1647" s="3">
        <v>0.57</v>
      </c>
      <c r="G1647" s="3">
        <v>480</v>
      </c>
      <c r="H1647" s="3">
        <f t="shared" si="28"/>
        <v>273.6</v>
      </c>
      <c r="I1647" s="3"/>
      <c r="J1647" s="3">
        <v>9.26</v>
      </c>
    </row>
    <row r="1648" customHeight="1" spans="1:10">
      <c r="A1648" s="3">
        <v>1716</v>
      </c>
      <c r="B1648" s="3" t="s">
        <v>619</v>
      </c>
      <c r="C1648" s="3" t="s">
        <v>558</v>
      </c>
      <c r="D1648" s="3" t="s">
        <v>551</v>
      </c>
      <c r="E1648" s="3" t="s">
        <v>22</v>
      </c>
      <c r="F1648" s="3">
        <v>0.24</v>
      </c>
      <c r="G1648" s="3">
        <v>480</v>
      </c>
      <c r="H1648" s="3">
        <f t="shared" si="28"/>
        <v>115.2</v>
      </c>
      <c r="I1648" s="3"/>
      <c r="J1648" s="3">
        <v>9.26</v>
      </c>
    </row>
    <row r="1649" customHeight="1" spans="1:10">
      <c r="A1649" s="3">
        <v>1717</v>
      </c>
      <c r="B1649" s="3" t="s">
        <v>589</v>
      </c>
      <c r="C1649" s="3" t="s">
        <v>558</v>
      </c>
      <c r="D1649" s="3" t="s">
        <v>551</v>
      </c>
      <c r="E1649" s="3" t="s">
        <v>22</v>
      </c>
      <c r="F1649" s="3">
        <v>0.15</v>
      </c>
      <c r="G1649" s="3">
        <v>480</v>
      </c>
      <c r="H1649" s="3">
        <f t="shared" si="28"/>
        <v>72</v>
      </c>
      <c r="I1649" s="3"/>
      <c r="J1649" s="3">
        <v>9.26</v>
      </c>
    </row>
    <row r="1650" customHeight="1" spans="1:10">
      <c r="A1650" s="3">
        <v>1718</v>
      </c>
      <c r="B1650" s="3" t="s">
        <v>591</v>
      </c>
      <c r="C1650" s="3" t="s">
        <v>558</v>
      </c>
      <c r="D1650" s="3" t="s">
        <v>305</v>
      </c>
      <c r="E1650" s="3" t="s">
        <v>22</v>
      </c>
      <c r="F1650" s="3">
        <v>0.31</v>
      </c>
      <c r="G1650" s="3">
        <v>480</v>
      </c>
      <c r="H1650" s="3">
        <f t="shared" si="28"/>
        <v>148.8</v>
      </c>
      <c r="I1650" s="3"/>
      <c r="J1650" s="3">
        <v>9.26</v>
      </c>
    </row>
    <row r="1651" customHeight="1" spans="1:10">
      <c r="A1651" s="3">
        <v>1719</v>
      </c>
      <c r="B1651" s="3" t="s">
        <v>557</v>
      </c>
      <c r="C1651" s="3" t="s">
        <v>558</v>
      </c>
      <c r="D1651" s="3" t="s">
        <v>305</v>
      </c>
      <c r="E1651" s="3" t="s">
        <v>22</v>
      </c>
      <c r="F1651" s="3">
        <v>0.42</v>
      </c>
      <c r="G1651" s="3">
        <v>480</v>
      </c>
      <c r="H1651" s="3">
        <f t="shared" si="28"/>
        <v>201.6</v>
      </c>
      <c r="I1651" s="3"/>
      <c r="J1651" s="3">
        <v>9.26</v>
      </c>
    </row>
    <row r="1652" customHeight="1" spans="1:10">
      <c r="A1652" s="3">
        <v>1720</v>
      </c>
      <c r="B1652" s="3" t="s">
        <v>626</v>
      </c>
      <c r="C1652" s="3" t="s">
        <v>558</v>
      </c>
      <c r="D1652" s="3" t="s">
        <v>305</v>
      </c>
      <c r="E1652" s="3" t="s">
        <v>22</v>
      </c>
      <c r="F1652" s="3">
        <v>0.52</v>
      </c>
      <c r="G1652" s="3">
        <v>480</v>
      </c>
      <c r="H1652" s="3">
        <f t="shared" si="28"/>
        <v>249.6</v>
      </c>
      <c r="I1652" s="3"/>
      <c r="J1652" s="3">
        <v>9.26</v>
      </c>
    </row>
    <row r="1653" customHeight="1" spans="1:10">
      <c r="A1653" s="3">
        <v>1721</v>
      </c>
      <c r="B1653" s="3" t="s">
        <v>594</v>
      </c>
      <c r="C1653" s="3" t="s">
        <v>558</v>
      </c>
      <c r="D1653" s="3" t="s">
        <v>305</v>
      </c>
      <c r="E1653" s="3" t="s">
        <v>22</v>
      </c>
      <c r="F1653" s="3">
        <v>0.97</v>
      </c>
      <c r="G1653" s="3">
        <v>480</v>
      </c>
      <c r="H1653" s="3">
        <f t="shared" si="28"/>
        <v>465.6</v>
      </c>
      <c r="I1653" s="3"/>
      <c r="J1653" s="3">
        <v>9.26</v>
      </c>
    </row>
    <row r="1654" customHeight="1" spans="1:10">
      <c r="A1654" s="3">
        <v>1722</v>
      </c>
      <c r="B1654" s="3" t="s">
        <v>597</v>
      </c>
      <c r="C1654" s="3" t="s">
        <v>558</v>
      </c>
      <c r="D1654" s="3" t="s">
        <v>305</v>
      </c>
      <c r="E1654" s="3" t="s">
        <v>22</v>
      </c>
      <c r="F1654" s="3">
        <v>0.38</v>
      </c>
      <c r="G1654" s="3">
        <v>480</v>
      </c>
      <c r="H1654" s="3">
        <f t="shared" si="28"/>
        <v>182.4</v>
      </c>
      <c r="I1654" s="3"/>
      <c r="J1654" s="3">
        <v>9.26</v>
      </c>
    </row>
    <row r="1655" customHeight="1" spans="1:10">
      <c r="A1655" s="3">
        <v>1723</v>
      </c>
      <c r="B1655" s="3" t="s">
        <v>589</v>
      </c>
      <c r="C1655" s="3" t="s">
        <v>558</v>
      </c>
      <c r="D1655" s="3" t="s">
        <v>640</v>
      </c>
      <c r="E1655" s="3" t="s">
        <v>13</v>
      </c>
      <c r="F1655" s="3">
        <v>0.4</v>
      </c>
      <c r="G1655" s="3">
        <v>380</v>
      </c>
      <c r="H1655" s="3">
        <f t="shared" si="28"/>
        <v>152</v>
      </c>
      <c r="I1655" s="3"/>
      <c r="J1655" s="3">
        <v>9.26</v>
      </c>
    </row>
    <row r="1656" customHeight="1" spans="1:10">
      <c r="A1656" s="3">
        <v>1724</v>
      </c>
      <c r="B1656" s="3" t="s">
        <v>578</v>
      </c>
      <c r="C1656" s="3" t="s">
        <v>558</v>
      </c>
      <c r="D1656" s="3" t="s">
        <v>640</v>
      </c>
      <c r="E1656" s="3" t="s">
        <v>13</v>
      </c>
      <c r="F1656" s="3">
        <v>0.19</v>
      </c>
      <c r="G1656" s="3">
        <v>380</v>
      </c>
      <c r="H1656" s="3">
        <f t="shared" si="28"/>
        <v>72.2</v>
      </c>
      <c r="I1656" s="3"/>
      <c r="J1656" s="3">
        <v>9.26</v>
      </c>
    </row>
    <row r="1657" customHeight="1" spans="1:10">
      <c r="A1657" s="3">
        <v>1725</v>
      </c>
      <c r="B1657" s="3" t="s">
        <v>639</v>
      </c>
      <c r="C1657" s="3" t="s">
        <v>558</v>
      </c>
      <c r="D1657" s="3" t="s">
        <v>641</v>
      </c>
      <c r="E1657" s="3" t="s">
        <v>13</v>
      </c>
      <c r="F1657" s="3">
        <v>0.18</v>
      </c>
      <c r="G1657" s="3">
        <v>380</v>
      </c>
      <c r="H1657" s="3">
        <f t="shared" si="28"/>
        <v>68.4</v>
      </c>
      <c r="I1657" s="3"/>
      <c r="J1657" s="3">
        <v>9.26</v>
      </c>
    </row>
    <row r="1658" customHeight="1" spans="1:10">
      <c r="A1658" s="3">
        <v>1726</v>
      </c>
      <c r="B1658" s="3" t="s">
        <v>575</v>
      </c>
      <c r="C1658" s="3" t="s">
        <v>558</v>
      </c>
      <c r="D1658" s="3"/>
      <c r="E1658" s="3" t="s">
        <v>22</v>
      </c>
      <c r="F1658" s="3">
        <v>0.26</v>
      </c>
      <c r="G1658" s="3">
        <v>480</v>
      </c>
      <c r="H1658" s="3">
        <f t="shared" si="28"/>
        <v>124.8</v>
      </c>
      <c r="I1658" s="3"/>
      <c r="J1658" s="3">
        <v>9.26</v>
      </c>
    </row>
    <row r="1659" customHeight="1" spans="1:10">
      <c r="A1659" s="3">
        <v>1727</v>
      </c>
      <c r="B1659" s="3" t="s">
        <v>569</v>
      </c>
      <c r="C1659" s="3" t="s">
        <v>558</v>
      </c>
      <c r="D1659" s="3" t="s">
        <v>641</v>
      </c>
      <c r="E1659" s="3" t="s">
        <v>22</v>
      </c>
      <c r="F1659" s="3">
        <v>0.09</v>
      </c>
      <c r="G1659" s="3">
        <v>480</v>
      </c>
      <c r="H1659" s="3">
        <f t="shared" si="28"/>
        <v>43.2</v>
      </c>
      <c r="I1659" s="3"/>
      <c r="J1659" s="3">
        <v>9.26</v>
      </c>
    </row>
    <row r="1660" customHeight="1" spans="1:10">
      <c r="A1660" s="3">
        <v>1729</v>
      </c>
      <c r="B1660" s="3" t="s">
        <v>642</v>
      </c>
      <c r="C1660" s="3" t="s">
        <v>558</v>
      </c>
      <c r="D1660" s="3" t="s">
        <v>643</v>
      </c>
      <c r="E1660" s="3" t="s">
        <v>22</v>
      </c>
      <c r="F1660" s="3">
        <v>0.08</v>
      </c>
      <c r="G1660" s="3">
        <v>480</v>
      </c>
      <c r="H1660" s="3">
        <f t="shared" si="28"/>
        <v>38.4</v>
      </c>
      <c r="I1660" s="3"/>
      <c r="J1660" s="3">
        <v>9.26</v>
      </c>
    </row>
    <row r="1661" customHeight="1" spans="1:10">
      <c r="A1661" s="3">
        <v>1730</v>
      </c>
      <c r="B1661" s="3" t="s">
        <v>619</v>
      </c>
      <c r="C1661" s="3" t="s">
        <v>558</v>
      </c>
      <c r="D1661" s="3" t="s">
        <v>643</v>
      </c>
      <c r="E1661" s="3" t="s">
        <v>22</v>
      </c>
      <c r="F1661" s="3">
        <v>0.04</v>
      </c>
      <c r="G1661" s="3">
        <v>480</v>
      </c>
      <c r="H1661" s="3">
        <f t="shared" si="28"/>
        <v>19.2</v>
      </c>
      <c r="I1661" s="3"/>
      <c r="J1661" s="3">
        <v>9.26</v>
      </c>
    </row>
    <row r="1662" customHeight="1" spans="1:10">
      <c r="A1662" s="3">
        <v>1731</v>
      </c>
      <c r="B1662" s="3" t="s">
        <v>589</v>
      </c>
      <c r="C1662" s="3" t="s">
        <v>558</v>
      </c>
      <c r="D1662" s="3" t="s">
        <v>643</v>
      </c>
      <c r="E1662" s="3" t="s">
        <v>22</v>
      </c>
      <c r="F1662" s="3">
        <v>0.09</v>
      </c>
      <c r="G1662" s="3">
        <v>480</v>
      </c>
      <c r="H1662" s="3">
        <f t="shared" si="28"/>
        <v>43.2</v>
      </c>
      <c r="I1662" s="3"/>
      <c r="J1662" s="3">
        <v>9.26</v>
      </c>
    </row>
    <row r="1663" customHeight="1" spans="1:10">
      <c r="A1663" s="3">
        <v>1732</v>
      </c>
      <c r="B1663" s="3" t="s">
        <v>571</v>
      </c>
      <c r="C1663" s="3" t="s">
        <v>558</v>
      </c>
      <c r="D1663" s="3" t="s">
        <v>643</v>
      </c>
      <c r="E1663" s="3" t="s">
        <v>22</v>
      </c>
      <c r="F1663" s="3">
        <v>0.04</v>
      </c>
      <c r="G1663" s="3">
        <v>480</v>
      </c>
      <c r="H1663" s="3">
        <f t="shared" si="28"/>
        <v>19.2</v>
      </c>
      <c r="I1663" s="3"/>
      <c r="J1663" s="3">
        <v>9.26</v>
      </c>
    </row>
    <row r="1664" customHeight="1" spans="1:10">
      <c r="A1664" s="3">
        <v>1733</v>
      </c>
      <c r="B1664" s="3" t="s">
        <v>573</v>
      </c>
      <c r="C1664" s="3" t="s">
        <v>558</v>
      </c>
      <c r="D1664" s="3" t="s">
        <v>643</v>
      </c>
      <c r="E1664" s="3" t="s">
        <v>22</v>
      </c>
      <c r="F1664" s="3">
        <v>0.04</v>
      </c>
      <c r="G1664" s="3">
        <v>480</v>
      </c>
      <c r="H1664" s="3">
        <f t="shared" si="28"/>
        <v>19.2</v>
      </c>
      <c r="I1664" s="3"/>
      <c r="J1664" s="3">
        <v>9.26</v>
      </c>
    </row>
    <row r="1665" customHeight="1" spans="1:10">
      <c r="A1665" s="3">
        <v>1734</v>
      </c>
      <c r="B1665" s="3" t="s">
        <v>575</v>
      </c>
      <c r="C1665" s="3" t="s">
        <v>558</v>
      </c>
      <c r="D1665" s="3" t="s">
        <v>643</v>
      </c>
      <c r="E1665" s="3" t="s">
        <v>22</v>
      </c>
      <c r="F1665" s="3">
        <v>0.12</v>
      </c>
      <c r="G1665" s="3">
        <v>480</v>
      </c>
      <c r="H1665" s="3">
        <f t="shared" si="28"/>
        <v>57.6</v>
      </c>
      <c r="I1665" s="3"/>
      <c r="J1665" s="3">
        <v>9.26</v>
      </c>
    </row>
    <row r="1666" customHeight="1" spans="1:10">
      <c r="A1666" s="3">
        <v>1735</v>
      </c>
      <c r="B1666" s="3" t="s">
        <v>626</v>
      </c>
      <c r="C1666" s="3" t="s">
        <v>558</v>
      </c>
      <c r="D1666" s="3" t="s">
        <v>643</v>
      </c>
      <c r="E1666" s="3" t="s">
        <v>22</v>
      </c>
      <c r="F1666" s="3">
        <v>0.21</v>
      </c>
      <c r="G1666" s="3">
        <v>480</v>
      </c>
      <c r="H1666" s="3">
        <f t="shared" ref="H1666:H1729" si="29">G1666*F1666</f>
        <v>100.8</v>
      </c>
      <c r="I1666" s="3"/>
      <c r="J1666" s="3">
        <v>9.26</v>
      </c>
    </row>
    <row r="1667" customHeight="1" spans="1:10">
      <c r="A1667" s="3">
        <v>1737</v>
      </c>
      <c r="B1667" s="3" t="s">
        <v>586</v>
      </c>
      <c r="C1667" s="3" t="s">
        <v>558</v>
      </c>
      <c r="D1667" s="3" t="s">
        <v>643</v>
      </c>
      <c r="E1667" s="3" t="s">
        <v>22</v>
      </c>
      <c r="F1667" s="3">
        <v>0.18</v>
      </c>
      <c r="G1667" s="3">
        <v>480</v>
      </c>
      <c r="H1667" s="3">
        <f t="shared" si="29"/>
        <v>86.4</v>
      </c>
      <c r="I1667" s="3"/>
      <c r="J1667" s="3">
        <v>9.26</v>
      </c>
    </row>
    <row r="1668" customHeight="1" spans="1:10">
      <c r="A1668" s="3">
        <v>1738</v>
      </c>
      <c r="B1668" s="3" t="s">
        <v>575</v>
      </c>
      <c r="C1668" s="3" t="s">
        <v>558</v>
      </c>
      <c r="D1668" s="3" t="s">
        <v>643</v>
      </c>
      <c r="E1668" s="3" t="s">
        <v>22</v>
      </c>
      <c r="F1668" s="3">
        <v>0.16</v>
      </c>
      <c r="G1668" s="3">
        <v>480</v>
      </c>
      <c r="H1668" s="3">
        <f t="shared" si="29"/>
        <v>76.8</v>
      </c>
      <c r="I1668" s="3"/>
      <c r="J1668" s="3">
        <v>9.26</v>
      </c>
    </row>
    <row r="1669" customHeight="1" spans="1:10">
      <c r="A1669" s="3">
        <v>1740</v>
      </c>
      <c r="B1669" s="3" t="s">
        <v>595</v>
      </c>
      <c r="C1669" s="3" t="s">
        <v>558</v>
      </c>
      <c r="D1669" s="3" t="s">
        <v>644</v>
      </c>
      <c r="E1669" s="3" t="s">
        <v>22</v>
      </c>
      <c r="F1669" s="3">
        <v>0.2</v>
      </c>
      <c r="G1669" s="3">
        <v>480</v>
      </c>
      <c r="H1669" s="3">
        <f t="shared" si="29"/>
        <v>96</v>
      </c>
      <c r="I1669" s="3"/>
      <c r="J1669" s="3">
        <v>9.26</v>
      </c>
    </row>
    <row r="1670" customHeight="1" spans="1:10">
      <c r="A1670" s="3">
        <v>1741</v>
      </c>
      <c r="B1670" s="3" t="s">
        <v>594</v>
      </c>
      <c r="C1670" s="3" t="s">
        <v>558</v>
      </c>
      <c r="D1670" s="3" t="s">
        <v>644</v>
      </c>
      <c r="E1670" s="3" t="s">
        <v>22</v>
      </c>
      <c r="F1670" s="3">
        <v>0.15</v>
      </c>
      <c r="G1670" s="3">
        <v>480</v>
      </c>
      <c r="H1670" s="3">
        <f t="shared" si="29"/>
        <v>72</v>
      </c>
      <c r="I1670" s="3"/>
      <c r="J1670" s="3">
        <v>9.26</v>
      </c>
    </row>
    <row r="1671" customHeight="1" spans="1:10">
      <c r="A1671" s="3">
        <v>1742</v>
      </c>
      <c r="B1671" s="3" t="s">
        <v>593</v>
      </c>
      <c r="C1671" s="3" t="s">
        <v>558</v>
      </c>
      <c r="D1671" s="3" t="s">
        <v>644</v>
      </c>
      <c r="E1671" s="3" t="s">
        <v>22</v>
      </c>
      <c r="F1671" s="3">
        <v>0.14</v>
      </c>
      <c r="G1671" s="3">
        <v>480</v>
      </c>
      <c r="H1671" s="3">
        <f t="shared" si="29"/>
        <v>67.2</v>
      </c>
      <c r="I1671" s="3"/>
      <c r="J1671" s="3">
        <v>9.26</v>
      </c>
    </row>
    <row r="1672" customHeight="1" spans="1:10">
      <c r="A1672" s="3">
        <v>1743</v>
      </c>
      <c r="B1672" s="3" t="s">
        <v>617</v>
      </c>
      <c r="C1672" s="3" t="s">
        <v>558</v>
      </c>
      <c r="D1672" s="3" t="s">
        <v>644</v>
      </c>
      <c r="E1672" s="3" t="s">
        <v>22</v>
      </c>
      <c r="F1672" s="3">
        <v>0.08</v>
      </c>
      <c r="G1672" s="3">
        <v>480</v>
      </c>
      <c r="H1672" s="3">
        <f t="shared" si="29"/>
        <v>38.4</v>
      </c>
      <c r="I1672" s="3"/>
      <c r="J1672" s="3">
        <v>9.26</v>
      </c>
    </row>
    <row r="1673" customHeight="1" spans="1:10">
      <c r="A1673" s="3">
        <v>1744</v>
      </c>
      <c r="B1673" s="3" t="s">
        <v>561</v>
      </c>
      <c r="C1673" s="3" t="s">
        <v>558</v>
      </c>
      <c r="D1673" s="3" t="s">
        <v>644</v>
      </c>
      <c r="E1673" s="3" t="s">
        <v>22</v>
      </c>
      <c r="F1673" s="3">
        <v>0.12</v>
      </c>
      <c r="G1673" s="3">
        <v>480</v>
      </c>
      <c r="H1673" s="3">
        <f t="shared" si="29"/>
        <v>57.6</v>
      </c>
      <c r="I1673" s="3"/>
      <c r="J1673" s="3">
        <v>9.26</v>
      </c>
    </row>
    <row r="1674" customHeight="1" spans="1:10">
      <c r="A1674" s="3">
        <v>1745</v>
      </c>
      <c r="B1674" s="3" t="s">
        <v>573</v>
      </c>
      <c r="C1674" s="3" t="s">
        <v>558</v>
      </c>
      <c r="D1674" s="3" t="s">
        <v>644</v>
      </c>
      <c r="E1674" s="3" t="s">
        <v>22</v>
      </c>
      <c r="F1674" s="3">
        <v>0.27</v>
      </c>
      <c r="G1674" s="3">
        <v>480</v>
      </c>
      <c r="H1674" s="3">
        <f t="shared" si="29"/>
        <v>129.6</v>
      </c>
      <c r="I1674" s="3"/>
      <c r="J1674" s="3">
        <v>9.26</v>
      </c>
    </row>
    <row r="1675" customHeight="1" spans="1:10">
      <c r="A1675" s="3">
        <v>1746</v>
      </c>
      <c r="B1675" s="3" t="s">
        <v>574</v>
      </c>
      <c r="C1675" s="3" t="s">
        <v>558</v>
      </c>
      <c r="D1675" s="3" t="s">
        <v>644</v>
      </c>
      <c r="E1675" s="3" t="s">
        <v>22</v>
      </c>
      <c r="F1675" s="3">
        <v>0.12</v>
      </c>
      <c r="G1675" s="3">
        <v>480</v>
      </c>
      <c r="H1675" s="3">
        <f t="shared" si="29"/>
        <v>57.6</v>
      </c>
      <c r="I1675" s="3"/>
      <c r="J1675" s="3">
        <v>9.26</v>
      </c>
    </row>
    <row r="1676" customHeight="1" spans="1:10">
      <c r="A1676" s="3">
        <v>1747</v>
      </c>
      <c r="B1676" s="3" t="s">
        <v>624</v>
      </c>
      <c r="C1676" s="3" t="s">
        <v>558</v>
      </c>
      <c r="D1676" s="3" t="s">
        <v>644</v>
      </c>
      <c r="E1676" s="3" t="s">
        <v>22</v>
      </c>
      <c r="F1676" s="3">
        <v>0.1</v>
      </c>
      <c r="G1676" s="3">
        <v>480</v>
      </c>
      <c r="H1676" s="3">
        <f t="shared" si="29"/>
        <v>48</v>
      </c>
      <c r="I1676" s="3"/>
      <c r="J1676" s="3">
        <v>9.26</v>
      </c>
    </row>
    <row r="1677" customHeight="1" spans="1:10">
      <c r="A1677" s="3"/>
      <c r="B1677" s="3" t="s">
        <v>597</v>
      </c>
      <c r="C1677" s="3" t="s">
        <v>558</v>
      </c>
      <c r="D1677" s="3" t="s">
        <v>645</v>
      </c>
      <c r="E1677" s="3" t="s">
        <v>22</v>
      </c>
      <c r="F1677" s="3">
        <v>0.33</v>
      </c>
      <c r="G1677" s="3">
        <v>480</v>
      </c>
      <c r="H1677" s="3">
        <f t="shared" si="29"/>
        <v>158.4</v>
      </c>
      <c r="I1677" s="3"/>
      <c r="J1677" s="3">
        <v>9.26</v>
      </c>
    </row>
    <row r="1678" customHeight="1" spans="1:10">
      <c r="A1678" s="3"/>
      <c r="B1678" s="3" t="s">
        <v>561</v>
      </c>
      <c r="C1678" s="3" t="s">
        <v>558</v>
      </c>
      <c r="D1678" s="3" t="s">
        <v>645</v>
      </c>
      <c r="E1678" s="3" t="s">
        <v>22</v>
      </c>
      <c r="F1678" s="3">
        <v>0.34</v>
      </c>
      <c r="G1678" s="3">
        <v>480</v>
      </c>
      <c r="H1678" s="3">
        <f t="shared" si="29"/>
        <v>163.2</v>
      </c>
      <c r="I1678" s="3"/>
      <c r="J1678" s="3">
        <v>9.26</v>
      </c>
    </row>
    <row r="1679" customHeight="1" spans="1:10">
      <c r="A1679" s="3"/>
      <c r="B1679" s="3" t="s">
        <v>569</v>
      </c>
      <c r="C1679" s="3" t="s">
        <v>558</v>
      </c>
      <c r="D1679" s="3" t="s">
        <v>645</v>
      </c>
      <c r="E1679" s="3" t="s">
        <v>22</v>
      </c>
      <c r="F1679" s="3">
        <v>0.1</v>
      </c>
      <c r="G1679" s="3">
        <v>480</v>
      </c>
      <c r="H1679" s="3">
        <f t="shared" si="29"/>
        <v>48</v>
      </c>
      <c r="I1679" s="3"/>
      <c r="J1679" s="3">
        <v>9.26</v>
      </c>
    </row>
    <row r="1680" customHeight="1" spans="1:10">
      <c r="A1680" s="3">
        <v>1749</v>
      </c>
      <c r="B1680" s="3" t="s">
        <v>619</v>
      </c>
      <c r="C1680" s="3" t="s">
        <v>558</v>
      </c>
      <c r="D1680" s="3" t="s">
        <v>646</v>
      </c>
      <c r="E1680" s="3" t="s">
        <v>22</v>
      </c>
      <c r="F1680" s="3">
        <v>0.33</v>
      </c>
      <c r="G1680" s="3">
        <v>480</v>
      </c>
      <c r="H1680" s="3">
        <f t="shared" si="29"/>
        <v>158.4</v>
      </c>
      <c r="I1680" s="3"/>
      <c r="J1680" s="3">
        <v>9.26</v>
      </c>
    </row>
    <row r="1681" customHeight="1" spans="1:10">
      <c r="A1681" s="3">
        <v>1750</v>
      </c>
      <c r="B1681" s="3" t="s">
        <v>619</v>
      </c>
      <c r="C1681" s="3" t="s">
        <v>558</v>
      </c>
      <c r="D1681" s="3" t="s">
        <v>647</v>
      </c>
      <c r="E1681" s="3" t="s">
        <v>22</v>
      </c>
      <c r="F1681" s="3">
        <v>0.27</v>
      </c>
      <c r="G1681" s="3">
        <v>480</v>
      </c>
      <c r="H1681" s="3">
        <f t="shared" si="29"/>
        <v>129.6</v>
      </c>
      <c r="I1681" s="3"/>
      <c r="J1681" s="3">
        <v>9.26</v>
      </c>
    </row>
    <row r="1682" customHeight="1" spans="1:10">
      <c r="A1682" s="3">
        <v>1751</v>
      </c>
      <c r="B1682" s="3" t="s">
        <v>591</v>
      </c>
      <c r="C1682" s="3" t="s">
        <v>558</v>
      </c>
      <c r="D1682" s="3" t="s">
        <v>647</v>
      </c>
      <c r="E1682" s="3" t="s">
        <v>22</v>
      </c>
      <c r="F1682" s="3">
        <v>0.27</v>
      </c>
      <c r="G1682" s="3">
        <v>480</v>
      </c>
      <c r="H1682" s="3">
        <f t="shared" si="29"/>
        <v>129.6</v>
      </c>
      <c r="I1682" s="3"/>
      <c r="J1682" s="3">
        <v>9.26</v>
      </c>
    </row>
    <row r="1683" customHeight="1" spans="1:10">
      <c r="A1683" s="3">
        <v>1752</v>
      </c>
      <c r="B1683" s="3" t="s">
        <v>599</v>
      </c>
      <c r="C1683" s="3" t="s">
        <v>558</v>
      </c>
      <c r="D1683" s="3" t="s">
        <v>647</v>
      </c>
      <c r="E1683" s="3" t="s">
        <v>22</v>
      </c>
      <c r="F1683" s="3">
        <v>0.35</v>
      </c>
      <c r="G1683" s="3">
        <v>480</v>
      </c>
      <c r="H1683" s="3">
        <f t="shared" si="29"/>
        <v>168</v>
      </c>
      <c r="I1683" s="3"/>
      <c r="J1683" s="3">
        <v>9.26</v>
      </c>
    </row>
    <row r="1684" customHeight="1" spans="1:10">
      <c r="A1684" s="3">
        <v>1753</v>
      </c>
      <c r="B1684" s="3" t="s">
        <v>591</v>
      </c>
      <c r="C1684" s="3" t="s">
        <v>558</v>
      </c>
      <c r="D1684" s="3" t="s">
        <v>647</v>
      </c>
      <c r="E1684" s="3" t="s">
        <v>22</v>
      </c>
      <c r="F1684" s="3">
        <v>0.11</v>
      </c>
      <c r="G1684" s="3">
        <v>480</v>
      </c>
      <c r="H1684" s="3">
        <f t="shared" si="29"/>
        <v>52.8</v>
      </c>
      <c r="I1684" s="3"/>
      <c r="J1684" s="3">
        <v>9.26</v>
      </c>
    </row>
    <row r="1685" customHeight="1" spans="1:10">
      <c r="A1685" s="3">
        <v>1754</v>
      </c>
      <c r="B1685" s="3" t="s">
        <v>591</v>
      </c>
      <c r="C1685" s="3" t="s">
        <v>558</v>
      </c>
      <c r="D1685" s="3"/>
      <c r="E1685" s="3" t="s">
        <v>22</v>
      </c>
      <c r="F1685" s="3">
        <v>0.2</v>
      </c>
      <c r="G1685" s="3">
        <v>480</v>
      </c>
      <c r="H1685" s="3">
        <f t="shared" si="29"/>
        <v>96</v>
      </c>
      <c r="I1685" s="3"/>
      <c r="J1685" s="3">
        <v>9.26</v>
      </c>
    </row>
    <row r="1686" customHeight="1" spans="1:10">
      <c r="A1686" s="3">
        <v>1755</v>
      </c>
      <c r="B1686" s="3" t="s">
        <v>599</v>
      </c>
      <c r="C1686" s="3" t="s">
        <v>558</v>
      </c>
      <c r="D1686" s="3"/>
      <c r="E1686" s="3" t="s">
        <v>22</v>
      </c>
      <c r="F1686" s="3">
        <v>0.47</v>
      </c>
      <c r="G1686" s="3">
        <v>480</v>
      </c>
      <c r="H1686" s="3">
        <f t="shared" si="29"/>
        <v>225.6</v>
      </c>
      <c r="I1686" s="3"/>
      <c r="J1686" s="3">
        <v>9.26</v>
      </c>
    </row>
    <row r="1687" customHeight="1" spans="1:10">
      <c r="A1687" s="3">
        <v>1756</v>
      </c>
      <c r="B1687" s="3" t="s">
        <v>599</v>
      </c>
      <c r="C1687" s="3" t="s">
        <v>558</v>
      </c>
      <c r="D1687" s="3"/>
      <c r="E1687" s="3" t="s">
        <v>22</v>
      </c>
      <c r="F1687" s="3">
        <v>0.19</v>
      </c>
      <c r="G1687" s="3">
        <v>480</v>
      </c>
      <c r="H1687" s="3">
        <f t="shared" si="29"/>
        <v>91.2</v>
      </c>
      <c r="I1687" s="3"/>
      <c r="J1687" s="3">
        <v>9.26</v>
      </c>
    </row>
    <row r="1688" customHeight="1" spans="1:10">
      <c r="A1688" s="3">
        <v>1757</v>
      </c>
      <c r="B1688" s="3" t="s">
        <v>561</v>
      </c>
      <c r="C1688" s="3" t="s">
        <v>558</v>
      </c>
      <c r="D1688" s="3" t="s">
        <v>648</v>
      </c>
      <c r="E1688" s="3" t="s">
        <v>22</v>
      </c>
      <c r="F1688" s="3">
        <v>0.39</v>
      </c>
      <c r="G1688" s="3">
        <v>480</v>
      </c>
      <c r="H1688" s="3">
        <f t="shared" si="29"/>
        <v>187.2</v>
      </c>
      <c r="I1688" s="3"/>
      <c r="J1688" s="3">
        <v>9.26</v>
      </c>
    </row>
    <row r="1689" customHeight="1" spans="1:10">
      <c r="A1689" s="3">
        <v>1758</v>
      </c>
      <c r="B1689" s="3" t="s">
        <v>557</v>
      </c>
      <c r="C1689" s="3" t="s">
        <v>558</v>
      </c>
      <c r="D1689" s="3" t="s">
        <v>648</v>
      </c>
      <c r="E1689" s="3" t="s">
        <v>22</v>
      </c>
      <c r="F1689" s="3">
        <v>0.35</v>
      </c>
      <c r="G1689" s="3">
        <v>480</v>
      </c>
      <c r="H1689" s="3">
        <f t="shared" si="29"/>
        <v>168</v>
      </c>
      <c r="I1689" s="3"/>
      <c r="J1689" s="3">
        <v>9.26</v>
      </c>
    </row>
    <row r="1690" customHeight="1" spans="1:10">
      <c r="A1690" s="3">
        <v>1759</v>
      </c>
      <c r="B1690" s="3" t="s">
        <v>615</v>
      </c>
      <c r="C1690" s="3" t="s">
        <v>558</v>
      </c>
      <c r="D1690" s="3" t="s">
        <v>648</v>
      </c>
      <c r="E1690" s="3" t="s">
        <v>22</v>
      </c>
      <c r="F1690" s="3">
        <v>0.08</v>
      </c>
      <c r="G1690" s="3">
        <v>480</v>
      </c>
      <c r="H1690" s="3">
        <f t="shared" si="29"/>
        <v>38.4</v>
      </c>
      <c r="I1690" s="3"/>
      <c r="J1690" s="3">
        <v>9.26</v>
      </c>
    </row>
    <row r="1691" customHeight="1" spans="1:10">
      <c r="A1691" s="3">
        <v>1760</v>
      </c>
      <c r="B1691" s="3" t="s">
        <v>649</v>
      </c>
      <c r="C1691" s="3" t="s">
        <v>558</v>
      </c>
      <c r="D1691" s="3" t="s">
        <v>648</v>
      </c>
      <c r="E1691" s="3" t="s">
        <v>22</v>
      </c>
      <c r="F1691" s="3">
        <v>0.7</v>
      </c>
      <c r="G1691" s="3">
        <v>480</v>
      </c>
      <c r="H1691" s="3">
        <f t="shared" si="29"/>
        <v>336</v>
      </c>
      <c r="I1691" s="3"/>
      <c r="J1691" s="3">
        <v>9.26</v>
      </c>
    </row>
    <row r="1692" customHeight="1" spans="1:10">
      <c r="A1692" s="3">
        <v>1761</v>
      </c>
      <c r="B1692" s="3" t="s">
        <v>650</v>
      </c>
      <c r="C1692" s="3" t="s">
        <v>558</v>
      </c>
      <c r="D1692" s="3" t="s">
        <v>648</v>
      </c>
      <c r="E1692" s="3" t="s">
        <v>22</v>
      </c>
      <c r="F1692" s="3">
        <v>0.2</v>
      </c>
      <c r="G1692" s="3">
        <v>480</v>
      </c>
      <c r="H1692" s="3">
        <f t="shared" si="29"/>
        <v>96</v>
      </c>
      <c r="I1692" s="3"/>
      <c r="J1692" s="3">
        <v>9.26</v>
      </c>
    </row>
    <row r="1693" customHeight="1" spans="1:10">
      <c r="A1693" s="3">
        <v>1762</v>
      </c>
      <c r="B1693" s="3" t="s">
        <v>565</v>
      </c>
      <c r="C1693" s="3" t="s">
        <v>558</v>
      </c>
      <c r="D1693" s="3" t="s">
        <v>648</v>
      </c>
      <c r="E1693" s="3" t="s">
        <v>22</v>
      </c>
      <c r="F1693" s="3">
        <v>0.3</v>
      </c>
      <c r="G1693" s="3">
        <v>480</v>
      </c>
      <c r="H1693" s="3">
        <f t="shared" si="29"/>
        <v>144</v>
      </c>
      <c r="I1693" s="3"/>
      <c r="J1693" s="3">
        <v>9.26</v>
      </c>
    </row>
    <row r="1694" customHeight="1" spans="1:10">
      <c r="A1694" s="3">
        <v>1763</v>
      </c>
      <c r="B1694" s="3" t="s">
        <v>589</v>
      </c>
      <c r="C1694" s="3" t="s">
        <v>558</v>
      </c>
      <c r="D1694" s="3" t="s">
        <v>648</v>
      </c>
      <c r="E1694" s="3" t="s">
        <v>22</v>
      </c>
      <c r="F1694" s="3">
        <v>0.25</v>
      </c>
      <c r="G1694" s="3">
        <v>480</v>
      </c>
      <c r="H1694" s="3">
        <f t="shared" si="29"/>
        <v>120</v>
      </c>
      <c r="I1694" s="3"/>
      <c r="J1694" s="3">
        <v>9.26</v>
      </c>
    </row>
    <row r="1695" customHeight="1" spans="1:10">
      <c r="A1695" s="3">
        <v>1765</v>
      </c>
      <c r="B1695" s="3" t="s">
        <v>619</v>
      </c>
      <c r="C1695" s="3" t="s">
        <v>558</v>
      </c>
      <c r="D1695" s="3" t="s">
        <v>651</v>
      </c>
      <c r="E1695" s="3" t="s">
        <v>22</v>
      </c>
      <c r="F1695" s="3">
        <v>0.35</v>
      </c>
      <c r="G1695" s="3">
        <v>480</v>
      </c>
      <c r="H1695" s="3">
        <f t="shared" si="29"/>
        <v>168</v>
      </c>
      <c r="I1695" s="3"/>
      <c r="J1695" s="3">
        <v>9.26</v>
      </c>
    </row>
    <row r="1696" customHeight="1" spans="1:10">
      <c r="A1696" s="3">
        <v>1766</v>
      </c>
      <c r="B1696" s="3" t="s">
        <v>570</v>
      </c>
      <c r="C1696" s="3" t="s">
        <v>558</v>
      </c>
      <c r="D1696" s="3" t="s">
        <v>328</v>
      </c>
      <c r="E1696" s="3" t="s">
        <v>22</v>
      </c>
      <c r="F1696" s="3">
        <v>0.15</v>
      </c>
      <c r="G1696" s="3">
        <v>480</v>
      </c>
      <c r="H1696" s="3">
        <f t="shared" si="29"/>
        <v>72</v>
      </c>
      <c r="I1696" s="3"/>
      <c r="J1696" s="3">
        <v>9.26</v>
      </c>
    </row>
    <row r="1697" customHeight="1" spans="1:10">
      <c r="A1697" s="3">
        <v>1767</v>
      </c>
      <c r="B1697" s="3" t="s">
        <v>615</v>
      </c>
      <c r="C1697" s="3" t="s">
        <v>558</v>
      </c>
      <c r="D1697" s="3" t="s">
        <v>652</v>
      </c>
      <c r="E1697" s="3" t="s">
        <v>22</v>
      </c>
      <c r="F1697" s="3">
        <v>0.23</v>
      </c>
      <c r="G1697" s="3">
        <v>480</v>
      </c>
      <c r="H1697" s="3">
        <f t="shared" si="29"/>
        <v>110.4</v>
      </c>
      <c r="I1697" s="3"/>
      <c r="J1697" s="3">
        <v>9.26</v>
      </c>
    </row>
    <row r="1698" customHeight="1" spans="1:10">
      <c r="A1698" s="3">
        <v>1769</v>
      </c>
      <c r="B1698" s="3" t="s">
        <v>653</v>
      </c>
      <c r="C1698" s="3" t="s">
        <v>558</v>
      </c>
      <c r="D1698" s="3" t="s">
        <v>285</v>
      </c>
      <c r="E1698" s="3" t="s">
        <v>22</v>
      </c>
      <c r="F1698" s="3">
        <v>0.15</v>
      </c>
      <c r="G1698" s="3">
        <v>480</v>
      </c>
      <c r="H1698" s="3">
        <f t="shared" si="29"/>
        <v>72</v>
      </c>
      <c r="I1698" s="3"/>
      <c r="J1698" s="3">
        <v>9.26</v>
      </c>
    </row>
    <row r="1699" customHeight="1" spans="1:10">
      <c r="A1699" s="3">
        <v>1770</v>
      </c>
      <c r="B1699" s="3" t="s">
        <v>557</v>
      </c>
      <c r="C1699" s="3" t="s">
        <v>558</v>
      </c>
      <c r="D1699" s="3" t="s">
        <v>618</v>
      </c>
      <c r="E1699" s="3" t="s">
        <v>22</v>
      </c>
      <c r="F1699" s="3">
        <v>0.54</v>
      </c>
      <c r="G1699" s="3">
        <v>480</v>
      </c>
      <c r="H1699" s="3">
        <f t="shared" si="29"/>
        <v>259.2</v>
      </c>
      <c r="I1699" s="3"/>
      <c r="J1699" s="3">
        <v>9.26</v>
      </c>
    </row>
    <row r="1700" customHeight="1" spans="1:10">
      <c r="A1700" s="3">
        <v>1771</v>
      </c>
      <c r="B1700" s="3" t="s">
        <v>624</v>
      </c>
      <c r="C1700" s="3" t="s">
        <v>558</v>
      </c>
      <c r="D1700" s="3" t="s">
        <v>618</v>
      </c>
      <c r="E1700" s="3" t="s">
        <v>22</v>
      </c>
      <c r="F1700" s="3">
        <v>0.3</v>
      </c>
      <c r="G1700" s="3">
        <v>480</v>
      </c>
      <c r="H1700" s="3">
        <f t="shared" si="29"/>
        <v>144</v>
      </c>
      <c r="I1700" s="3"/>
      <c r="J1700" s="3">
        <v>9.26</v>
      </c>
    </row>
    <row r="1701" customHeight="1" spans="1:10">
      <c r="A1701" s="3">
        <v>1772</v>
      </c>
      <c r="B1701" s="3" t="s">
        <v>642</v>
      </c>
      <c r="C1701" s="3" t="s">
        <v>558</v>
      </c>
      <c r="D1701" s="3" t="s">
        <v>328</v>
      </c>
      <c r="E1701" s="3" t="s">
        <v>22</v>
      </c>
      <c r="F1701" s="3">
        <v>0.14</v>
      </c>
      <c r="G1701" s="3">
        <v>480</v>
      </c>
      <c r="H1701" s="3">
        <f t="shared" si="29"/>
        <v>67.2</v>
      </c>
      <c r="I1701" s="3"/>
      <c r="J1701" s="3">
        <v>9.26</v>
      </c>
    </row>
    <row r="1702" customHeight="1" spans="1:10">
      <c r="A1702" s="3">
        <v>1773</v>
      </c>
      <c r="B1702" s="1" t="s">
        <v>654</v>
      </c>
      <c r="C1702" s="3" t="s">
        <v>558</v>
      </c>
      <c r="D1702" s="3" t="s">
        <v>328</v>
      </c>
      <c r="E1702" s="3" t="s">
        <v>22</v>
      </c>
      <c r="F1702" s="1">
        <v>0.04</v>
      </c>
      <c r="G1702" s="3">
        <v>480</v>
      </c>
      <c r="H1702" s="3">
        <f t="shared" si="29"/>
        <v>19.2</v>
      </c>
      <c r="J1702" s="3">
        <v>9.26</v>
      </c>
    </row>
    <row r="1703" customHeight="1" spans="1:10">
      <c r="A1703" s="3">
        <v>1774</v>
      </c>
      <c r="B1703" s="1" t="s">
        <v>594</v>
      </c>
      <c r="C1703" s="3" t="s">
        <v>558</v>
      </c>
      <c r="D1703" s="3" t="s">
        <v>328</v>
      </c>
      <c r="E1703" s="3" t="s">
        <v>22</v>
      </c>
      <c r="F1703" s="1">
        <v>0.04</v>
      </c>
      <c r="G1703" s="3">
        <v>480</v>
      </c>
      <c r="H1703" s="3">
        <f t="shared" si="29"/>
        <v>19.2</v>
      </c>
      <c r="J1703" s="3">
        <v>9.26</v>
      </c>
    </row>
    <row r="1704" customHeight="1" spans="1:10">
      <c r="A1704" s="3">
        <v>1775</v>
      </c>
      <c r="B1704" s="1" t="s">
        <v>569</v>
      </c>
      <c r="C1704" s="3" t="s">
        <v>558</v>
      </c>
      <c r="D1704" s="3" t="s">
        <v>328</v>
      </c>
      <c r="E1704" s="3" t="s">
        <v>22</v>
      </c>
      <c r="F1704" s="1">
        <v>0.3</v>
      </c>
      <c r="G1704" s="3">
        <v>480</v>
      </c>
      <c r="H1704" s="3">
        <f t="shared" si="29"/>
        <v>144</v>
      </c>
      <c r="J1704" s="3">
        <v>9.26</v>
      </c>
    </row>
    <row r="1705" customHeight="1" spans="1:10">
      <c r="A1705" s="3">
        <v>1776</v>
      </c>
      <c r="B1705" s="1" t="s">
        <v>601</v>
      </c>
      <c r="C1705" s="3" t="s">
        <v>558</v>
      </c>
      <c r="D1705" s="3" t="s">
        <v>328</v>
      </c>
      <c r="E1705" s="3" t="s">
        <v>22</v>
      </c>
      <c r="F1705" s="1">
        <v>0.11</v>
      </c>
      <c r="G1705" s="3">
        <v>480</v>
      </c>
      <c r="H1705" s="3">
        <f t="shared" si="29"/>
        <v>52.8</v>
      </c>
      <c r="J1705" s="3">
        <v>9.26</v>
      </c>
    </row>
    <row r="1706" customHeight="1" spans="1:10">
      <c r="A1706" s="3">
        <v>1777</v>
      </c>
      <c r="B1706" s="1" t="s">
        <v>586</v>
      </c>
      <c r="C1706" s="3" t="s">
        <v>558</v>
      </c>
      <c r="D1706" s="3" t="s">
        <v>328</v>
      </c>
      <c r="E1706" s="3" t="s">
        <v>22</v>
      </c>
      <c r="F1706" s="1">
        <v>0.16</v>
      </c>
      <c r="G1706" s="3">
        <v>480</v>
      </c>
      <c r="H1706" s="3">
        <f t="shared" si="29"/>
        <v>76.8</v>
      </c>
      <c r="J1706" s="3">
        <v>9.26</v>
      </c>
    </row>
    <row r="1707" customHeight="1" spans="1:10">
      <c r="A1707" s="3">
        <v>1778</v>
      </c>
      <c r="B1707" s="1" t="s">
        <v>565</v>
      </c>
      <c r="C1707" s="3" t="s">
        <v>558</v>
      </c>
      <c r="D1707" s="3" t="s">
        <v>328</v>
      </c>
      <c r="E1707" s="3" t="s">
        <v>22</v>
      </c>
      <c r="F1707" s="1">
        <v>0.33</v>
      </c>
      <c r="G1707" s="3">
        <v>480</v>
      </c>
      <c r="H1707" s="3">
        <f t="shared" si="29"/>
        <v>158.4</v>
      </c>
      <c r="J1707" s="3">
        <v>9.26</v>
      </c>
    </row>
    <row r="1708" customHeight="1" spans="1:10">
      <c r="A1708" s="3"/>
      <c r="B1708" s="1"/>
      <c r="C1708" s="3"/>
      <c r="D1708" s="3"/>
      <c r="E1708" s="3"/>
      <c r="F1708" s="1"/>
      <c r="G1708" s="3"/>
      <c r="H1708" s="3"/>
      <c r="J1708" s="3"/>
    </row>
    <row r="1709" customHeight="1" spans="1:10">
      <c r="A1709" s="3">
        <v>1781</v>
      </c>
      <c r="B1709" s="1" t="s">
        <v>561</v>
      </c>
      <c r="C1709" s="3" t="s">
        <v>558</v>
      </c>
      <c r="D1709" s="1" t="s">
        <v>655</v>
      </c>
      <c r="E1709" s="3" t="s">
        <v>22</v>
      </c>
      <c r="F1709" s="1">
        <v>0.67</v>
      </c>
      <c r="G1709" s="3">
        <v>480</v>
      </c>
      <c r="H1709" s="3">
        <f t="shared" si="29"/>
        <v>321.6</v>
      </c>
      <c r="J1709" s="3">
        <v>9.26</v>
      </c>
    </row>
    <row r="1710" customHeight="1" spans="1:10">
      <c r="A1710" s="3">
        <v>1782</v>
      </c>
      <c r="B1710" s="1" t="s">
        <v>597</v>
      </c>
      <c r="C1710" s="3" t="s">
        <v>558</v>
      </c>
      <c r="D1710" s="1" t="s">
        <v>655</v>
      </c>
      <c r="E1710" s="3" t="s">
        <v>22</v>
      </c>
      <c r="F1710" s="1">
        <v>0.83</v>
      </c>
      <c r="G1710" s="3">
        <v>480</v>
      </c>
      <c r="H1710" s="3">
        <f t="shared" si="29"/>
        <v>398.4</v>
      </c>
      <c r="J1710" s="3">
        <v>9.26</v>
      </c>
    </row>
    <row r="1711" customHeight="1" spans="1:10">
      <c r="A1711" s="3">
        <v>1783</v>
      </c>
      <c r="B1711" s="1" t="s">
        <v>587</v>
      </c>
      <c r="C1711" s="3" t="s">
        <v>558</v>
      </c>
      <c r="D1711" s="1" t="s">
        <v>604</v>
      </c>
      <c r="E1711" s="3" t="s">
        <v>22</v>
      </c>
      <c r="F1711" s="1">
        <v>0.58</v>
      </c>
      <c r="G1711" s="3">
        <v>480</v>
      </c>
      <c r="H1711" s="3">
        <f t="shared" si="29"/>
        <v>278.4</v>
      </c>
      <c r="J1711" s="3">
        <v>9.26</v>
      </c>
    </row>
    <row r="1712" customHeight="1" spans="1:10">
      <c r="A1712" s="3">
        <v>1784</v>
      </c>
      <c r="B1712" s="1" t="s">
        <v>569</v>
      </c>
      <c r="C1712" s="3" t="s">
        <v>558</v>
      </c>
      <c r="D1712" s="1" t="s">
        <v>604</v>
      </c>
      <c r="E1712" s="3" t="s">
        <v>22</v>
      </c>
      <c r="F1712" s="1">
        <v>0.89</v>
      </c>
      <c r="G1712" s="3">
        <v>480</v>
      </c>
      <c r="H1712" s="3">
        <f t="shared" si="29"/>
        <v>427.2</v>
      </c>
      <c r="J1712" s="3">
        <v>9.26</v>
      </c>
    </row>
    <row r="1713" customHeight="1" spans="1:10">
      <c r="A1713" s="3">
        <v>1785</v>
      </c>
      <c r="B1713" s="1" t="s">
        <v>624</v>
      </c>
      <c r="C1713" s="3" t="s">
        <v>558</v>
      </c>
      <c r="D1713" s="1" t="s">
        <v>604</v>
      </c>
      <c r="E1713" s="3" t="s">
        <v>22</v>
      </c>
      <c r="F1713" s="1">
        <v>0.28</v>
      </c>
      <c r="G1713" s="3">
        <v>480</v>
      </c>
      <c r="H1713" s="3">
        <f t="shared" si="29"/>
        <v>134.4</v>
      </c>
      <c r="J1713" s="3">
        <v>9.26</v>
      </c>
    </row>
    <row r="1714" customHeight="1" spans="1:10">
      <c r="A1714" s="3">
        <v>1787</v>
      </c>
      <c r="B1714" s="1" t="s">
        <v>656</v>
      </c>
      <c r="C1714" s="3" t="s">
        <v>558</v>
      </c>
      <c r="D1714" s="1" t="s">
        <v>604</v>
      </c>
      <c r="E1714" s="3" t="s">
        <v>22</v>
      </c>
      <c r="F1714" s="1">
        <v>0.31</v>
      </c>
      <c r="G1714" s="3">
        <v>480</v>
      </c>
      <c r="H1714" s="3">
        <f t="shared" si="29"/>
        <v>148.8</v>
      </c>
      <c r="J1714" s="3">
        <v>9.26</v>
      </c>
    </row>
    <row r="1715" customHeight="1" spans="1:10">
      <c r="A1715" s="3">
        <v>1788</v>
      </c>
      <c r="B1715" s="1" t="s">
        <v>626</v>
      </c>
      <c r="C1715" s="3" t="s">
        <v>558</v>
      </c>
      <c r="D1715" s="1" t="s">
        <v>604</v>
      </c>
      <c r="E1715" s="3" t="s">
        <v>22</v>
      </c>
      <c r="F1715" s="1">
        <v>0.43</v>
      </c>
      <c r="G1715" s="3">
        <v>480</v>
      </c>
      <c r="H1715" s="3">
        <f t="shared" si="29"/>
        <v>206.4</v>
      </c>
      <c r="J1715" s="3">
        <v>9.26</v>
      </c>
    </row>
    <row r="1716" customHeight="1" spans="1:10">
      <c r="A1716" s="3">
        <v>1789</v>
      </c>
      <c r="B1716" s="1" t="s">
        <v>569</v>
      </c>
      <c r="C1716" s="3" t="s">
        <v>558</v>
      </c>
      <c r="D1716" s="1" t="s">
        <v>657</v>
      </c>
      <c r="E1716" s="3" t="s">
        <v>22</v>
      </c>
      <c r="F1716" s="1">
        <v>0.45</v>
      </c>
      <c r="G1716" s="3">
        <v>480</v>
      </c>
      <c r="H1716" s="3">
        <f t="shared" si="29"/>
        <v>216</v>
      </c>
      <c r="J1716" s="3">
        <v>9.26</v>
      </c>
    </row>
    <row r="1717" customHeight="1" spans="1:10">
      <c r="A1717" s="3">
        <v>1790</v>
      </c>
      <c r="B1717" s="1" t="s">
        <v>656</v>
      </c>
      <c r="C1717" s="3" t="s">
        <v>558</v>
      </c>
      <c r="D1717" s="1" t="s">
        <v>657</v>
      </c>
      <c r="E1717" s="3" t="s">
        <v>22</v>
      </c>
      <c r="F1717" s="1">
        <v>0.47</v>
      </c>
      <c r="G1717" s="3">
        <v>480</v>
      </c>
      <c r="H1717" s="3">
        <f t="shared" si="29"/>
        <v>225.6</v>
      </c>
      <c r="J1717" s="3">
        <v>9.26</v>
      </c>
    </row>
    <row r="1718" customHeight="1" spans="1:10">
      <c r="A1718" s="3">
        <v>1791</v>
      </c>
      <c r="B1718" s="1" t="s">
        <v>580</v>
      </c>
      <c r="C1718" s="3" t="s">
        <v>558</v>
      </c>
      <c r="D1718" s="1" t="s">
        <v>657</v>
      </c>
      <c r="E1718" s="3" t="s">
        <v>22</v>
      </c>
      <c r="F1718" s="1">
        <v>0.67</v>
      </c>
      <c r="G1718" s="3">
        <v>480</v>
      </c>
      <c r="H1718" s="3">
        <f t="shared" si="29"/>
        <v>321.6</v>
      </c>
      <c r="J1718" s="3">
        <v>9.26</v>
      </c>
    </row>
    <row r="1719" customHeight="1" spans="1:10">
      <c r="A1719" s="3">
        <v>1792</v>
      </c>
      <c r="B1719" s="1" t="s">
        <v>567</v>
      </c>
      <c r="C1719" s="3" t="s">
        <v>558</v>
      </c>
      <c r="D1719" s="1" t="s">
        <v>657</v>
      </c>
      <c r="E1719" s="3" t="s">
        <v>22</v>
      </c>
      <c r="F1719" s="1">
        <v>0.6</v>
      </c>
      <c r="G1719" s="3">
        <v>480</v>
      </c>
      <c r="H1719" s="3">
        <f t="shared" si="29"/>
        <v>288</v>
      </c>
      <c r="I1719" s="3" t="s">
        <v>25</v>
      </c>
      <c r="J1719" s="3">
        <v>9.26</v>
      </c>
    </row>
    <row r="1720" customHeight="1" spans="1:10">
      <c r="A1720" s="3">
        <v>1793</v>
      </c>
      <c r="B1720" s="1" t="s">
        <v>626</v>
      </c>
      <c r="C1720" s="3" t="s">
        <v>558</v>
      </c>
      <c r="D1720" s="1" t="s">
        <v>657</v>
      </c>
      <c r="E1720" s="3" t="s">
        <v>22</v>
      </c>
      <c r="F1720" s="1">
        <v>0.87</v>
      </c>
      <c r="G1720" s="3">
        <v>480</v>
      </c>
      <c r="H1720" s="3">
        <f t="shared" si="29"/>
        <v>417.6</v>
      </c>
      <c r="J1720" s="3">
        <v>9.26</v>
      </c>
    </row>
    <row r="1721" customHeight="1" spans="1:10">
      <c r="A1721" s="3">
        <v>1794</v>
      </c>
      <c r="B1721" s="1" t="s">
        <v>656</v>
      </c>
      <c r="C1721" s="3" t="s">
        <v>558</v>
      </c>
      <c r="D1721" s="1" t="s">
        <v>657</v>
      </c>
      <c r="E1721" s="3" t="s">
        <v>22</v>
      </c>
      <c r="F1721" s="1">
        <v>0.13</v>
      </c>
      <c r="G1721" s="3">
        <v>480</v>
      </c>
      <c r="H1721" s="3">
        <f t="shared" si="29"/>
        <v>62.4</v>
      </c>
      <c r="J1721" s="3">
        <v>9.26</v>
      </c>
    </row>
    <row r="1722" customHeight="1" spans="1:10">
      <c r="A1722" s="3">
        <v>1795</v>
      </c>
      <c r="B1722" s="1" t="s">
        <v>587</v>
      </c>
      <c r="C1722" s="3" t="s">
        <v>558</v>
      </c>
      <c r="D1722" s="1" t="s">
        <v>658</v>
      </c>
      <c r="E1722" s="3" t="s">
        <v>22</v>
      </c>
      <c r="F1722" s="1">
        <v>1.8</v>
      </c>
      <c r="G1722" s="3">
        <v>480</v>
      </c>
      <c r="H1722" s="3">
        <f t="shared" si="29"/>
        <v>864</v>
      </c>
      <c r="J1722" s="3">
        <v>9.26</v>
      </c>
    </row>
    <row r="1723" customHeight="1" spans="1:10">
      <c r="A1723" s="3">
        <v>1796</v>
      </c>
      <c r="B1723" s="1" t="s">
        <v>567</v>
      </c>
      <c r="C1723" s="3" t="s">
        <v>558</v>
      </c>
      <c r="D1723" s="1" t="s">
        <v>658</v>
      </c>
      <c r="E1723" s="3" t="s">
        <v>22</v>
      </c>
      <c r="F1723" s="1">
        <v>0.32</v>
      </c>
      <c r="G1723" s="3">
        <v>480</v>
      </c>
      <c r="H1723" s="3">
        <f t="shared" si="29"/>
        <v>153.6</v>
      </c>
      <c r="I1723" s="3" t="s">
        <v>25</v>
      </c>
      <c r="J1723" s="3">
        <v>9.26</v>
      </c>
    </row>
    <row r="1724" customHeight="1" spans="1:10">
      <c r="A1724" s="3">
        <v>1797</v>
      </c>
      <c r="B1724" s="1" t="s">
        <v>569</v>
      </c>
      <c r="C1724" s="3" t="s">
        <v>558</v>
      </c>
      <c r="D1724" s="1" t="s">
        <v>659</v>
      </c>
      <c r="E1724" s="3" t="s">
        <v>22</v>
      </c>
      <c r="F1724" s="1">
        <v>1.36</v>
      </c>
      <c r="G1724" s="3">
        <v>480</v>
      </c>
      <c r="H1724" s="3">
        <f t="shared" si="29"/>
        <v>652.8</v>
      </c>
      <c r="J1724" s="3">
        <v>9.26</v>
      </c>
    </row>
    <row r="1725" customHeight="1" spans="1:10">
      <c r="A1725" s="3">
        <v>1798</v>
      </c>
      <c r="B1725" s="1" t="s">
        <v>569</v>
      </c>
      <c r="C1725" s="3" t="s">
        <v>558</v>
      </c>
      <c r="D1725" s="1" t="s">
        <v>658</v>
      </c>
      <c r="E1725" s="3" t="s">
        <v>22</v>
      </c>
      <c r="F1725" s="1">
        <v>0.49</v>
      </c>
      <c r="G1725" s="3">
        <v>480</v>
      </c>
      <c r="H1725" s="3">
        <f t="shared" si="29"/>
        <v>235.2</v>
      </c>
      <c r="J1725" s="3">
        <v>9.26</v>
      </c>
    </row>
    <row r="1726" customHeight="1" spans="1:10">
      <c r="A1726" s="3">
        <v>1799</v>
      </c>
      <c r="B1726" s="1" t="s">
        <v>569</v>
      </c>
      <c r="C1726" s="3" t="s">
        <v>558</v>
      </c>
      <c r="D1726" s="1" t="s">
        <v>660</v>
      </c>
      <c r="E1726" s="3" t="s">
        <v>22</v>
      </c>
      <c r="F1726" s="1">
        <v>0.58</v>
      </c>
      <c r="G1726" s="3">
        <v>480</v>
      </c>
      <c r="H1726" s="3">
        <f t="shared" si="29"/>
        <v>278.4</v>
      </c>
      <c r="J1726" s="3">
        <v>9.26</v>
      </c>
    </row>
    <row r="1727" customHeight="1" spans="1:10">
      <c r="A1727" s="3">
        <v>1800</v>
      </c>
      <c r="B1727" s="1" t="s">
        <v>601</v>
      </c>
      <c r="C1727" s="3" t="s">
        <v>558</v>
      </c>
      <c r="D1727" s="1" t="s">
        <v>661</v>
      </c>
      <c r="E1727" s="3" t="s">
        <v>22</v>
      </c>
      <c r="F1727" s="1">
        <v>0.28</v>
      </c>
      <c r="G1727" s="3">
        <v>480</v>
      </c>
      <c r="H1727" s="3">
        <f t="shared" si="29"/>
        <v>134.4</v>
      </c>
      <c r="J1727" s="3">
        <v>9.26</v>
      </c>
    </row>
    <row r="1728" customHeight="1" spans="1:10">
      <c r="A1728" s="3">
        <v>1801</v>
      </c>
      <c r="B1728" s="1" t="s">
        <v>619</v>
      </c>
      <c r="C1728" s="3" t="s">
        <v>558</v>
      </c>
      <c r="D1728" s="1" t="s">
        <v>215</v>
      </c>
      <c r="E1728" s="3" t="s">
        <v>22</v>
      </c>
      <c r="F1728" s="1">
        <v>0.14</v>
      </c>
      <c r="G1728" s="3">
        <v>480</v>
      </c>
      <c r="H1728" s="3">
        <f t="shared" si="29"/>
        <v>67.2</v>
      </c>
      <c r="J1728" s="3">
        <v>9.26</v>
      </c>
    </row>
    <row r="1729" customHeight="1" spans="1:10">
      <c r="A1729" s="3">
        <v>1802</v>
      </c>
      <c r="B1729" s="1" t="s">
        <v>567</v>
      </c>
      <c r="C1729" s="3" t="s">
        <v>558</v>
      </c>
      <c r="D1729" s="1" t="s">
        <v>215</v>
      </c>
      <c r="E1729" s="3" t="s">
        <v>22</v>
      </c>
      <c r="F1729" s="1">
        <v>0.46</v>
      </c>
      <c r="G1729" s="3">
        <v>480</v>
      </c>
      <c r="H1729" s="3">
        <f t="shared" ref="H1729:H1792" si="30">G1729*F1729</f>
        <v>220.8</v>
      </c>
      <c r="I1729" s="3" t="s">
        <v>25</v>
      </c>
      <c r="J1729" s="3">
        <v>9.26</v>
      </c>
    </row>
    <row r="1730" customHeight="1" spans="1:10">
      <c r="A1730" s="3">
        <v>1803</v>
      </c>
      <c r="B1730" s="1" t="s">
        <v>574</v>
      </c>
      <c r="C1730" s="3" t="s">
        <v>558</v>
      </c>
      <c r="D1730" s="1" t="s">
        <v>215</v>
      </c>
      <c r="E1730" s="3" t="s">
        <v>22</v>
      </c>
      <c r="F1730" s="1">
        <v>0.32</v>
      </c>
      <c r="G1730" s="3">
        <v>480</v>
      </c>
      <c r="H1730" s="3">
        <f t="shared" si="30"/>
        <v>153.6</v>
      </c>
      <c r="J1730" s="3">
        <v>9.26</v>
      </c>
    </row>
    <row r="1731" customHeight="1" spans="1:10">
      <c r="A1731" s="3">
        <v>1804</v>
      </c>
      <c r="B1731" s="1" t="s">
        <v>570</v>
      </c>
      <c r="C1731" s="3" t="s">
        <v>558</v>
      </c>
      <c r="D1731" s="1" t="s">
        <v>415</v>
      </c>
      <c r="E1731" s="3" t="s">
        <v>22</v>
      </c>
      <c r="F1731" s="1">
        <v>0.1</v>
      </c>
      <c r="G1731" s="3">
        <v>480</v>
      </c>
      <c r="H1731" s="3">
        <f t="shared" si="30"/>
        <v>48</v>
      </c>
      <c r="J1731" s="3">
        <v>9.26</v>
      </c>
    </row>
    <row r="1732" customHeight="1" spans="1:10">
      <c r="A1732" s="3">
        <v>1805</v>
      </c>
      <c r="B1732" s="1" t="s">
        <v>601</v>
      </c>
      <c r="C1732" s="3" t="s">
        <v>558</v>
      </c>
      <c r="D1732" s="1" t="s">
        <v>415</v>
      </c>
      <c r="E1732" s="3" t="s">
        <v>22</v>
      </c>
      <c r="F1732" s="1">
        <v>0.67</v>
      </c>
      <c r="G1732" s="3">
        <v>480</v>
      </c>
      <c r="H1732" s="3">
        <f t="shared" si="30"/>
        <v>321.6</v>
      </c>
      <c r="J1732" s="3">
        <v>9.26</v>
      </c>
    </row>
    <row r="1733" customHeight="1" spans="1:10">
      <c r="A1733" s="3">
        <v>1806</v>
      </c>
      <c r="B1733" s="1" t="s">
        <v>586</v>
      </c>
      <c r="C1733" s="3" t="s">
        <v>558</v>
      </c>
      <c r="D1733" s="1" t="s">
        <v>415</v>
      </c>
      <c r="E1733" s="3" t="s">
        <v>22</v>
      </c>
      <c r="F1733" s="1">
        <v>0.12</v>
      </c>
      <c r="G1733" s="3">
        <v>480</v>
      </c>
      <c r="H1733" s="3">
        <f t="shared" si="30"/>
        <v>57.6</v>
      </c>
      <c r="J1733" s="3">
        <v>9.26</v>
      </c>
    </row>
    <row r="1734" customHeight="1" spans="1:10">
      <c r="A1734" s="3">
        <v>1807</v>
      </c>
      <c r="B1734" s="1" t="s">
        <v>565</v>
      </c>
      <c r="C1734" s="3" t="s">
        <v>558</v>
      </c>
      <c r="D1734" s="1" t="s">
        <v>415</v>
      </c>
      <c r="E1734" s="3" t="s">
        <v>22</v>
      </c>
      <c r="F1734" s="1">
        <v>0.15</v>
      </c>
      <c r="G1734" s="3">
        <v>480</v>
      </c>
      <c r="H1734" s="3">
        <f t="shared" si="30"/>
        <v>72</v>
      </c>
      <c r="J1734" s="3">
        <v>9.26</v>
      </c>
    </row>
    <row r="1735" customHeight="1" spans="1:10">
      <c r="A1735" s="3">
        <v>1808</v>
      </c>
      <c r="B1735" s="1" t="s">
        <v>599</v>
      </c>
      <c r="C1735" s="3" t="s">
        <v>558</v>
      </c>
      <c r="D1735" s="1" t="s">
        <v>215</v>
      </c>
      <c r="E1735" s="3" t="s">
        <v>22</v>
      </c>
      <c r="F1735" s="1">
        <v>0.37</v>
      </c>
      <c r="G1735" s="3">
        <v>480</v>
      </c>
      <c r="H1735" s="3">
        <f t="shared" si="30"/>
        <v>177.6</v>
      </c>
      <c r="J1735" s="3">
        <v>9.26</v>
      </c>
    </row>
    <row r="1736" customHeight="1" spans="1:10">
      <c r="A1736" s="3">
        <v>1809</v>
      </c>
      <c r="B1736" s="1" t="s">
        <v>662</v>
      </c>
      <c r="C1736" s="3" t="s">
        <v>558</v>
      </c>
      <c r="D1736" s="1" t="s">
        <v>215</v>
      </c>
      <c r="E1736" s="3" t="s">
        <v>22</v>
      </c>
      <c r="F1736" s="1">
        <v>0.05</v>
      </c>
      <c r="G1736" s="3">
        <v>480</v>
      </c>
      <c r="H1736" s="3">
        <f t="shared" si="30"/>
        <v>24</v>
      </c>
      <c r="J1736" s="3">
        <v>9.26</v>
      </c>
    </row>
    <row r="1737" customHeight="1" spans="1:10">
      <c r="A1737" s="3"/>
      <c r="B1737" s="1"/>
      <c r="C1737" s="3"/>
      <c r="D1737" s="1"/>
      <c r="E1737" s="3"/>
      <c r="F1737" s="1"/>
      <c r="G1737" s="3"/>
      <c r="H1737" s="3"/>
      <c r="J1737" s="3"/>
    </row>
    <row r="1738" customHeight="1" spans="1:10">
      <c r="A1738" s="3">
        <v>1811</v>
      </c>
      <c r="B1738" s="1" t="s">
        <v>601</v>
      </c>
      <c r="C1738" s="3" t="s">
        <v>558</v>
      </c>
      <c r="D1738" s="1" t="s">
        <v>215</v>
      </c>
      <c r="E1738" s="3" t="s">
        <v>22</v>
      </c>
      <c r="F1738" s="1">
        <v>0.12</v>
      </c>
      <c r="G1738" s="3">
        <v>480</v>
      </c>
      <c r="H1738" s="3">
        <f t="shared" si="30"/>
        <v>57.6</v>
      </c>
      <c r="J1738" s="3">
        <v>9.26</v>
      </c>
    </row>
    <row r="1739" customHeight="1" spans="1:10">
      <c r="A1739" s="3">
        <v>1812</v>
      </c>
      <c r="B1739" s="1" t="s">
        <v>589</v>
      </c>
      <c r="C1739" s="3" t="s">
        <v>558</v>
      </c>
      <c r="D1739" s="1" t="s">
        <v>215</v>
      </c>
      <c r="E1739" s="3" t="s">
        <v>22</v>
      </c>
      <c r="F1739" s="1">
        <v>0.25</v>
      </c>
      <c r="G1739" s="3">
        <v>480</v>
      </c>
      <c r="H1739" s="3">
        <f t="shared" si="30"/>
        <v>120</v>
      </c>
      <c r="J1739" s="3">
        <v>9.26</v>
      </c>
    </row>
    <row r="1740" customHeight="1" spans="1:10">
      <c r="A1740" s="3">
        <v>1813</v>
      </c>
      <c r="B1740" s="1" t="s">
        <v>626</v>
      </c>
      <c r="C1740" s="3" t="s">
        <v>558</v>
      </c>
      <c r="D1740" s="1" t="s">
        <v>215</v>
      </c>
      <c r="E1740" s="3" t="s">
        <v>22</v>
      </c>
      <c r="F1740" s="1">
        <v>0.36</v>
      </c>
      <c r="G1740" s="3">
        <v>480</v>
      </c>
      <c r="H1740" s="3">
        <f t="shared" si="30"/>
        <v>172.8</v>
      </c>
      <c r="J1740" s="3">
        <v>9.26</v>
      </c>
    </row>
    <row r="1741" customHeight="1" spans="1:10">
      <c r="A1741" s="3">
        <v>1815</v>
      </c>
      <c r="B1741" s="1" t="s">
        <v>624</v>
      </c>
      <c r="C1741" s="3" t="s">
        <v>558</v>
      </c>
      <c r="D1741" s="1" t="s">
        <v>215</v>
      </c>
      <c r="E1741" s="3" t="s">
        <v>22</v>
      </c>
      <c r="F1741" s="1">
        <v>0.32</v>
      </c>
      <c r="G1741" s="3">
        <v>480</v>
      </c>
      <c r="H1741" s="3">
        <f t="shared" si="30"/>
        <v>153.6</v>
      </c>
      <c r="J1741" s="3">
        <v>9.26</v>
      </c>
    </row>
    <row r="1742" customHeight="1" spans="1:10">
      <c r="A1742" s="3">
        <v>1817</v>
      </c>
      <c r="B1742" s="1" t="s">
        <v>576</v>
      </c>
      <c r="C1742" s="3" t="s">
        <v>558</v>
      </c>
      <c r="D1742" s="1" t="s">
        <v>215</v>
      </c>
      <c r="E1742" s="3" t="s">
        <v>22</v>
      </c>
      <c r="F1742" s="1">
        <v>0.76</v>
      </c>
      <c r="G1742" s="3">
        <v>480</v>
      </c>
      <c r="H1742" s="3">
        <f t="shared" si="30"/>
        <v>364.8</v>
      </c>
      <c r="J1742" s="3">
        <v>9.26</v>
      </c>
    </row>
    <row r="1743" customHeight="1" spans="1:10">
      <c r="A1743" s="3">
        <v>1818</v>
      </c>
      <c r="B1743" s="1" t="s">
        <v>615</v>
      </c>
      <c r="C1743" s="3" t="s">
        <v>558</v>
      </c>
      <c r="D1743" s="1" t="s">
        <v>215</v>
      </c>
      <c r="E1743" s="3" t="s">
        <v>22</v>
      </c>
      <c r="F1743" s="1">
        <v>0.15</v>
      </c>
      <c r="G1743" s="3">
        <v>480</v>
      </c>
      <c r="H1743" s="3">
        <f t="shared" si="30"/>
        <v>72</v>
      </c>
      <c r="J1743" s="3">
        <v>9.26</v>
      </c>
    </row>
    <row r="1744" customHeight="1" spans="1:10">
      <c r="A1744" s="3">
        <v>1819</v>
      </c>
      <c r="B1744" s="1" t="s">
        <v>608</v>
      </c>
      <c r="C1744" s="3" t="s">
        <v>558</v>
      </c>
      <c r="D1744" s="1" t="s">
        <v>215</v>
      </c>
      <c r="E1744" s="3" t="s">
        <v>22</v>
      </c>
      <c r="F1744" s="1">
        <v>0.15</v>
      </c>
      <c r="G1744" s="3">
        <v>480</v>
      </c>
      <c r="H1744" s="3">
        <f t="shared" si="30"/>
        <v>72</v>
      </c>
      <c r="J1744" s="3">
        <v>9.26</v>
      </c>
    </row>
    <row r="1745" customHeight="1" spans="1:10">
      <c r="A1745" s="3">
        <v>1820</v>
      </c>
      <c r="B1745" s="1" t="s">
        <v>649</v>
      </c>
      <c r="C1745" s="3" t="s">
        <v>558</v>
      </c>
      <c r="D1745" s="1" t="s">
        <v>215</v>
      </c>
      <c r="E1745" s="3" t="s">
        <v>22</v>
      </c>
      <c r="F1745" s="1">
        <v>0.22</v>
      </c>
      <c r="G1745" s="3">
        <v>480</v>
      </c>
      <c r="H1745" s="3">
        <f t="shared" si="30"/>
        <v>105.6</v>
      </c>
      <c r="J1745" s="3">
        <v>9.26</v>
      </c>
    </row>
    <row r="1746" customHeight="1" spans="1:10">
      <c r="A1746" s="3">
        <v>1821</v>
      </c>
      <c r="B1746" s="1" t="s">
        <v>569</v>
      </c>
      <c r="C1746" s="3" t="s">
        <v>558</v>
      </c>
      <c r="D1746" s="1" t="s">
        <v>215</v>
      </c>
      <c r="E1746" s="3" t="s">
        <v>22</v>
      </c>
      <c r="F1746" s="1">
        <v>0.19</v>
      </c>
      <c r="G1746" s="3">
        <v>480</v>
      </c>
      <c r="H1746" s="3">
        <f t="shared" si="30"/>
        <v>91.2</v>
      </c>
      <c r="J1746" s="3">
        <v>9.26</v>
      </c>
    </row>
    <row r="1747" customHeight="1" spans="1:10">
      <c r="A1747" s="3">
        <v>1822</v>
      </c>
      <c r="B1747" s="1" t="s">
        <v>601</v>
      </c>
      <c r="C1747" s="3" t="s">
        <v>558</v>
      </c>
      <c r="D1747" s="1" t="s">
        <v>663</v>
      </c>
      <c r="E1747" s="3" t="s">
        <v>22</v>
      </c>
      <c r="F1747" s="1">
        <v>0.1</v>
      </c>
      <c r="G1747" s="3">
        <v>480</v>
      </c>
      <c r="H1747" s="3">
        <f t="shared" si="30"/>
        <v>48</v>
      </c>
      <c r="J1747" s="3">
        <v>9.26</v>
      </c>
    </row>
    <row r="1748" customHeight="1" spans="1:10">
      <c r="A1748" s="3">
        <v>1823</v>
      </c>
      <c r="B1748" s="1" t="s">
        <v>584</v>
      </c>
      <c r="C1748" s="3" t="s">
        <v>558</v>
      </c>
      <c r="D1748" s="1" t="s">
        <v>663</v>
      </c>
      <c r="E1748" s="3" t="s">
        <v>22</v>
      </c>
      <c r="F1748" s="1">
        <v>0.1</v>
      </c>
      <c r="G1748" s="3">
        <v>480</v>
      </c>
      <c r="H1748" s="3">
        <f t="shared" si="30"/>
        <v>48</v>
      </c>
      <c r="J1748" s="3">
        <v>9.26</v>
      </c>
    </row>
    <row r="1749" customHeight="1" spans="1:10">
      <c r="A1749" s="3">
        <v>1824</v>
      </c>
      <c r="B1749" s="1" t="s">
        <v>586</v>
      </c>
      <c r="C1749" s="3" t="s">
        <v>558</v>
      </c>
      <c r="D1749" s="1" t="s">
        <v>663</v>
      </c>
      <c r="E1749" s="3" t="s">
        <v>22</v>
      </c>
      <c r="F1749" s="1">
        <v>0.12</v>
      </c>
      <c r="G1749" s="3">
        <v>480</v>
      </c>
      <c r="H1749" s="3">
        <f t="shared" si="30"/>
        <v>57.6</v>
      </c>
      <c r="J1749" s="3">
        <v>9.26</v>
      </c>
    </row>
    <row r="1750" customHeight="1" spans="1:10">
      <c r="A1750" s="3">
        <v>1825</v>
      </c>
      <c r="B1750" s="1" t="s">
        <v>591</v>
      </c>
      <c r="C1750" s="3" t="s">
        <v>558</v>
      </c>
      <c r="D1750" s="1" t="s">
        <v>663</v>
      </c>
      <c r="E1750" s="3" t="s">
        <v>22</v>
      </c>
      <c r="F1750" s="1">
        <v>0.08</v>
      </c>
      <c r="G1750" s="3">
        <v>480</v>
      </c>
      <c r="H1750" s="3">
        <f t="shared" si="30"/>
        <v>38.4</v>
      </c>
      <c r="J1750" s="3">
        <v>9.26</v>
      </c>
    </row>
    <row r="1751" customHeight="1" spans="1:10">
      <c r="A1751" s="3">
        <v>1827</v>
      </c>
      <c r="B1751" s="1" t="s">
        <v>664</v>
      </c>
      <c r="C1751" s="3" t="s">
        <v>558</v>
      </c>
      <c r="D1751" s="1" t="s">
        <v>663</v>
      </c>
      <c r="E1751" s="3" t="s">
        <v>22</v>
      </c>
      <c r="F1751" s="1">
        <v>0.13</v>
      </c>
      <c r="G1751" s="3">
        <v>480</v>
      </c>
      <c r="H1751" s="3">
        <f t="shared" si="30"/>
        <v>62.4</v>
      </c>
      <c r="J1751" s="3">
        <v>9.26</v>
      </c>
    </row>
    <row r="1752" customHeight="1" spans="1:10">
      <c r="A1752" s="3">
        <v>1828</v>
      </c>
      <c r="B1752" s="1" t="s">
        <v>624</v>
      </c>
      <c r="C1752" s="3" t="s">
        <v>558</v>
      </c>
      <c r="D1752" s="1" t="s">
        <v>663</v>
      </c>
      <c r="E1752" s="3" t="s">
        <v>22</v>
      </c>
      <c r="F1752" s="1">
        <v>0.05</v>
      </c>
      <c r="G1752" s="3">
        <v>480</v>
      </c>
      <c r="H1752" s="3">
        <f t="shared" si="30"/>
        <v>24</v>
      </c>
      <c r="J1752" s="3">
        <v>9.26</v>
      </c>
    </row>
    <row r="1753" customHeight="1" spans="1:10">
      <c r="A1753" s="3">
        <v>1829</v>
      </c>
      <c r="B1753" s="1" t="s">
        <v>557</v>
      </c>
      <c r="C1753" s="3" t="s">
        <v>558</v>
      </c>
      <c r="D1753" s="1" t="s">
        <v>663</v>
      </c>
      <c r="E1753" s="3" t="s">
        <v>22</v>
      </c>
      <c r="F1753" s="1">
        <v>0.3</v>
      </c>
      <c r="G1753" s="3">
        <v>480</v>
      </c>
      <c r="H1753" s="3">
        <f t="shared" si="30"/>
        <v>144</v>
      </c>
      <c r="J1753" s="3">
        <v>9.26</v>
      </c>
    </row>
    <row r="1754" customHeight="1" spans="1:10">
      <c r="A1754" s="3">
        <v>1830</v>
      </c>
      <c r="B1754" s="1" t="s">
        <v>565</v>
      </c>
      <c r="C1754" s="3" t="s">
        <v>558</v>
      </c>
      <c r="D1754" s="1" t="s">
        <v>663</v>
      </c>
      <c r="E1754" s="3" t="s">
        <v>22</v>
      </c>
      <c r="F1754" s="1">
        <v>0.07</v>
      </c>
      <c r="G1754" s="3">
        <v>480</v>
      </c>
      <c r="H1754" s="3">
        <f t="shared" si="30"/>
        <v>33.6</v>
      </c>
      <c r="J1754" s="3">
        <v>9.26</v>
      </c>
    </row>
    <row r="1755" customHeight="1" spans="1:10">
      <c r="A1755" s="3">
        <v>1831</v>
      </c>
      <c r="B1755" s="1" t="s">
        <v>587</v>
      </c>
      <c r="C1755" s="3" t="s">
        <v>558</v>
      </c>
      <c r="D1755" s="1" t="s">
        <v>238</v>
      </c>
      <c r="E1755" s="3" t="s">
        <v>22</v>
      </c>
      <c r="F1755" s="1">
        <v>0.48</v>
      </c>
      <c r="G1755" s="3">
        <v>480</v>
      </c>
      <c r="H1755" s="3">
        <f t="shared" si="30"/>
        <v>230.4</v>
      </c>
      <c r="J1755" s="3">
        <v>9.26</v>
      </c>
    </row>
    <row r="1756" customHeight="1" spans="1:10">
      <c r="A1756" s="3">
        <v>1832</v>
      </c>
      <c r="B1756" s="1" t="s">
        <v>665</v>
      </c>
      <c r="C1756" s="3" t="s">
        <v>558</v>
      </c>
      <c r="D1756" s="1" t="s">
        <v>666</v>
      </c>
      <c r="E1756" s="3" t="s">
        <v>22</v>
      </c>
      <c r="F1756" s="1">
        <v>0.58</v>
      </c>
      <c r="G1756" s="3">
        <v>480</v>
      </c>
      <c r="H1756" s="3">
        <f t="shared" si="30"/>
        <v>278.4</v>
      </c>
      <c r="J1756" s="3">
        <v>9.26</v>
      </c>
    </row>
    <row r="1757" customHeight="1" spans="1:10">
      <c r="A1757" s="3">
        <v>1835</v>
      </c>
      <c r="B1757" s="1" t="s">
        <v>599</v>
      </c>
      <c r="C1757" s="3" t="s">
        <v>558</v>
      </c>
      <c r="D1757" s="1" t="s">
        <v>667</v>
      </c>
      <c r="E1757" s="3" t="s">
        <v>22</v>
      </c>
      <c r="F1757" s="1">
        <v>0.2</v>
      </c>
      <c r="G1757" s="3">
        <v>480</v>
      </c>
      <c r="H1757" s="3">
        <f t="shared" si="30"/>
        <v>96</v>
      </c>
      <c r="J1757" s="3">
        <v>9.26</v>
      </c>
    </row>
    <row r="1758" customHeight="1" spans="1:10">
      <c r="A1758" s="3">
        <v>1836</v>
      </c>
      <c r="B1758" s="1" t="s">
        <v>557</v>
      </c>
      <c r="C1758" s="3" t="s">
        <v>558</v>
      </c>
      <c r="D1758" s="1" t="s">
        <v>667</v>
      </c>
      <c r="E1758" s="3" t="s">
        <v>22</v>
      </c>
      <c r="F1758" s="1">
        <v>0.19</v>
      </c>
      <c r="G1758" s="3">
        <v>480</v>
      </c>
      <c r="H1758" s="3">
        <f t="shared" si="30"/>
        <v>91.2</v>
      </c>
      <c r="J1758" s="3">
        <v>9.26</v>
      </c>
    </row>
    <row r="1759" customHeight="1" spans="1:10">
      <c r="A1759" s="3">
        <v>1837</v>
      </c>
      <c r="B1759" s="1" t="s">
        <v>598</v>
      </c>
      <c r="C1759" s="3" t="s">
        <v>558</v>
      </c>
      <c r="D1759" s="1" t="s">
        <v>238</v>
      </c>
      <c r="E1759" s="3" t="s">
        <v>22</v>
      </c>
      <c r="F1759" s="1">
        <v>0.6</v>
      </c>
      <c r="G1759" s="3">
        <v>480</v>
      </c>
      <c r="H1759" s="3">
        <f t="shared" si="30"/>
        <v>288</v>
      </c>
      <c r="J1759" s="3">
        <v>9.26</v>
      </c>
    </row>
    <row r="1760" customHeight="1" spans="1:10">
      <c r="A1760" s="3">
        <v>1838</v>
      </c>
      <c r="B1760" s="1" t="s">
        <v>615</v>
      </c>
      <c r="C1760" s="3" t="s">
        <v>558</v>
      </c>
      <c r="D1760" s="1" t="s">
        <v>667</v>
      </c>
      <c r="E1760" s="3" t="s">
        <v>22</v>
      </c>
      <c r="F1760" s="1">
        <v>0.19</v>
      </c>
      <c r="G1760" s="3">
        <v>480</v>
      </c>
      <c r="H1760" s="3">
        <f t="shared" si="30"/>
        <v>91.2</v>
      </c>
      <c r="J1760" s="3">
        <v>9.26</v>
      </c>
    </row>
    <row r="1761" customHeight="1" spans="1:10">
      <c r="A1761" s="3">
        <v>1839</v>
      </c>
      <c r="B1761" s="1" t="s">
        <v>591</v>
      </c>
      <c r="C1761" s="3" t="s">
        <v>558</v>
      </c>
      <c r="D1761" s="1" t="s">
        <v>667</v>
      </c>
      <c r="E1761" s="3" t="s">
        <v>22</v>
      </c>
      <c r="F1761" s="1">
        <v>0.43</v>
      </c>
      <c r="G1761" s="3">
        <v>480</v>
      </c>
      <c r="H1761" s="3">
        <f t="shared" si="30"/>
        <v>206.4</v>
      </c>
      <c r="J1761" s="3">
        <v>9.26</v>
      </c>
    </row>
    <row r="1762" customHeight="1" spans="1:10">
      <c r="A1762" s="3">
        <v>1840</v>
      </c>
      <c r="B1762" s="1" t="s">
        <v>587</v>
      </c>
      <c r="C1762" s="3" t="s">
        <v>558</v>
      </c>
      <c r="D1762" s="1" t="s">
        <v>667</v>
      </c>
      <c r="E1762" s="3" t="s">
        <v>22</v>
      </c>
      <c r="F1762" s="1">
        <v>0.45</v>
      </c>
      <c r="G1762" s="3">
        <v>480</v>
      </c>
      <c r="H1762" s="3">
        <f t="shared" si="30"/>
        <v>216</v>
      </c>
      <c r="J1762" s="3">
        <v>9.26</v>
      </c>
    </row>
    <row r="1763" customHeight="1" spans="1:10">
      <c r="A1763" s="3">
        <v>1841</v>
      </c>
      <c r="B1763" s="1" t="s">
        <v>608</v>
      </c>
      <c r="C1763" s="3" t="s">
        <v>558</v>
      </c>
      <c r="D1763" s="1" t="s">
        <v>666</v>
      </c>
      <c r="E1763" s="3" t="s">
        <v>22</v>
      </c>
      <c r="F1763" s="1">
        <v>0.21</v>
      </c>
      <c r="G1763" s="3">
        <v>480</v>
      </c>
      <c r="H1763" s="3">
        <f t="shared" si="30"/>
        <v>100.8</v>
      </c>
      <c r="J1763" s="3">
        <v>9.26</v>
      </c>
    </row>
    <row r="1764" customHeight="1" spans="1:10">
      <c r="A1764" s="3">
        <v>1842</v>
      </c>
      <c r="B1764" s="1" t="s">
        <v>649</v>
      </c>
      <c r="C1764" s="3" t="s">
        <v>558</v>
      </c>
      <c r="D1764" s="1" t="s">
        <v>666</v>
      </c>
      <c r="E1764" s="3" t="s">
        <v>22</v>
      </c>
      <c r="F1764" s="1">
        <v>0.38</v>
      </c>
      <c r="G1764" s="3">
        <v>480</v>
      </c>
      <c r="H1764" s="3">
        <f t="shared" si="30"/>
        <v>182.4</v>
      </c>
      <c r="J1764" s="3">
        <v>9.26</v>
      </c>
    </row>
    <row r="1765" customHeight="1" spans="1:10">
      <c r="A1765" s="3">
        <v>1843</v>
      </c>
      <c r="B1765" s="1" t="s">
        <v>561</v>
      </c>
      <c r="C1765" s="3" t="s">
        <v>558</v>
      </c>
      <c r="D1765" s="1" t="s">
        <v>667</v>
      </c>
      <c r="E1765" s="3" t="s">
        <v>22</v>
      </c>
      <c r="F1765" s="1">
        <v>0.31</v>
      </c>
      <c r="G1765" s="3">
        <v>480</v>
      </c>
      <c r="H1765" s="3">
        <f t="shared" si="30"/>
        <v>148.8</v>
      </c>
      <c r="J1765" s="3">
        <v>9.26</v>
      </c>
    </row>
    <row r="1766" customHeight="1" spans="1:10">
      <c r="A1766" s="3">
        <v>1844</v>
      </c>
      <c r="B1766" s="1" t="s">
        <v>615</v>
      </c>
      <c r="C1766" s="3" t="s">
        <v>558</v>
      </c>
      <c r="D1766" s="1" t="s">
        <v>667</v>
      </c>
      <c r="E1766" s="3" t="s">
        <v>22</v>
      </c>
      <c r="F1766" s="1">
        <v>0.07</v>
      </c>
      <c r="G1766" s="3">
        <v>480</v>
      </c>
      <c r="H1766" s="3">
        <f t="shared" si="30"/>
        <v>33.6</v>
      </c>
      <c r="J1766" s="3">
        <v>9.26</v>
      </c>
    </row>
    <row r="1767" customHeight="1" spans="1:10">
      <c r="A1767" s="3">
        <v>1845</v>
      </c>
      <c r="B1767" s="1" t="s">
        <v>668</v>
      </c>
      <c r="C1767" s="1" t="s">
        <v>669</v>
      </c>
      <c r="D1767" s="1" t="s">
        <v>551</v>
      </c>
      <c r="E1767" s="3" t="s">
        <v>22</v>
      </c>
      <c r="F1767" s="1">
        <v>1.43</v>
      </c>
      <c r="G1767" s="3">
        <v>480</v>
      </c>
      <c r="H1767" s="3">
        <f t="shared" si="30"/>
        <v>686.4</v>
      </c>
      <c r="J1767" s="1">
        <v>9.29</v>
      </c>
    </row>
    <row r="1768" customHeight="1" spans="1:10">
      <c r="A1768" s="3">
        <v>1846</v>
      </c>
      <c r="B1768" s="1" t="s">
        <v>670</v>
      </c>
      <c r="C1768" s="1" t="s">
        <v>669</v>
      </c>
      <c r="D1768" s="1" t="s">
        <v>551</v>
      </c>
      <c r="E1768" s="3" t="s">
        <v>22</v>
      </c>
      <c r="F1768" s="1">
        <v>0.81</v>
      </c>
      <c r="G1768" s="3">
        <v>480</v>
      </c>
      <c r="H1768" s="3">
        <f t="shared" si="30"/>
        <v>388.8</v>
      </c>
      <c r="J1768" s="1">
        <v>9.29</v>
      </c>
    </row>
    <row r="1769" customHeight="1" spans="1:10">
      <c r="A1769" s="3">
        <v>1847</v>
      </c>
      <c r="B1769" s="1" t="s">
        <v>671</v>
      </c>
      <c r="C1769" s="1" t="s">
        <v>669</v>
      </c>
      <c r="D1769" s="1" t="s">
        <v>672</v>
      </c>
      <c r="E1769" s="3" t="s">
        <v>22</v>
      </c>
      <c r="F1769" s="1">
        <v>1.26</v>
      </c>
      <c r="G1769" s="3">
        <v>480</v>
      </c>
      <c r="H1769" s="3">
        <f t="shared" si="30"/>
        <v>604.8</v>
      </c>
      <c r="J1769" s="1">
        <v>9.29</v>
      </c>
    </row>
    <row r="1770" customHeight="1" spans="1:10">
      <c r="A1770" s="3">
        <v>1848</v>
      </c>
      <c r="B1770" s="1" t="s">
        <v>670</v>
      </c>
      <c r="C1770" s="1" t="s">
        <v>669</v>
      </c>
      <c r="D1770" s="1" t="s">
        <v>672</v>
      </c>
      <c r="E1770" s="3" t="s">
        <v>22</v>
      </c>
      <c r="F1770" s="1">
        <v>0.58</v>
      </c>
      <c r="G1770" s="3">
        <v>480</v>
      </c>
      <c r="H1770" s="3">
        <f t="shared" si="30"/>
        <v>278.4</v>
      </c>
      <c r="J1770" s="1">
        <v>9.29</v>
      </c>
    </row>
    <row r="1771" customHeight="1" spans="1:10">
      <c r="A1771" s="3">
        <v>1849</v>
      </c>
      <c r="B1771" s="1" t="s">
        <v>673</v>
      </c>
      <c r="C1771" s="1" t="s">
        <v>669</v>
      </c>
      <c r="D1771" s="1" t="s">
        <v>672</v>
      </c>
      <c r="E1771" s="3" t="s">
        <v>22</v>
      </c>
      <c r="F1771" s="1">
        <v>0.79</v>
      </c>
      <c r="G1771" s="3">
        <v>480</v>
      </c>
      <c r="H1771" s="3">
        <f t="shared" si="30"/>
        <v>379.2</v>
      </c>
      <c r="J1771" s="1">
        <v>9.29</v>
      </c>
    </row>
    <row r="1772" customHeight="1" spans="1:10">
      <c r="A1772" s="3">
        <v>1850</v>
      </c>
      <c r="B1772" s="1" t="s">
        <v>674</v>
      </c>
      <c r="C1772" s="1" t="s">
        <v>669</v>
      </c>
      <c r="D1772" s="1" t="s">
        <v>672</v>
      </c>
      <c r="E1772" s="3" t="s">
        <v>22</v>
      </c>
      <c r="F1772" s="1">
        <v>1.58</v>
      </c>
      <c r="G1772" s="3">
        <v>480</v>
      </c>
      <c r="H1772" s="3">
        <f t="shared" si="30"/>
        <v>758.4</v>
      </c>
      <c r="J1772" s="1">
        <v>9.29</v>
      </c>
    </row>
    <row r="1773" customHeight="1" spans="1:10">
      <c r="A1773" s="3">
        <v>1851</v>
      </c>
      <c r="B1773" s="1" t="s">
        <v>675</v>
      </c>
      <c r="C1773" s="1" t="s">
        <v>669</v>
      </c>
      <c r="D1773" s="1" t="s">
        <v>676</v>
      </c>
      <c r="E1773" s="3" t="s">
        <v>22</v>
      </c>
      <c r="F1773" s="1">
        <v>0.19</v>
      </c>
      <c r="G1773" s="3">
        <v>480</v>
      </c>
      <c r="H1773" s="3">
        <f t="shared" si="30"/>
        <v>91.2</v>
      </c>
      <c r="J1773" s="1">
        <v>9.29</v>
      </c>
    </row>
    <row r="1774" customHeight="1" spans="1:10">
      <c r="A1774" s="3">
        <v>1852</v>
      </c>
      <c r="B1774" s="1" t="s">
        <v>677</v>
      </c>
      <c r="C1774" s="1" t="s">
        <v>669</v>
      </c>
      <c r="D1774" s="1" t="s">
        <v>678</v>
      </c>
      <c r="E1774" s="3" t="s">
        <v>22</v>
      </c>
      <c r="F1774" s="1">
        <v>0.69</v>
      </c>
      <c r="G1774" s="3">
        <v>480</v>
      </c>
      <c r="H1774" s="3">
        <f t="shared" si="30"/>
        <v>331.2</v>
      </c>
      <c r="J1774" s="1">
        <v>9.29</v>
      </c>
    </row>
    <row r="1775" customHeight="1" spans="1:10">
      <c r="A1775" s="3">
        <v>1853</v>
      </c>
      <c r="B1775" s="1" t="s">
        <v>679</v>
      </c>
      <c r="C1775" s="1" t="s">
        <v>669</v>
      </c>
      <c r="D1775" s="1" t="s">
        <v>680</v>
      </c>
      <c r="E1775" s="3" t="s">
        <v>22</v>
      </c>
      <c r="F1775" s="1">
        <v>0.42</v>
      </c>
      <c r="G1775" s="3">
        <v>480</v>
      </c>
      <c r="H1775" s="3">
        <f t="shared" si="30"/>
        <v>201.6</v>
      </c>
      <c r="J1775" s="1">
        <v>9.29</v>
      </c>
    </row>
    <row r="1776" customHeight="1" spans="1:10">
      <c r="A1776" s="3">
        <v>1854</v>
      </c>
      <c r="B1776" s="1" t="s">
        <v>673</v>
      </c>
      <c r="C1776" s="1" t="s">
        <v>669</v>
      </c>
      <c r="D1776" s="1" t="s">
        <v>680</v>
      </c>
      <c r="E1776" s="3" t="s">
        <v>22</v>
      </c>
      <c r="F1776" s="1">
        <v>0.28</v>
      </c>
      <c r="G1776" s="3">
        <v>480</v>
      </c>
      <c r="H1776" s="3">
        <f t="shared" si="30"/>
        <v>134.4</v>
      </c>
      <c r="J1776" s="1">
        <v>9.29</v>
      </c>
    </row>
    <row r="1777" customHeight="1" spans="1:10">
      <c r="A1777" s="3">
        <v>1855</v>
      </c>
      <c r="B1777" s="1" t="s">
        <v>681</v>
      </c>
      <c r="C1777" s="1" t="s">
        <v>669</v>
      </c>
      <c r="D1777" s="1" t="s">
        <v>551</v>
      </c>
      <c r="E1777" s="3" t="s">
        <v>22</v>
      </c>
      <c r="F1777" s="1">
        <v>0.47</v>
      </c>
      <c r="G1777" s="3">
        <v>480</v>
      </c>
      <c r="H1777" s="3">
        <f t="shared" si="30"/>
        <v>225.6</v>
      </c>
      <c r="J1777" s="1">
        <v>9.29</v>
      </c>
    </row>
    <row r="1778" customHeight="1" spans="1:10">
      <c r="A1778" s="3">
        <v>1856</v>
      </c>
      <c r="B1778" s="1" t="s">
        <v>681</v>
      </c>
      <c r="C1778" s="1" t="s">
        <v>669</v>
      </c>
      <c r="D1778" s="1" t="s">
        <v>682</v>
      </c>
      <c r="E1778" s="3" t="s">
        <v>22</v>
      </c>
      <c r="F1778" s="1">
        <v>0.5</v>
      </c>
      <c r="G1778" s="3">
        <v>480</v>
      </c>
      <c r="H1778" s="3">
        <f t="shared" si="30"/>
        <v>240</v>
      </c>
      <c r="J1778" s="1">
        <v>9.29</v>
      </c>
    </row>
    <row r="1779" customHeight="1" spans="1:10">
      <c r="A1779" s="3">
        <v>1857</v>
      </c>
      <c r="B1779" s="1" t="s">
        <v>679</v>
      </c>
      <c r="C1779" s="1" t="s">
        <v>669</v>
      </c>
      <c r="D1779" s="1" t="s">
        <v>683</v>
      </c>
      <c r="E1779" s="3" t="s">
        <v>22</v>
      </c>
      <c r="F1779" s="1">
        <v>0.78</v>
      </c>
      <c r="G1779" s="3">
        <v>480</v>
      </c>
      <c r="H1779" s="3">
        <f t="shared" si="30"/>
        <v>374.4</v>
      </c>
      <c r="J1779" s="1">
        <v>9.29</v>
      </c>
    </row>
    <row r="1780" customHeight="1" spans="1:10">
      <c r="A1780" s="3">
        <v>1858</v>
      </c>
      <c r="B1780" s="1" t="s">
        <v>675</v>
      </c>
      <c r="C1780" s="1" t="s">
        <v>669</v>
      </c>
      <c r="D1780" s="1" t="s">
        <v>683</v>
      </c>
      <c r="E1780" s="3" t="s">
        <v>22</v>
      </c>
      <c r="F1780" s="1">
        <v>0.75</v>
      </c>
      <c r="G1780" s="3">
        <v>480</v>
      </c>
      <c r="H1780" s="3">
        <f t="shared" si="30"/>
        <v>360</v>
      </c>
      <c r="J1780" s="1">
        <v>9.29</v>
      </c>
    </row>
    <row r="1781" customHeight="1" spans="1:10">
      <c r="A1781" s="3">
        <v>1859</v>
      </c>
      <c r="B1781" s="1" t="s">
        <v>675</v>
      </c>
      <c r="C1781" s="1" t="s">
        <v>669</v>
      </c>
      <c r="D1781" s="1" t="s">
        <v>683</v>
      </c>
      <c r="E1781" s="3" t="s">
        <v>22</v>
      </c>
      <c r="F1781" s="1">
        <v>0.28</v>
      </c>
      <c r="G1781" s="3">
        <v>480</v>
      </c>
      <c r="H1781" s="3">
        <f t="shared" si="30"/>
        <v>134.4</v>
      </c>
      <c r="J1781" s="1">
        <v>9.29</v>
      </c>
    </row>
    <row r="1782" customHeight="1" spans="1:10">
      <c r="A1782" s="3">
        <v>1860</v>
      </c>
      <c r="B1782" s="1" t="s">
        <v>668</v>
      </c>
      <c r="C1782" s="1" t="s">
        <v>669</v>
      </c>
      <c r="D1782" s="1" t="s">
        <v>683</v>
      </c>
      <c r="E1782" s="3" t="s">
        <v>22</v>
      </c>
      <c r="F1782" s="1">
        <v>0.31</v>
      </c>
      <c r="G1782" s="3">
        <v>480</v>
      </c>
      <c r="H1782" s="3">
        <f t="shared" si="30"/>
        <v>148.8</v>
      </c>
      <c r="J1782" s="1">
        <v>9.29</v>
      </c>
    </row>
    <row r="1783" customHeight="1" spans="1:10">
      <c r="A1783" s="3">
        <v>1861</v>
      </c>
      <c r="B1783" s="1" t="s">
        <v>684</v>
      </c>
      <c r="C1783" s="1" t="s">
        <v>669</v>
      </c>
      <c r="D1783" s="1" t="s">
        <v>685</v>
      </c>
      <c r="E1783" s="3" t="s">
        <v>22</v>
      </c>
      <c r="F1783" s="1">
        <v>0.66</v>
      </c>
      <c r="G1783" s="3">
        <v>480</v>
      </c>
      <c r="H1783" s="3">
        <f t="shared" si="30"/>
        <v>316.8</v>
      </c>
      <c r="J1783" s="1">
        <v>9.29</v>
      </c>
    </row>
    <row r="1784" customHeight="1" spans="1:10">
      <c r="A1784" s="3">
        <v>1862</v>
      </c>
      <c r="B1784" s="1" t="s">
        <v>681</v>
      </c>
      <c r="C1784" s="1" t="s">
        <v>669</v>
      </c>
      <c r="D1784" s="1" t="s">
        <v>685</v>
      </c>
      <c r="E1784" s="3" t="s">
        <v>22</v>
      </c>
      <c r="F1784" s="1">
        <v>0.3</v>
      </c>
      <c r="G1784" s="3">
        <v>480</v>
      </c>
      <c r="H1784" s="3">
        <f t="shared" si="30"/>
        <v>144</v>
      </c>
      <c r="J1784" s="1">
        <v>9.29</v>
      </c>
    </row>
    <row r="1785" customHeight="1" spans="1:10">
      <c r="A1785" s="3">
        <v>1863</v>
      </c>
      <c r="B1785" s="1" t="s">
        <v>668</v>
      </c>
      <c r="C1785" s="1" t="s">
        <v>669</v>
      </c>
      <c r="D1785" s="1" t="s">
        <v>686</v>
      </c>
      <c r="E1785" s="3" t="s">
        <v>22</v>
      </c>
      <c r="F1785" s="1">
        <v>0.45</v>
      </c>
      <c r="G1785" s="3">
        <v>480</v>
      </c>
      <c r="H1785" s="3">
        <f t="shared" si="30"/>
        <v>216</v>
      </c>
      <c r="J1785" s="1">
        <v>9.29</v>
      </c>
    </row>
    <row r="1786" customHeight="1" spans="1:10">
      <c r="A1786" s="3">
        <v>1864</v>
      </c>
      <c r="B1786" s="1" t="s">
        <v>687</v>
      </c>
      <c r="C1786" s="1" t="s">
        <v>669</v>
      </c>
      <c r="D1786" s="1" t="s">
        <v>254</v>
      </c>
      <c r="E1786" s="3" t="s">
        <v>22</v>
      </c>
      <c r="F1786" s="1">
        <v>0.49</v>
      </c>
      <c r="G1786" s="3">
        <v>480</v>
      </c>
      <c r="H1786" s="3">
        <f t="shared" si="30"/>
        <v>235.2</v>
      </c>
      <c r="J1786" s="1">
        <v>9.29</v>
      </c>
    </row>
    <row r="1787" customHeight="1" spans="1:10">
      <c r="A1787" s="3">
        <v>1865</v>
      </c>
      <c r="B1787" s="1" t="s">
        <v>671</v>
      </c>
      <c r="C1787" s="1" t="s">
        <v>669</v>
      </c>
      <c r="D1787" s="1" t="s">
        <v>254</v>
      </c>
      <c r="E1787" s="3" t="s">
        <v>22</v>
      </c>
      <c r="F1787" s="1">
        <v>0.53</v>
      </c>
      <c r="G1787" s="3">
        <v>480</v>
      </c>
      <c r="H1787" s="3">
        <f t="shared" si="30"/>
        <v>254.4</v>
      </c>
      <c r="J1787" s="1">
        <v>9.29</v>
      </c>
    </row>
    <row r="1788" customHeight="1" spans="1:10">
      <c r="A1788" s="3">
        <v>1866</v>
      </c>
      <c r="B1788" s="1" t="s">
        <v>677</v>
      </c>
      <c r="C1788" s="1" t="s">
        <v>669</v>
      </c>
      <c r="D1788" s="1" t="s">
        <v>254</v>
      </c>
      <c r="E1788" s="3" t="s">
        <v>22</v>
      </c>
      <c r="F1788" s="1">
        <v>0.36</v>
      </c>
      <c r="G1788" s="3">
        <v>480</v>
      </c>
      <c r="H1788" s="3">
        <f t="shared" si="30"/>
        <v>172.8</v>
      </c>
      <c r="J1788" s="1">
        <v>9.29</v>
      </c>
    </row>
    <row r="1789" customHeight="1" spans="1:10">
      <c r="A1789" s="3">
        <v>1867</v>
      </c>
      <c r="B1789" s="1" t="s">
        <v>681</v>
      </c>
      <c r="C1789" s="1" t="s">
        <v>669</v>
      </c>
      <c r="D1789" s="1" t="s">
        <v>254</v>
      </c>
      <c r="E1789" s="3" t="s">
        <v>22</v>
      </c>
      <c r="F1789" s="1">
        <v>0.36</v>
      </c>
      <c r="G1789" s="3">
        <v>480</v>
      </c>
      <c r="H1789" s="3">
        <f t="shared" si="30"/>
        <v>172.8</v>
      </c>
      <c r="J1789" s="1">
        <v>9.29</v>
      </c>
    </row>
    <row r="1790" customHeight="1" spans="1:10">
      <c r="A1790" s="3">
        <v>1868</v>
      </c>
      <c r="B1790" s="1" t="s">
        <v>684</v>
      </c>
      <c r="C1790" s="1" t="s">
        <v>669</v>
      </c>
      <c r="D1790" s="1" t="s">
        <v>254</v>
      </c>
      <c r="E1790" s="3" t="s">
        <v>22</v>
      </c>
      <c r="F1790" s="1">
        <v>0.65</v>
      </c>
      <c r="G1790" s="3">
        <v>480</v>
      </c>
      <c r="H1790" s="3">
        <f t="shared" si="30"/>
        <v>312</v>
      </c>
      <c r="J1790" s="1">
        <v>9.29</v>
      </c>
    </row>
    <row r="1791" customHeight="1" spans="1:10">
      <c r="A1791" s="3">
        <v>1869</v>
      </c>
      <c r="B1791" s="1" t="s">
        <v>268</v>
      </c>
      <c r="C1791" s="1" t="s">
        <v>669</v>
      </c>
      <c r="D1791" s="1" t="s">
        <v>688</v>
      </c>
      <c r="E1791" s="1" t="s">
        <v>13</v>
      </c>
      <c r="F1791" s="1">
        <v>0.35</v>
      </c>
      <c r="G1791" s="1">
        <v>380</v>
      </c>
      <c r="H1791" s="3">
        <f t="shared" si="30"/>
        <v>133</v>
      </c>
      <c r="J1791" s="1">
        <v>9.29</v>
      </c>
    </row>
    <row r="1792" customHeight="1" spans="1:10">
      <c r="A1792" s="3">
        <v>1870</v>
      </c>
      <c r="B1792" s="1" t="s">
        <v>674</v>
      </c>
      <c r="C1792" s="1" t="s">
        <v>669</v>
      </c>
      <c r="D1792" s="1" t="s">
        <v>688</v>
      </c>
      <c r="E1792" s="1" t="s">
        <v>13</v>
      </c>
      <c r="F1792" s="1">
        <v>0.17</v>
      </c>
      <c r="G1792" s="1">
        <v>380</v>
      </c>
      <c r="H1792" s="3">
        <f t="shared" si="30"/>
        <v>64.6</v>
      </c>
      <c r="J1792" s="1">
        <v>9.29</v>
      </c>
    </row>
    <row r="1793" customHeight="1" spans="1:10">
      <c r="A1793" s="3">
        <v>1871</v>
      </c>
      <c r="B1793" s="1" t="s">
        <v>668</v>
      </c>
      <c r="C1793" s="1" t="s">
        <v>669</v>
      </c>
      <c r="D1793" s="1" t="s">
        <v>435</v>
      </c>
      <c r="E1793" s="1" t="s">
        <v>13</v>
      </c>
      <c r="F1793" s="1">
        <v>0.82</v>
      </c>
      <c r="G1793" s="1">
        <v>380</v>
      </c>
      <c r="H1793" s="3">
        <f t="shared" ref="H1793:H1818" si="31">G1793*F1793</f>
        <v>311.6</v>
      </c>
      <c r="J1793" s="1">
        <v>9.29</v>
      </c>
    </row>
    <row r="1794" customHeight="1" spans="1:10">
      <c r="A1794" s="3">
        <v>1872</v>
      </c>
      <c r="B1794" s="1" t="s">
        <v>674</v>
      </c>
      <c r="C1794" s="1" t="s">
        <v>669</v>
      </c>
      <c r="D1794" s="1" t="s">
        <v>689</v>
      </c>
      <c r="E1794" s="1" t="s">
        <v>13</v>
      </c>
      <c r="F1794" s="1">
        <v>0.5</v>
      </c>
      <c r="G1794" s="1">
        <v>380</v>
      </c>
      <c r="H1794" s="3">
        <f t="shared" si="31"/>
        <v>190</v>
      </c>
      <c r="J1794" s="1">
        <v>9.29</v>
      </c>
    </row>
    <row r="1795" customHeight="1" spans="1:10">
      <c r="A1795" s="3">
        <v>1873</v>
      </c>
      <c r="B1795" s="1" t="s">
        <v>677</v>
      </c>
      <c r="C1795" s="1" t="s">
        <v>669</v>
      </c>
      <c r="D1795" s="1" t="s">
        <v>689</v>
      </c>
      <c r="E1795" s="1" t="s">
        <v>13</v>
      </c>
      <c r="F1795" s="1">
        <v>0.24</v>
      </c>
      <c r="G1795" s="1">
        <v>380</v>
      </c>
      <c r="H1795" s="3">
        <f t="shared" si="31"/>
        <v>91.2</v>
      </c>
      <c r="J1795" s="1">
        <v>9.29</v>
      </c>
    </row>
    <row r="1796" customHeight="1" spans="1:10">
      <c r="A1796" s="3">
        <v>1874</v>
      </c>
      <c r="B1796" s="1" t="s">
        <v>673</v>
      </c>
      <c r="C1796" s="1" t="s">
        <v>669</v>
      </c>
      <c r="D1796" s="1" t="s">
        <v>689</v>
      </c>
      <c r="E1796" s="1" t="s">
        <v>13</v>
      </c>
      <c r="F1796" s="1">
        <v>0.94</v>
      </c>
      <c r="G1796" s="1">
        <v>380</v>
      </c>
      <c r="H1796" s="3">
        <f t="shared" si="31"/>
        <v>357.2</v>
      </c>
      <c r="J1796" s="1">
        <v>9.29</v>
      </c>
    </row>
    <row r="1797" customHeight="1" spans="1:10">
      <c r="A1797" s="3">
        <v>1875</v>
      </c>
      <c r="B1797" s="1" t="s">
        <v>679</v>
      </c>
      <c r="C1797" s="1" t="s">
        <v>669</v>
      </c>
      <c r="D1797" s="1" t="s">
        <v>435</v>
      </c>
      <c r="E1797" s="1" t="s">
        <v>13</v>
      </c>
      <c r="F1797" s="1">
        <v>0.2</v>
      </c>
      <c r="G1797" s="1">
        <v>380</v>
      </c>
      <c r="H1797" s="3">
        <f t="shared" si="31"/>
        <v>76</v>
      </c>
      <c r="J1797" s="1">
        <v>9.29</v>
      </c>
    </row>
    <row r="1798" customHeight="1" spans="1:10">
      <c r="A1798" s="3">
        <v>1876</v>
      </c>
      <c r="B1798" s="1" t="s">
        <v>690</v>
      </c>
      <c r="C1798" s="1" t="s">
        <v>669</v>
      </c>
      <c r="D1798" s="1" t="s">
        <v>689</v>
      </c>
      <c r="E1798" s="1" t="s">
        <v>13</v>
      </c>
      <c r="F1798" s="1">
        <v>0.42</v>
      </c>
      <c r="G1798" s="1">
        <v>380</v>
      </c>
      <c r="H1798" s="3">
        <f t="shared" si="31"/>
        <v>159.6</v>
      </c>
      <c r="J1798" s="1">
        <v>9.29</v>
      </c>
    </row>
    <row r="1799" customHeight="1" spans="1:10">
      <c r="A1799" s="3">
        <v>1877</v>
      </c>
      <c r="B1799" s="1" t="s">
        <v>671</v>
      </c>
      <c r="C1799" s="1" t="s">
        <v>669</v>
      </c>
      <c r="D1799" s="1" t="s">
        <v>689</v>
      </c>
      <c r="E1799" s="1" t="s">
        <v>13</v>
      </c>
      <c r="F1799" s="1">
        <v>0.85</v>
      </c>
      <c r="G1799" s="1">
        <v>380</v>
      </c>
      <c r="H1799" s="3">
        <f t="shared" si="31"/>
        <v>323</v>
      </c>
      <c r="J1799" s="1">
        <v>9.29</v>
      </c>
    </row>
    <row r="1800" customHeight="1" spans="1:10">
      <c r="A1800" s="3">
        <v>1878</v>
      </c>
      <c r="B1800" s="1" t="s">
        <v>675</v>
      </c>
      <c r="C1800" s="1" t="s">
        <v>669</v>
      </c>
      <c r="D1800" s="1" t="s">
        <v>551</v>
      </c>
      <c r="E1800" s="1" t="s">
        <v>22</v>
      </c>
      <c r="F1800" s="1">
        <v>0.97</v>
      </c>
      <c r="G1800" s="1">
        <v>480</v>
      </c>
      <c r="H1800" s="3">
        <f t="shared" si="31"/>
        <v>465.6</v>
      </c>
      <c r="J1800" s="1">
        <v>9.29</v>
      </c>
    </row>
    <row r="1801" customHeight="1" spans="1:10">
      <c r="A1801" s="3">
        <v>1879</v>
      </c>
      <c r="B1801" s="1" t="s">
        <v>687</v>
      </c>
      <c r="C1801" s="1" t="s">
        <v>669</v>
      </c>
      <c r="D1801" s="1" t="s">
        <v>672</v>
      </c>
      <c r="E1801" s="1" t="s">
        <v>22</v>
      </c>
      <c r="F1801" s="1">
        <v>1.16</v>
      </c>
      <c r="G1801" s="1">
        <v>480</v>
      </c>
      <c r="H1801" s="3">
        <f t="shared" si="31"/>
        <v>556.8</v>
      </c>
      <c r="J1801" s="1">
        <v>9.29</v>
      </c>
    </row>
    <row r="1802" customHeight="1" spans="1:10">
      <c r="A1802" s="3">
        <v>1880</v>
      </c>
      <c r="B1802" s="1" t="s">
        <v>691</v>
      </c>
      <c r="C1802" s="1" t="s">
        <v>669</v>
      </c>
      <c r="D1802" s="1" t="s">
        <v>672</v>
      </c>
      <c r="E1802" s="1" t="s">
        <v>22</v>
      </c>
      <c r="F1802" s="1">
        <v>0.92</v>
      </c>
      <c r="G1802" s="1">
        <v>480</v>
      </c>
      <c r="H1802" s="3">
        <f t="shared" si="31"/>
        <v>441.6</v>
      </c>
      <c r="J1802" s="1">
        <v>9.29</v>
      </c>
    </row>
    <row r="1803" customHeight="1" spans="1:10">
      <c r="A1803" s="3">
        <v>1881</v>
      </c>
      <c r="B1803" s="1" t="s">
        <v>692</v>
      </c>
      <c r="C1803" s="1" t="s">
        <v>669</v>
      </c>
      <c r="D1803" s="1" t="s">
        <v>676</v>
      </c>
      <c r="E1803" s="1" t="s">
        <v>22</v>
      </c>
      <c r="F1803" s="1">
        <v>0.79</v>
      </c>
      <c r="G1803" s="1">
        <v>480</v>
      </c>
      <c r="H1803" s="3">
        <f t="shared" si="31"/>
        <v>379.2</v>
      </c>
      <c r="J1803" s="1">
        <v>9.29</v>
      </c>
    </row>
    <row r="1804" customHeight="1" spans="1:10">
      <c r="A1804" s="3">
        <v>1882</v>
      </c>
      <c r="B1804" s="1" t="s">
        <v>130</v>
      </c>
      <c r="C1804" s="1" t="s">
        <v>669</v>
      </c>
      <c r="D1804" s="1" t="s">
        <v>682</v>
      </c>
      <c r="E1804" s="1" t="s">
        <v>22</v>
      </c>
      <c r="F1804" s="1">
        <v>0.33</v>
      </c>
      <c r="G1804" s="1">
        <v>480</v>
      </c>
      <c r="H1804" s="3">
        <f t="shared" si="31"/>
        <v>158.4</v>
      </c>
      <c r="J1804" s="1">
        <v>9.29</v>
      </c>
    </row>
    <row r="1805" customHeight="1" spans="1:10">
      <c r="A1805" s="3">
        <v>1883</v>
      </c>
      <c r="B1805" s="1" t="s">
        <v>693</v>
      </c>
      <c r="C1805" s="1" t="s">
        <v>669</v>
      </c>
      <c r="D1805" s="1" t="s">
        <v>682</v>
      </c>
      <c r="E1805" s="1" t="s">
        <v>22</v>
      </c>
      <c r="F1805" s="1">
        <v>1.6</v>
      </c>
      <c r="G1805" s="1">
        <v>480</v>
      </c>
      <c r="H1805" s="3">
        <f t="shared" si="31"/>
        <v>768</v>
      </c>
      <c r="J1805" s="1">
        <v>9.29</v>
      </c>
    </row>
    <row r="1806" customHeight="1" spans="1:10">
      <c r="A1806" s="3">
        <v>1884</v>
      </c>
      <c r="B1806" s="1" t="s">
        <v>684</v>
      </c>
      <c r="C1806" s="1" t="s">
        <v>669</v>
      </c>
      <c r="D1806" s="1" t="s">
        <v>682</v>
      </c>
      <c r="E1806" s="1" t="s">
        <v>22</v>
      </c>
      <c r="F1806" s="1">
        <v>0.56</v>
      </c>
      <c r="G1806" s="1">
        <v>480</v>
      </c>
      <c r="H1806" s="3">
        <f t="shared" si="31"/>
        <v>268.8</v>
      </c>
      <c r="J1806" s="1">
        <v>9.29</v>
      </c>
    </row>
    <row r="1807" customHeight="1" spans="1:10">
      <c r="A1807" s="3">
        <v>1885</v>
      </c>
      <c r="B1807" s="1" t="s">
        <v>508</v>
      </c>
      <c r="C1807" s="1" t="s">
        <v>669</v>
      </c>
      <c r="D1807" s="1" t="s">
        <v>682</v>
      </c>
      <c r="E1807" s="1" t="s">
        <v>22</v>
      </c>
      <c r="F1807" s="1">
        <v>0.6</v>
      </c>
      <c r="G1807" s="1">
        <v>480</v>
      </c>
      <c r="H1807" s="3">
        <f t="shared" si="31"/>
        <v>288</v>
      </c>
      <c r="J1807" s="1">
        <v>9.29</v>
      </c>
    </row>
    <row r="1808" customHeight="1" spans="1:10">
      <c r="A1808" s="3">
        <v>1886</v>
      </c>
      <c r="B1808" s="1" t="s">
        <v>687</v>
      </c>
      <c r="C1808" s="1" t="s">
        <v>669</v>
      </c>
      <c r="D1808" s="1" t="s">
        <v>683</v>
      </c>
      <c r="E1808" s="1" t="s">
        <v>22</v>
      </c>
      <c r="F1808" s="1">
        <v>0.74</v>
      </c>
      <c r="G1808" s="1">
        <v>480</v>
      </c>
      <c r="H1808" s="3">
        <f t="shared" si="31"/>
        <v>355.2</v>
      </c>
      <c r="J1808" s="1">
        <v>9.29</v>
      </c>
    </row>
    <row r="1809" customHeight="1" spans="1:10">
      <c r="A1809" s="3">
        <v>1887</v>
      </c>
      <c r="B1809" s="1" t="s">
        <v>674</v>
      </c>
      <c r="C1809" s="1" t="s">
        <v>669</v>
      </c>
      <c r="D1809" s="1" t="s">
        <v>683</v>
      </c>
      <c r="E1809" s="1" t="s">
        <v>22</v>
      </c>
      <c r="F1809" s="1">
        <v>0.66</v>
      </c>
      <c r="G1809" s="1">
        <v>480</v>
      </c>
      <c r="H1809" s="3">
        <f t="shared" si="31"/>
        <v>316.8</v>
      </c>
      <c r="J1809" s="1">
        <v>9.29</v>
      </c>
    </row>
    <row r="1810" customHeight="1" spans="1:10">
      <c r="A1810" s="3">
        <v>1888</v>
      </c>
      <c r="B1810" s="1" t="s">
        <v>674</v>
      </c>
      <c r="C1810" s="1" t="s">
        <v>669</v>
      </c>
      <c r="D1810" s="1" t="s">
        <v>443</v>
      </c>
      <c r="E1810" s="1" t="s">
        <v>22</v>
      </c>
      <c r="F1810" s="1">
        <v>0.65</v>
      </c>
      <c r="G1810" s="1">
        <v>480</v>
      </c>
      <c r="H1810" s="3">
        <f t="shared" si="31"/>
        <v>312</v>
      </c>
      <c r="J1810" s="1">
        <v>9.29</v>
      </c>
    </row>
    <row r="1811" customHeight="1" spans="1:10">
      <c r="A1811" s="3">
        <v>1889</v>
      </c>
      <c r="B1811" s="1" t="s">
        <v>692</v>
      </c>
      <c r="C1811" s="1" t="s">
        <v>669</v>
      </c>
      <c r="D1811" s="1" t="s">
        <v>694</v>
      </c>
      <c r="E1811" s="1" t="s">
        <v>22</v>
      </c>
      <c r="F1811" s="1">
        <v>0.5</v>
      </c>
      <c r="G1811" s="1">
        <v>480</v>
      </c>
      <c r="H1811" s="3">
        <f t="shared" si="31"/>
        <v>240</v>
      </c>
      <c r="J1811" s="1">
        <v>9.29</v>
      </c>
    </row>
    <row r="1812" customHeight="1" spans="1:10">
      <c r="A1812" s="3">
        <v>1890</v>
      </c>
      <c r="B1812" s="1" t="s">
        <v>670</v>
      </c>
      <c r="C1812" s="1" t="s">
        <v>669</v>
      </c>
      <c r="D1812" s="1" t="s">
        <v>217</v>
      </c>
      <c r="E1812" s="1" t="s">
        <v>22</v>
      </c>
      <c r="F1812" s="1">
        <v>0.35</v>
      </c>
      <c r="G1812" s="1">
        <v>480</v>
      </c>
      <c r="H1812" s="3">
        <f t="shared" si="31"/>
        <v>168</v>
      </c>
      <c r="J1812" s="1">
        <v>9.29</v>
      </c>
    </row>
    <row r="1813" customHeight="1" spans="1:10">
      <c r="A1813" s="3">
        <v>1891</v>
      </c>
      <c r="B1813" s="1" t="s">
        <v>691</v>
      </c>
      <c r="C1813" s="1" t="s">
        <v>669</v>
      </c>
      <c r="D1813" s="1" t="s">
        <v>217</v>
      </c>
      <c r="E1813" s="1" t="s">
        <v>22</v>
      </c>
      <c r="F1813" s="1">
        <v>0.13</v>
      </c>
      <c r="G1813" s="1">
        <v>480</v>
      </c>
      <c r="H1813" s="3">
        <f t="shared" si="31"/>
        <v>62.4</v>
      </c>
      <c r="J1813" s="1">
        <v>9.29</v>
      </c>
    </row>
    <row r="1814" customHeight="1" spans="1:10">
      <c r="A1814" s="3">
        <v>1892</v>
      </c>
      <c r="B1814" s="1" t="s">
        <v>674</v>
      </c>
      <c r="C1814" s="1" t="s">
        <v>669</v>
      </c>
      <c r="D1814" s="1" t="s">
        <v>450</v>
      </c>
      <c r="E1814" s="1" t="s">
        <v>13</v>
      </c>
      <c r="F1814" s="1">
        <v>1.15</v>
      </c>
      <c r="G1814" s="1">
        <v>380</v>
      </c>
      <c r="H1814" s="3">
        <f t="shared" si="31"/>
        <v>437</v>
      </c>
      <c r="J1814" s="1">
        <v>9.29</v>
      </c>
    </row>
    <row r="1815" customHeight="1" spans="1:10">
      <c r="A1815" s="3">
        <v>1893</v>
      </c>
      <c r="B1815" s="1" t="s">
        <v>687</v>
      </c>
      <c r="C1815" s="1" t="s">
        <v>669</v>
      </c>
      <c r="D1815" s="1" t="s">
        <v>695</v>
      </c>
      <c r="E1815" s="1" t="s">
        <v>13</v>
      </c>
      <c r="F1815" s="1">
        <v>0.11</v>
      </c>
      <c r="G1815" s="1">
        <v>380</v>
      </c>
      <c r="H1815" s="3">
        <f t="shared" si="31"/>
        <v>41.8</v>
      </c>
      <c r="J1815" s="1">
        <v>9.29</v>
      </c>
    </row>
    <row r="1816" customHeight="1" spans="1:10">
      <c r="A1816" s="3">
        <v>1894</v>
      </c>
      <c r="B1816" s="1" t="s">
        <v>679</v>
      </c>
      <c r="C1816" s="1" t="s">
        <v>669</v>
      </c>
      <c r="D1816" s="1" t="s">
        <v>450</v>
      </c>
      <c r="E1816" s="1" t="s">
        <v>13</v>
      </c>
      <c r="F1816" s="1">
        <v>0.48</v>
      </c>
      <c r="G1816" s="1">
        <v>380</v>
      </c>
      <c r="H1816" s="3">
        <f t="shared" si="31"/>
        <v>182.4</v>
      </c>
      <c r="J1816" s="1">
        <v>9.29</v>
      </c>
    </row>
    <row r="1817" customHeight="1" spans="1:10">
      <c r="A1817" s="3">
        <v>1895</v>
      </c>
      <c r="B1817" s="1" t="s">
        <v>692</v>
      </c>
      <c r="C1817" s="1" t="s">
        <v>669</v>
      </c>
      <c r="D1817" s="1" t="s">
        <v>450</v>
      </c>
      <c r="E1817" s="1" t="s">
        <v>13</v>
      </c>
      <c r="F1817" s="1">
        <v>0.82</v>
      </c>
      <c r="G1817" s="1">
        <v>380</v>
      </c>
      <c r="H1817" s="3">
        <f t="shared" si="31"/>
        <v>311.6</v>
      </c>
      <c r="J1817" s="1">
        <v>9.29</v>
      </c>
    </row>
    <row r="1818" customHeight="1" spans="1:10">
      <c r="A1818" s="3">
        <v>1896</v>
      </c>
      <c r="B1818" s="1" t="s">
        <v>675</v>
      </c>
      <c r="C1818" s="1" t="s">
        <v>669</v>
      </c>
      <c r="D1818" s="1" t="s">
        <v>450</v>
      </c>
      <c r="E1818" s="1" t="s">
        <v>13</v>
      </c>
      <c r="F1818" s="1">
        <v>0.22</v>
      </c>
      <c r="G1818" s="1">
        <v>380</v>
      </c>
      <c r="H1818" s="3">
        <f t="shared" si="31"/>
        <v>83.6</v>
      </c>
      <c r="J1818" s="1">
        <v>9.29</v>
      </c>
    </row>
    <row r="1819" customHeight="1" spans="1:10">
      <c r="A1819" s="3"/>
      <c r="C1819" s="3"/>
      <c r="E1819" s="3"/>
      <c r="G1819" s="3"/>
      <c r="H1819" s="3"/>
    </row>
    <row r="1820" customHeight="1" spans="1:10">
      <c r="A1820" s="3">
        <v>1898</v>
      </c>
      <c r="B1820" s="1" t="s">
        <v>696</v>
      </c>
      <c r="C1820" s="1" t="s">
        <v>669</v>
      </c>
      <c r="D1820" s="1" t="s">
        <v>697</v>
      </c>
      <c r="E1820" s="1" t="s">
        <v>22</v>
      </c>
      <c r="F1820" s="1">
        <v>0.1</v>
      </c>
      <c r="G1820" s="3">
        <v>480</v>
      </c>
      <c r="H1820" s="3">
        <f t="shared" ref="H1820:H1883" si="32">G1820*F1820</f>
        <v>48</v>
      </c>
      <c r="J1820" s="1">
        <v>10.11</v>
      </c>
    </row>
    <row r="1821" customHeight="1" spans="1:10">
      <c r="A1821" s="3">
        <v>1899</v>
      </c>
      <c r="B1821" s="1" t="s">
        <v>698</v>
      </c>
      <c r="C1821" s="1" t="s">
        <v>669</v>
      </c>
      <c r="D1821" s="1" t="s">
        <v>697</v>
      </c>
      <c r="E1821" s="1" t="s">
        <v>22</v>
      </c>
      <c r="F1821" s="1">
        <v>0.05</v>
      </c>
      <c r="G1821" s="3">
        <v>480</v>
      </c>
      <c r="H1821" s="3">
        <f t="shared" si="32"/>
        <v>24</v>
      </c>
      <c r="J1821" s="1">
        <v>10.11</v>
      </c>
    </row>
    <row r="1822" customHeight="1" spans="1:10">
      <c r="A1822" s="3">
        <v>1900</v>
      </c>
      <c r="B1822" s="1" t="s">
        <v>699</v>
      </c>
      <c r="C1822" s="1" t="s">
        <v>669</v>
      </c>
      <c r="D1822" s="1" t="s">
        <v>697</v>
      </c>
      <c r="E1822" s="1" t="s">
        <v>22</v>
      </c>
      <c r="F1822" s="1">
        <v>0.12</v>
      </c>
      <c r="G1822" s="3">
        <v>480</v>
      </c>
      <c r="H1822" s="3">
        <f t="shared" si="32"/>
        <v>57.6</v>
      </c>
      <c r="J1822" s="1">
        <v>10.11</v>
      </c>
    </row>
    <row r="1823" customHeight="1" spans="1:10">
      <c r="A1823" s="3">
        <v>1901</v>
      </c>
      <c r="B1823" s="1" t="s">
        <v>700</v>
      </c>
      <c r="C1823" s="1" t="s">
        <v>669</v>
      </c>
      <c r="D1823" s="1" t="s">
        <v>701</v>
      </c>
      <c r="E1823" s="1" t="s">
        <v>22</v>
      </c>
      <c r="F1823" s="1">
        <v>0.2</v>
      </c>
      <c r="G1823" s="3">
        <v>480</v>
      </c>
      <c r="H1823" s="3">
        <f t="shared" si="32"/>
        <v>96</v>
      </c>
      <c r="J1823" s="1">
        <v>10.11</v>
      </c>
    </row>
    <row r="1824" customHeight="1" spans="1:10">
      <c r="A1824" s="3">
        <v>1902</v>
      </c>
      <c r="B1824" s="1" t="s">
        <v>702</v>
      </c>
      <c r="C1824" s="1" t="s">
        <v>669</v>
      </c>
      <c r="D1824" s="1" t="s">
        <v>701</v>
      </c>
      <c r="E1824" s="1" t="s">
        <v>22</v>
      </c>
      <c r="F1824" s="1">
        <v>0.17</v>
      </c>
      <c r="G1824" s="3">
        <v>480</v>
      </c>
      <c r="H1824" s="3">
        <f t="shared" si="32"/>
        <v>81.6</v>
      </c>
      <c r="J1824" s="1">
        <v>10.11</v>
      </c>
    </row>
    <row r="1825" customHeight="1" spans="1:10">
      <c r="A1825" s="3">
        <v>1903</v>
      </c>
      <c r="B1825" s="1" t="s">
        <v>698</v>
      </c>
      <c r="C1825" s="1" t="s">
        <v>669</v>
      </c>
      <c r="D1825" s="1" t="s">
        <v>701</v>
      </c>
      <c r="E1825" s="1" t="s">
        <v>22</v>
      </c>
      <c r="F1825" s="1">
        <v>0.64</v>
      </c>
      <c r="G1825" s="3">
        <v>480</v>
      </c>
      <c r="H1825" s="3">
        <f t="shared" si="32"/>
        <v>307.2</v>
      </c>
      <c r="J1825" s="1">
        <v>10.11</v>
      </c>
    </row>
    <row r="1826" customHeight="1" spans="1:10">
      <c r="A1826" s="3">
        <v>1904</v>
      </c>
      <c r="B1826" s="1" t="s">
        <v>703</v>
      </c>
      <c r="C1826" s="1" t="s">
        <v>669</v>
      </c>
      <c r="D1826" s="1" t="s">
        <v>701</v>
      </c>
      <c r="E1826" s="1" t="s">
        <v>22</v>
      </c>
      <c r="F1826" s="1">
        <v>0.6</v>
      </c>
      <c r="G1826" s="3">
        <v>480</v>
      </c>
      <c r="H1826" s="3">
        <f t="shared" si="32"/>
        <v>288</v>
      </c>
      <c r="J1826" s="1">
        <v>10.11</v>
      </c>
    </row>
    <row r="1827" customHeight="1" spans="1:10">
      <c r="A1827" s="3">
        <v>1905</v>
      </c>
      <c r="B1827" s="1" t="s">
        <v>698</v>
      </c>
      <c r="C1827" s="1" t="s">
        <v>669</v>
      </c>
      <c r="D1827" s="1" t="s">
        <v>450</v>
      </c>
      <c r="E1827" s="1" t="s">
        <v>22</v>
      </c>
      <c r="F1827" s="1">
        <v>0.15</v>
      </c>
      <c r="G1827" s="3">
        <v>480</v>
      </c>
      <c r="H1827" s="3">
        <f t="shared" si="32"/>
        <v>72</v>
      </c>
      <c r="J1827" s="1">
        <v>10.11</v>
      </c>
    </row>
    <row r="1828" customHeight="1" spans="1:10">
      <c r="A1828" s="3">
        <v>1906</v>
      </c>
      <c r="B1828" s="1" t="s">
        <v>696</v>
      </c>
      <c r="C1828" s="1" t="s">
        <v>669</v>
      </c>
      <c r="D1828" s="1" t="s">
        <v>704</v>
      </c>
      <c r="E1828" s="1" t="s">
        <v>13</v>
      </c>
      <c r="F1828" s="1">
        <v>0.85</v>
      </c>
      <c r="G1828" s="1">
        <v>380</v>
      </c>
      <c r="H1828" s="3">
        <f t="shared" si="32"/>
        <v>323</v>
      </c>
      <c r="J1828" s="1">
        <v>10.11</v>
      </c>
    </row>
    <row r="1829" customHeight="1" spans="1:10">
      <c r="A1829" s="3">
        <v>1907</v>
      </c>
      <c r="B1829" s="1" t="s">
        <v>699</v>
      </c>
      <c r="C1829" s="1" t="s">
        <v>669</v>
      </c>
      <c r="D1829" s="1" t="s">
        <v>704</v>
      </c>
      <c r="E1829" s="1" t="s">
        <v>13</v>
      </c>
      <c r="F1829" s="1">
        <v>1.2</v>
      </c>
      <c r="G1829" s="1">
        <v>380</v>
      </c>
      <c r="H1829" s="3">
        <f t="shared" si="32"/>
        <v>456</v>
      </c>
      <c r="J1829" s="1">
        <v>10.11</v>
      </c>
    </row>
    <row r="1830" customHeight="1" spans="1:10">
      <c r="A1830" s="3">
        <v>1908</v>
      </c>
      <c r="B1830" s="1" t="s">
        <v>705</v>
      </c>
      <c r="C1830" s="1" t="s">
        <v>669</v>
      </c>
      <c r="D1830" s="1" t="s">
        <v>706</v>
      </c>
      <c r="E1830" s="1" t="s">
        <v>13</v>
      </c>
      <c r="F1830" s="1">
        <v>0.64</v>
      </c>
      <c r="G1830" s="1">
        <v>380</v>
      </c>
      <c r="H1830" s="3">
        <f t="shared" si="32"/>
        <v>243.2</v>
      </c>
      <c r="J1830" s="1">
        <v>10.11</v>
      </c>
    </row>
    <row r="1831" customHeight="1" spans="1:10">
      <c r="A1831" s="3">
        <v>1909</v>
      </c>
      <c r="B1831" s="1" t="s">
        <v>707</v>
      </c>
      <c r="C1831" s="1" t="s">
        <v>669</v>
      </c>
      <c r="D1831" s="1" t="s">
        <v>708</v>
      </c>
      <c r="E1831" s="1" t="s">
        <v>13</v>
      </c>
      <c r="F1831" s="1">
        <v>0.55</v>
      </c>
      <c r="G1831" s="1">
        <v>380</v>
      </c>
      <c r="H1831" s="3">
        <f t="shared" si="32"/>
        <v>209</v>
      </c>
      <c r="J1831" s="1">
        <v>10.11</v>
      </c>
    </row>
    <row r="1832" customHeight="1" spans="1:10">
      <c r="A1832" s="3">
        <v>1910</v>
      </c>
      <c r="B1832" s="1" t="s">
        <v>709</v>
      </c>
      <c r="C1832" s="1" t="s">
        <v>669</v>
      </c>
      <c r="D1832" s="1" t="s">
        <v>710</v>
      </c>
      <c r="E1832" s="1" t="s">
        <v>13</v>
      </c>
      <c r="F1832" s="1">
        <v>0.3</v>
      </c>
      <c r="G1832" s="1">
        <v>380</v>
      </c>
      <c r="H1832" s="3">
        <f t="shared" si="32"/>
        <v>114</v>
      </c>
      <c r="J1832" s="1">
        <v>10.11</v>
      </c>
    </row>
    <row r="1833" customHeight="1" spans="1:10">
      <c r="A1833" s="3">
        <v>1911</v>
      </c>
      <c r="B1833" s="1" t="s">
        <v>707</v>
      </c>
      <c r="C1833" s="1" t="s">
        <v>669</v>
      </c>
      <c r="D1833" s="1" t="s">
        <v>711</v>
      </c>
      <c r="E1833" s="1" t="s">
        <v>22</v>
      </c>
      <c r="F1833" s="1">
        <v>0.15</v>
      </c>
      <c r="G1833" s="1">
        <v>480</v>
      </c>
      <c r="H1833" s="3">
        <f t="shared" si="32"/>
        <v>72</v>
      </c>
      <c r="J1833" s="1">
        <v>10.11</v>
      </c>
    </row>
    <row r="1834" customHeight="1" spans="1:10">
      <c r="A1834" s="3">
        <v>1912</v>
      </c>
      <c r="B1834" s="1" t="s">
        <v>709</v>
      </c>
      <c r="C1834" s="1" t="s">
        <v>669</v>
      </c>
      <c r="D1834" s="1" t="s">
        <v>711</v>
      </c>
      <c r="E1834" s="1" t="s">
        <v>22</v>
      </c>
      <c r="F1834" s="1">
        <v>0.25</v>
      </c>
      <c r="G1834" s="1">
        <v>480</v>
      </c>
      <c r="H1834" s="3">
        <f t="shared" si="32"/>
        <v>120</v>
      </c>
      <c r="J1834" s="1">
        <v>10.11</v>
      </c>
    </row>
    <row r="1835" customHeight="1" spans="1:10">
      <c r="A1835" s="3">
        <v>1913</v>
      </c>
      <c r="B1835" s="1" t="s">
        <v>705</v>
      </c>
      <c r="C1835" s="1" t="s">
        <v>669</v>
      </c>
      <c r="D1835" s="1" t="s">
        <v>711</v>
      </c>
      <c r="E1835" s="1" t="s">
        <v>22</v>
      </c>
      <c r="F1835" s="1">
        <v>0.25</v>
      </c>
      <c r="G1835" s="1">
        <v>480</v>
      </c>
      <c r="H1835" s="3">
        <f t="shared" si="32"/>
        <v>120</v>
      </c>
      <c r="J1835" s="1">
        <v>10.11</v>
      </c>
    </row>
    <row r="1836" customHeight="1" spans="1:10">
      <c r="A1836" s="3">
        <v>1914</v>
      </c>
      <c r="B1836" s="1" t="s">
        <v>712</v>
      </c>
      <c r="C1836" s="1" t="s">
        <v>669</v>
      </c>
      <c r="D1836" s="1" t="s">
        <v>713</v>
      </c>
      <c r="E1836" s="1" t="s">
        <v>22</v>
      </c>
      <c r="F1836" s="1">
        <v>0.45</v>
      </c>
      <c r="G1836" s="1">
        <v>480</v>
      </c>
      <c r="H1836" s="3">
        <f t="shared" si="32"/>
        <v>216</v>
      </c>
      <c r="J1836" s="1">
        <v>10.11</v>
      </c>
    </row>
    <row r="1837" customHeight="1" spans="1:10">
      <c r="A1837" s="3">
        <v>1915</v>
      </c>
      <c r="B1837" s="1" t="s">
        <v>714</v>
      </c>
      <c r="C1837" s="1" t="s">
        <v>669</v>
      </c>
      <c r="D1837" s="1" t="s">
        <v>713</v>
      </c>
      <c r="E1837" s="1" t="s">
        <v>22</v>
      </c>
      <c r="F1837" s="1">
        <v>1.46</v>
      </c>
      <c r="G1837" s="1">
        <v>480</v>
      </c>
      <c r="H1837" s="3">
        <f t="shared" si="32"/>
        <v>700.8</v>
      </c>
      <c r="J1837" s="1">
        <v>10.11</v>
      </c>
    </row>
    <row r="1838" customHeight="1" spans="1:10">
      <c r="A1838" s="3">
        <v>1916</v>
      </c>
      <c r="B1838" s="1" t="s">
        <v>715</v>
      </c>
      <c r="C1838" s="1" t="s">
        <v>669</v>
      </c>
      <c r="D1838" s="1" t="s">
        <v>713</v>
      </c>
      <c r="E1838" s="1" t="s">
        <v>22</v>
      </c>
      <c r="F1838" s="1">
        <v>0.3</v>
      </c>
      <c r="G1838" s="1">
        <v>480</v>
      </c>
      <c r="H1838" s="3">
        <f t="shared" si="32"/>
        <v>144</v>
      </c>
      <c r="J1838" s="1">
        <v>10.11</v>
      </c>
    </row>
    <row r="1839" customHeight="1" spans="1:10">
      <c r="A1839" s="3">
        <v>1917</v>
      </c>
      <c r="B1839" s="1" t="s">
        <v>705</v>
      </c>
      <c r="C1839" s="1" t="s">
        <v>669</v>
      </c>
      <c r="D1839" s="1" t="s">
        <v>443</v>
      </c>
      <c r="E1839" s="1" t="s">
        <v>22</v>
      </c>
      <c r="F1839" s="1">
        <v>0.2</v>
      </c>
      <c r="G1839" s="1">
        <v>480</v>
      </c>
      <c r="H1839" s="3">
        <f t="shared" si="32"/>
        <v>96</v>
      </c>
      <c r="J1839" s="1">
        <v>10.11</v>
      </c>
    </row>
    <row r="1840" customHeight="1" spans="1:10">
      <c r="A1840" s="3">
        <v>1918</v>
      </c>
      <c r="B1840" s="1" t="s">
        <v>702</v>
      </c>
      <c r="C1840" s="1" t="s">
        <v>669</v>
      </c>
      <c r="D1840" s="1" t="s">
        <v>443</v>
      </c>
      <c r="E1840" s="1" t="s">
        <v>22</v>
      </c>
      <c r="F1840" s="1">
        <v>0.13</v>
      </c>
      <c r="G1840" s="1">
        <v>480</v>
      </c>
      <c r="H1840" s="3">
        <f t="shared" si="32"/>
        <v>62.4</v>
      </c>
      <c r="J1840" s="1">
        <v>10.11</v>
      </c>
    </row>
    <row r="1841" customHeight="1" spans="1:10">
      <c r="A1841" s="3">
        <v>1919</v>
      </c>
      <c r="B1841" s="1" t="s">
        <v>716</v>
      </c>
      <c r="C1841" s="1" t="s">
        <v>669</v>
      </c>
      <c r="D1841" s="1" t="s">
        <v>443</v>
      </c>
      <c r="E1841" s="1" t="s">
        <v>22</v>
      </c>
      <c r="F1841" s="1">
        <v>0.22</v>
      </c>
      <c r="G1841" s="1">
        <v>480</v>
      </c>
      <c r="H1841" s="3">
        <f t="shared" si="32"/>
        <v>105.6</v>
      </c>
      <c r="J1841" s="1">
        <v>10.11</v>
      </c>
    </row>
    <row r="1842" customHeight="1" spans="1:10">
      <c r="A1842" s="3">
        <v>1920</v>
      </c>
      <c r="B1842" s="1" t="s">
        <v>709</v>
      </c>
      <c r="C1842" s="1" t="s">
        <v>669</v>
      </c>
      <c r="D1842" s="1" t="s">
        <v>717</v>
      </c>
      <c r="E1842" s="1" t="s">
        <v>22</v>
      </c>
      <c r="F1842" s="1">
        <v>0.8</v>
      </c>
      <c r="G1842" s="1">
        <v>480</v>
      </c>
      <c r="H1842" s="3">
        <f t="shared" si="32"/>
        <v>384</v>
      </c>
      <c r="J1842" s="1">
        <v>10.11</v>
      </c>
    </row>
    <row r="1843" customHeight="1" spans="1:10">
      <c r="A1843" s="3">
        <v>1921</v>
      </c>
      <c r="B1843" s="1" t="s">
        <v>718</v>
      </c>
      <c r="C1843" s="1" t="s">
        <v>669</v>
      </c>
      <c r="D1843" s="1" t="s">
        <v>226</v>
      </c>
      <c r="E1843" s="1" t="s">
        <v>22</v>
      </c>
      <c r="F1843" s="1">
        <v>0.26</v>
      </c>
      <c r="G1843" s="1">
        <v>480</v>
      </c>
      <c r="H1843" s="3">
        <f t="shared" si="32"/>
        <v>124.8</v>
      </c>
      <c r="J1843" s="1">
        <v>10.11</v>
      </c>
    </row>
    <row r="1844" customHeight="1" spans="1:10">
      <c r="A1844" s="3">
        <v>1922</v>
      </c>
      <c r="B1844" s="1" t="s">
        <v>719</v>
      </c>
      <c r="C1844" s="1" t="s">
        <v>669</v>
      </c>
      <c r="D1844" s="1" t="s">
        <v>720</v>
      </c>
      <c r="E1844" s="1" t="s">
        <v>22</v>
      </c>
      <c r="F1844" s="1">
        <v>0.32</v>
      </c>
      <c r="G1844" s="1">
        <v>480</v>
      </c>
      <c r="H1844" s="3">
        <f t="shared" si="32"/>
        <v>153.6</v>
      </c>
      <c r="J1844" s="1">
        <v>10.11</v>
      </c>
    </row>
    <row r="1845" customHeight="1" spans="1:10">
      <c r="A1845" s="3">
        <v>1923</v>
      </c>
      <c r="B1845" s="1" t="s">
        <v>721</v>
      </c>
      <c r="C1845" s="1" t="s">
        <v>669</v>
      </c>
      <c r="D1845" s="1" t="s">
        <v>720</v>
      </c>
      <c r="E1845" s="1" t="s">
        <v>22</v>
      </c>
      <c r="F1845" s="1">
        <v>0.58</v>
      </c>
      <c r="G1845" s="1">
        <v>480</v>
      </c>
      <c r="H1845" s="3">
        <f t="shared" si="32"/>
        <v>278.4</v>
      </c>
      <c r="J1845" s="1">
        <v>10.11</v>
      </c>
    </row>
    <row r="1846" customHeight="1" spans="1:10">
      <c r="A1846" s="3">
        <v>1924</v>
      </c>
      <c r="B1846" s="1" t="s">
        <v>722</v>
      </c>
      <c r="C1846" s="1" t="s">
        <v>669</v>
      </c>
      <c r="D1846" s="1" t="s">
        <v>630</v>
      </c>
      <c r="E1846" s="1" t="s">
        <v>22</v>
      </c>
      <c r="F1846" s="1">
        <v>0.22</v>
      </c>
      <c r="G1846" s="1">
        <v>480</v>
      </c>
      <c r="H1846" s="3">
        <f t="shared" si="32"/>
        <v>105.6</v>
      </c>
      <c r="J1846" s="1">
        <v>10.11</v>
      </c>
    </row>
    <row r="1847" customHeight="1" spans="1:10">
      <c r="A1847" s="3">
        <v>1925</v>
      </c>
      <c r="B1847" s="1" t="s">
        <v>718</v>
      </c>
      <c r="C1847" s="1" t="s">
        <v>669</v>
      </c>
      <c r="D1847" s="1" t="s">
        <v>226</v>
      </c>
      <c r="E1847" s="1" t="s">
        <v>22</v>
      </c>
      <c r="F1847" s="1">
        <v>0.12</v>
      </c>
      <c r="G1847" s="1">
        <v>480</v>
      </c>
      <c r="H1847" s="3">
        <f t="shared" si="32"/>
        <v>57.6</v>
      </c>
      <c r="J1847" s="1">
        <v>10.11</v>
      </c>
    </row>
    <row r="1848" customHeight="1" spans="1:10">
      <c r="A1848" s="3">
        <v>1926</v>
      </c>
      <c r="B1848" s="1" t="s">
        <v>707</v>
      </c>
      <c r="C1848" s="1" t="s">
        <v>669</v>
      </c>
      <c r="D1848" s="1" t="s">
        <v>226</v>
      </c>
      <c r="E1848" s="1" t="s">
        <v>22</v>
      </c>
      <c r="F1848" s="1">
        <v>0.4</v>
      </c>
      <c r="G1848" s="1">
        <v>480</v>
      </c>
      <c r="H1848" s="3">
        <f t="shared" si="32"/>
        <v>192</v>
      </c>
      <c r="J1848" s="1">
        <v>10.11</v>
      </c>
    </row>
    <row r="1849" customHeight="1" spans="1:10">
      <c r="A1849" s="3">
        <v>1927</v>
      </c>
      <c r="B1849" s="1" t="s">
        <v>719</v>
      </c>
      <c r="C1849" s="1" t="s">
        <v>669</v>
      </c>
      <c r="D1849" s="1" t="s">
        <v>723</v>
      </c>
      <c r="E1849" s="1" t="s">
        <v>22</v>
      </c>
      <c r="F1849" s="1">
        <v>1.16</v>
      </c>
      <c r="G1849" s="1">
        <v>480</v>
      </c>
      <c r="H1849" s="3">
        <f t="shared" si="32"/>
        <v>556.8</v>
      </c>
      <c r="J1849" s="1">
        <v>10.11</v>
      </c>
    </row>
    <row r="1850" customHeight="1" spans="1:10">
      <c r="A1850" s="3">
        <v>1928</v>
      </c>
      <c r="B1850" s="1" t="s">
        <v>698</v>
      </c>
      <c r="C1850" s="1" t="s">
        <v>669</v>
      </c>
      <c r="D1850" s="1" t="s">
        <v>720</v>
      </c>
      <c r="E1850" s="1" t="s">
        <v>22</v>
      </c>
      <c r="F1850" s="1">
        <v>0.18</v>
      </c>
      <c r="G1850" s="1">
        <v>480</v>
      </c>
      <c r="H1850" s="3">
        <f t="shared" si="32"/>
        <v>86.4</v>
      </c>
      <c r="J1850" s="1">
        <v>10.11</v>
      </c>
    </row>
    <row r="1851" customHeight="1" spans="1:10">
      <c r="A1851" s="3">
        <v>1929</v>
      </c>
      <c r="B1851" s="1" t="s">
        <v>724</v>
      </c>
      <c r="C1851" s="1" t="s">
        <v>669</v>
      </c>
      <c r="D1851" s="1" t="s">
        <v>246</v>
      </c>
      <c r="E1851" s="1" t="s">
        <v>22</v>
      </c>
      <c r="F1851" s="1">
        <v>0.51</v>
      </c>
      <c r="G1851" s="1">
        <v>480</v>
      </c>
      <c r="H1851" s="3">
        <f t="shared" si="32"/>
        <v>244.8</v>
      </c>
      <c r="J1851" s="1">
        <v>10.11</v>
      </c>
    </row>
    <row r="1852" customHeight="1" spans="1:10">
      <c r="A1852" s="3">
        <v>1930</v>
      </c>
      <c r="B1852" s="1" t="s">
        <v>719</v>
      </c>
      <c r="C1852" s="1" t="s">
        <v>669</v>
      </c>
      <c r="D1852" s="1" t="s">
        <v>246</v>
      </c>
      <c r="E1852" s="1" t="s">
        <v>22</v>
      </c>
      <c r="F1852" s="1">
        <v>1.35</v>
      </c>
      <c r="G1852" s="1">
        <v>480</v>
      </c>
      <c r="H1852" s="3">
        <f t="shared" si="32"/>
        <v>648</v>
      </c>
      <c r="J1852" s="1">
        <v>10.11</v>
      </c>
    </row>
    <row r="1853" customHeight="1" spans="1:10">
      <c r="A1853" s="3">
        <v>1931</v>
      </c>
      <c r="B1853" s="1" t="s">
        <v>703</v>
      </c>
      <c r="C1853" s="1" t="s">
        <v>669</v>
      </c>
      <c r="D1853" s="1" t="s">
        <v>246</v>
      </c>
      <c r="E1853" s="1" t="s">
        <v>22</v>
      </c>
      <c r="F1853" s="1">
        <v>0.3</v>
      </c>
      <c r="G1853" s="1">
        <v>480</v>
      </c>
      <c r="H1853" s="3">
        <f t="shared" si="32"/>
        <v>144</v>
      </c>
      <c r="J1853" s="1">
        <v>10.11</v>
      </c>
    </row>
    <row r="1854" customHeight="1" spans="1:10">
      <c r="A1854" s="3">
        <v>1932</v>
      </c>
      <c r="B1854" s="1" t="s">
        <v>725</v>
      </c>
      <c r="C1854" s="1" t="s">
        <v>669</v>
      </c>
      <c r="D1854" s="1" t="s">
        <v>726</v>
      </c>
      <c r="E1854" s="1" t="s">
        <v>22</v>
      </c>
      <c r="F1854" s="1">
        <v>0.93</v>
      </c>
      <c r="G1854" s="1">
        <v>480</v>
      </c>
      <c r="H1854" s="3">
        <f t="shared" si="32"/>
        <v>446.4</v>
      </c>
      <c r="J1854" s="1">
        <v>10.11</v>
      </c>
    </row>
    <row r="1855" customHeight="1" spans="1:10">
      <c r="A1855" s="3">
        <v>1933</v>
      </c>
      <c r="B1855" s="1" t="s">
        <v>727</v>
      </c>
      <c r="C1855" s="1" t="s">
        <v>669</v>
      </c>
      <c r="D1855" s="1" t="s">
        <v>726</v>
      </c>
      <c r="E1855" s="1" t="s">
        <v>22</v>
      </c>
      <c r="F1855" s="1">
        <v>0.67</v>
      </c>
      <c r="G1855" s="1">
        <v>480</v>
      </c>
      <c r="H1855" s="3">
        <f t="shared" si="32"/>
        <v>321.6</v>
      </c>
      <c r="J1855" s="1">
        <v>10.11</v>
      </c>
    </row>
    <row r="1856" customHeight="1" spans="1:10">
      <c r="A1856" s="3">
        <v>1934</v>
      </c>
      <c r="B1856" s="1" t="s">
        <v>728</v>
      </c>
      <c r="C1856" s="1" t="s">
        <v>669</v>
      </c>
      <c r="D1856" s="1" t="s">
        <v>726</v>
      </c>
      <c r="E1856" s="1" t="s">
        <v>22</v>
      </c>
      <c r="F1856" s="1">
        <v>0.49</v>
      </c>
      <c r="G1856" s="1">
        <v>480</v>
      </c>
      <c r="H1856" s="3">
        <f t="shared" si="32"/>
        <v>235.2</v>
      </c>
      <c r="J1856" s="1">
        <v>10.11</v>
      </c>
    </row>
    <row r="1857" customHeight="1" spans="1:10">
      <c r="A1857" s="3">
        <v>1935</v>
      </c>
      <c r="B1857" s="1" t="s">
        <v>705</v>
      </c>
      <c r="C1857" s="1" t="s">
        <v>669</v>
      </c>
      <c r="D1857" s="1" t="s">
        <v>726</v>
      </c>
      <c r="E1857" s="1" t="s">
        <v>22</v>
      </c>
      <c r="G1857" s="1">
        <v>480</v>
      </c>
      <c r="H1857" s="3">
        <f t="shared" si="32"/>
        <v>0</v>
      </c>
      <c r="I1857" s="1" t="s">
        <v>729</v>
      </c>
      <c r="J1857" s="1">
        <v>10.11</v>
      </c>
    </row>
    <row r="1858" customHeight="1" spans="1:10">
      <c r="A1858" s="3">
        <v>1936</v>
      </c>
      <c r="B1858" s="1" t="s">
        <v>724</v>
      </c>
      <c r="C1858" s="1" t="s">
        <v>669</v>
      </c>
      <c r="D1858" s="1" t="s">
        <v>726</v>
      </c>
      <c r="E1858" s="1" t="s">
        <v>22</v>
      </c>
      <c r="G1858" s="1">
        <v>480</v>
      </c>
      <c r="H1858" s="3">
        <f t="shared" si="32"/>
        <v>0</v>
      </c>
      <c r="I1858" s="1" t="s">
        <v>729</v>
      </c>
      <c r="J1858" s="1">
        <v>10.11</v>
      </c>
    </row>
    <row r="1859" customHeight="1" spans="1:10">
      <c r="A1859" s="3">
        <v>1937</v>
      </c>
      <c r="B1859" s="1" t="s">
        <v>730</v>
      </c>
      <c r="C1859" s="1" t="s">
        <v>669</v>
      </c>
      <c r="D1859" s="1" t="s">
        <v>226</v>
      </c>
      <c r="E1859" s="1" t="s">
        <v>22</v>
      </c>
      <c r="F1859" s="1">
        <v>0.22</v>
      </c>
      <c r="G1859" s="1">
        <v>480</v>
      </c>
      <c r="H1859" s="3">
        <f t="shared" si="32"/>
        <v>105.6</v>
      </c>
      <c r="J1859" s="1">
        <v>10.11</v>
      </c>
    </row>
    <row r="1860" customHeight="1" spans="1:10">
      <c r="A1860" s="3">
        <v>1938</v>
      </c>
      <c r="B1860" s="1" t="s">
        <v>728</v>
      </c>
      <c r="C1860" s="1" t="s">
        <v>669</v>
      </c>
      <c r="D1860" s="1" t="s">
        <v>697</v>
      </c>
      <c r="E1860" s="1" t="s">
        <v>22</v>
      </c>
      <c r="F1860" s="1">
        <v>0.39</v>
      </c>
      <c r="G1860" s="1">
        <v>480</v>
      </c>
      <c r="H1860" s="3">
        <f t="shared" si="32"/>
        <v>187.2</v>
      </c>
      <c r="J1860" s="1">
        <v>10.11</v>
      </c>
    </row>
    <row r="1861" customHeight="1" spans="1:10">
      <c r="A1861" s="3">
        <v>1939</v>
      </c>
      <c r="B1861" s="1" t="s">
        <v>703</v>
      </c>
      <c r="C1861" s="1" t="s">
        <v>669</v>
      </c>
      <c r="D1861" s="1" t="s">
        <v>697</v>
      </c>
      <c r="E1861" s="1" t="s">
        <v>22</v>
      </c>
      <c r="F1861" s="1">
        <v>0.19</v>
      </c>
      <c r="G1861" s="1">
        <v>480</v>
      </c>
      <c r="H1861" s="3">
        <f t="shared" si="32"/>
        <v>91.2</v>
      </c>
      <c r="J1861" s="1">
        <v>10.11</v>
      </c>
    </row>
    <row r="1862" customHeight="1" spans="1:10">
      <c r="A1862" s="3">
        <v>1940</v>
      </c>
      <c r="B1862" s="1" t="s">
        <v>731</v>
      </c>
      <c r="C1862" s="1" t="s">
        <v>669</v>
      </c>
      <c r="D1862" s="1" t="s">
        <v>697</v>
      </c>
      <c r="E1862" s="1" t="s">
        <v>22</v>
      </c>
      <c r="F1862" s="1">
        <v>0.54</v>
      </c>
      <c r="G1862" s="1">
        <v>480</v>
      </c>
      <c r="H1862" s="3">
        <f t="shared" si="32"/>
        <v>259.2</v>
      </c>
      <c r="J1862" s="1">
        <v>10.11</v>
      </c>
    </row>
    <row r="1863" customHeight="1" spans="1:10">
      <c r="A1863" s="3">
        <v>1941</v>
      </c>
      <c r="B1863" s="1" t="s">
        <v>715</v>
      </c>
      <c r="C1863" s="1" t="s">
        <v>669</v>
      </c>
      <c r="D1863" s="1" t="s">
        <v>328</v>
      </c>
      <c r="E1863" s="1" t="s">
        <v>22</v>
      </c>
      <c r="F1863" s="1">
        <v>0.24</v>
      </c>
      <c r="G1863" s="1">
        <v>480</v>
      </c>
      <c r="H1863" s="3">
        <f t="shared" si="32"/>
        <v>115.2</v>
      </c>
      <c r="J1863" s="1">
        <v>10.11</v>
      </c>
    </row>
    <row r="1864" customHeight="1" spans="1:10">
      <c r="A1864" s="3">
        <v>1942</v>
      </c>
      <c r="B1864" s="1" t="s">
        <v>732</v>
      </c>
      <c r="C1864" s="1" t="s">
        <v>669</v>
      </c>
      <c r="D1864" s="1" t="s">
        <v>733</v>
      </c>
      <c r="E1864" s="1" t="s">
        <v>22</v>
      </c>
      <c r="F1864" s="1">
        <v>0.36</v>
      </c>
      <c r="G1864" s="1">
        <v>480</v>
      </c>
      <c r="H1864" s="3">
        <f t="shared" si="32"/>
        <v>172.8</v>
      </c>
      <c r="J1864" s="1">
        <v>10.11</v>
      </c>
    </row>
    <row r="1865" customHeight="1" spans="1:10">
      <c r="A1865" s="3">
        <v>1943</v>
      </c>
      <c r="B1865" s="1" t="s">
        <v>709</v>
      </c>
      <c r="C1865" s="1" t="s">
        <v>669</v>
      </c>
      <c r="D1865" s="1" t="s">
        <v>733</v>
      </c>
      <c r="E1865" s="1" t="s">
        <v>22</v>
      </c>
      <c r="F1865" s="1">
        <v>0.03</v>
      </c>
      <c r="G1865" s="1">
        <v>480</v>
      </c>
      <c r="H1865" s="3">
        <f t="shared" si="32"/>
        <v>14.4</v>
      </c>
      <c r="J1865" s="1">
        <v>10.11</v>
      </c>
    </row>
    <row r="1866" customHeight="1" spans="1:10">
      <c r="A1866" s="3">
        <v>1944</v>
      </c>
      <c r="B1866" s="1" t="s">
        <v>727</v>
      </c>
      <c r="C1866" s="1" t="s">
        <v>669</v>
      </c>
      <c r="D1866" s="1" t="s">
        <v>733</v>
      </c>
      <c r="E1866" s="1" t="s">
        <v>22</v>
      </c>
      <c r="F1866" s="1">
        <v>0.12</v>
      </c>
      <c r="G1866" s="1">
        <v>480</v>
      </c>
      <c r="H1866" s="3">
        <f t="shared" si="32"/>
        <v>57.6</v>
      </c>
      <c r="J1866" s="1">
        <v>10.11</v>
      </c>
    </row>
    <row r="1867" customHeight="1" spans="1:10">
      <c r="A1867" s="3">
        <v>1945</v>
      </c>
      <c r="B1867" s="1" t="s">
        <v>719</v>
      </c>
      <c r="C1867" s="1" t="s">
        <v>669</v>
      </c>
      <c r="D1867" s="1" t="s">
        <v>659</v>
      </c>
      <c r="E1867" s="1" t="s">
        <v>22</v>
      </c>
      <c r="F1867" s="1">
        <v>0.3</v>
      </c>
      <c r="G1867" s="1">
        <v>480</v>
      </c>
      <c r="H1867" s="3">
        <f t="shared" si="32"/>
        <v>144</v>
      </c>
      <c r="J1867" s="1">
        <v>10.11</v>
      </c>
    </row>
    <row r="1868" customHeight="1" spans="1:10">
      <c r="A1868" s="3">
        <v>1946</v>
      </c>
      <c r="B1868" s="1" t="s">
        <v>702</v>
      </c>
      <c r="C1868" s="1" t="s">
        <v>669</v>
      </c>
      <c r="D1868" s="1" t="s">
        <v>659</v>
      </c>
      <c r="E1868" s="1" t="s">
        <v>22</v>
      </c>
      <c r="F1868" s="1">
        <v>0.62</v>
      </c>
      <c r="G1868" s="1">
        <v>480</v>
      </c>
      <c r="H1868" s="3">
        <f t="shared" si="32"/>
        <v>297.6</v>
      </c>
      <c r="J1868" s="1">
        <v>10.11</v>
      </c>
    </row>
    <row r="1869" customHeight="1" spans="1:10">
      <c r="A1869" s="3">
        <v>1947</v>
      </c>
      <c r="B1869" s="1" t="s">
        <v>727</v>
      </c>
      <c r="C1869" s="1" t="s">
        <v>669</v>
      </c>
      <c r="D1869" s="1" t="s">
        <v>734</v>
      </c>
      <c r="E1869" s="1" t="s">
        <v>22</v>
      </c>
      <c r="F1869" s="1">
        <v>0.09</v>
      </c>
      <c r="G1869" s="1">
        <v>480</v>
      </c>
      <c r="H1869" s="3">
        <f t="shared" si="32"/>
        <v>43.2</v>
      </c>
      <c r="J1869" s="1">
        <v>10.11</v>
      </c>
    </row>
    <row r="1870" customHeight="1" spans="1:10">
      <c r="A1870" s="3">
        <v>1948</v>
      </c>
      <c r="B1870" s="1" t="s">
        <v>702</v>
      </c>
      <c r="C1870" s="1" t="s">
        <v>669</v>
      </c>
      <c r="D1870" s="1" t="s">
        <v>194</v>
      </c>
      <c r="E1870" s="1" t="s">
        <v>22</v>
      </c>
      <c r="F1870" s="1">
        <v>0.31</v>
      </c>
      <c r="G1870" s="1">
        <v>480</v>
      </c>
      <c r="H1870" s="3">
        <f t="shared" si="32"/>
        <v>148.8</v>
      </c>
      <c r="J1870" s="1">
        <v>10.11</v>
      </c>
    </row>
    <row r="1871" customHeight="1" spans="1:10">
      <c r="A1871" s="3">
        <v>1949</v>
      </c>
      <c r="B1871" s="1" t="s">
        <v>719</v>
      </c>
      <c r="C1871" s="1" t="s">
        <v>669</v>
      </c>
      <c r="D1871" s="1" t="s">
        <v>194</v>
      </c>
      <c r="E1871" s="1" t="s">
        <v>22</v>
      </c>
      <c r="F1871" s="1">
        <v>0.26</v>
      </c>
      <c r="G1871" s="1">
        <v>480</v>
      </c>
      <c r="H1871" s="3">
        <f t="shared" si="32"/>
        <v>124.8</v>
      </c>
      <c r="J1871" s="1">
        <v>10.11</v>
      </c>
    </row>
    <row r="1872" customHeight="1" spans="1:10">
      <c r="A1872" s="3">
        <v>1950</v>
      </c>
      <c r="B1872" s="1" t="s">
        <v>727</v>
      </c>
      <c r="C1872" s="1" t="s">
        <v>669</v>
      </c>
      <c r="D1872" s="1" t="s">
        <v>194</v>
      </c>
      <c r="E1872" s="1" t="s">
        <v>22</v>
      </c>
      <c r="F1872" s="1">
        <v>0.15</v>
      </c>
      <c r="G1872" s="1">
        <v>480</v>
      </c>
      <c r="H1872" s="3">
        <f t="shared" si="32"/>
        <v>72</v>
      </c>
      <c r="J1872" s="1">
        <v>10.11</v>
      </c>
    </row>
    <row r="1873" customHeight="1" spans="1:10">
      <c r="A1873" s="3">
        <v>1951</v>
      </c>
      <c r="B1873" s="1" t="s">
        <v>567</v>
      </c>
      <c r="C1873" s="3" t="s">
        <v>558</v>
      </c>
      <c r="D1873" s="1" t="s">
        <v>735</v>
      </c>
      <c r="E1873" s="1" t="s">
        <v>22</v>
      </c>
      <c r="F1873" s="1">
        <v>0.18</v>
      </c>
      <c r="G1873" s="1">
        <v>480</v>
      </c>
      <c r="H1873" s="3">
        <f t="shared" si="32"/>
        <v>86.4</v>
      </c>
      <c r="I1873" s="3" t="s">
        <v>25</v>
      </c>
      <c r="J1873" s="1">
        <v>10.11</v>
      </c>
    </row>
    <row r="1874" customHeight="1" spans="1:10">
      <c r="A1874" s="3">
        <v>1952</v>
      </c>
      <c r="B1874" s="1" t="s">
        <v>731</v>
      </c>
      <c r="C1874" s="1" t="s">
        <v>669</v>
      </c>
      <c r="D1874" s="1" t="s">
        <v>283</v>
      </c>
      <c r="E1874" s="1" t="s">
        <v>22</v>
      </c>
      <c r="F1874" s="1">
        <v>0.3</v>
      </c>
      <c r="G1874" s="1">
        <v>480</v>
      </c>
      <c r="H1874" s="3">
        <f t="shared" si="32"/>
        <v>144</v>
      </c>
      <c r="J1874" s="1">
        <v>10.11</v>
      </c>
    </row>
    <row r="1875" customHeight="1" spans="1:10">
      <c r="A1875" s="3">
        <v>1953</v>
      </c>
      <c r="B1875" s="1" t="s">
        <v>732</v>
      </c>
      <c r="C1875" s="1" t="s">
        <v>669</v>
      </c>
      <c r="D1875" s="1" t="s">
        <v>283</v>
      </c>
      <c r="E1875" s="1" t="s">
        <v>22</v>
      </c>
      <c r="F1875" s="1">
        <v>0.37</v>
      </c>
      <c r="G1875" s="1">
        <v>480</v>
      </c>
      <c r="H1875" s="3">
        <f t="shared" si="32"/>
        <v>177.6</v>
      </c>
      <c r="J1875" s="1">
        <v>10.11</v>
      </c>
    </row>
    <row r="1876" customHeight="1" spans="1:10">
      <c r="A1876" s="3">
        <v>1954</v>
      </c>
      <c r="B1876" s="1" t="s">
        <v>698</v>
      </c>
      <c r="C1876" s="1" t="s">
        <v>669</v>
      </c>
      <c r="D1876" s="1" t="s">
        <v>283</v>
      </c>
      <c r="E1876" s="1" t="s">
        <v>22</v>
      </c>
      <c r="F1876" s="1">
        <v>0.89</v>
      </c>
      <c r="G1876" s="1">
        <v>480</v>
      </c>
      <c r="H1876" s="3">
        <f t="shared" si="32"/>
        <v>427.2</v>
      </c>
      <c r="J1876" s="1">
        <v>10.11</v>
      </c>
    </row>
    <row r="1877" customHeight="1" spans="1:10">
      <c r="A1877" s="3">
        <v>1955</v>
      </c>
      <c r="B1877" s="1" t="s">
        <v>736</v>
      </c>
      <c r="C1877" s="1" t="s">
        <v>669</v>
      </c>
      <c r="D1877" s="1" t="s">
        <v>178</v>
      </c>
      <c r="E1877" s="1" t="s">
        <v>22</v>
      </c>
      <c r="F1877" s="1">
        <v>0.24</v>
      </c>
      <c r="G1877" s="1">
        <v>480</v>
      </c>
      <c r="H1877" s="3">
        <f t="shared" si="32"/>
        <v>115.2</v>
      </c>
      <c r="J1877" s="1">
        <v>10.11</v>
      </c>
    </row>
    <row r="1878" customHeight="1" spans="1:10">
      <c r="A1878" s="3">
        <v>1956</v>
      </c>
      <c r="B1878" s="1" t="s">
        <v>737</v>
      </c>
      <c r="C1878" s="1" t="s">
        <v>669</v>
      </c>
      <c r="D1878" s="1" t="s">
        <v>283</v>
      </c>
      <c r="E1878" s="1" t="s">
        <v>22</v>
      </c>
      <c r="F1878" s="1">
        <v>0.5</v>
      </c>
      <c r="G1878" s="1">
        <v>480</v>
      </c>
      <c r="H1878" s="3">
        <f t="shared" si="32"/>
        <v>240</v>
      </c>
      <c r="J1878" s="1">
        <v>10.11</v>
      </c>
    </row>
    <row r="1879" customHeight="1" spans="1:10">
      <c r="A1879" s="3">
        <v>1957</v>
      </c>
      <c r="B1879" s="1" t="s">
        <v>724</v>
      </c>
      <c r="C1879" s="1" t="s">
        <v>669</v>
      </c>
      <c r="D1879" s="1" t="s">
        <v>283</v>
      </c>
      <c r="E1879" s="1" t="s">
        <v>22</v>
      </c>
      <c r="F1879" s="1">
        <v>0.39</v>
      </c>
      <c r="G1879" s="1">
        <v>480</v>
      </c>
      <c r="H1879" s="3">
        <f t="shared" si="32"/>
        <v>187.2</v>
      </c>
      <c r="J1879" s="1">
        <v>10.11</v>
      </c>
    </row>
    <row r="1880" customHeight="1" spans="1:10">
      <c r="A1880" s="3">
        <v>1958</v>
      </c>
      <c r="B1880" s="1" t="s">
        <v>707</v>
      </c>
      <c r="C1880" s="1" t="s">
        <v>669</v>
      </c>
      <c r="D1880" s="1" t="s">
        <v>738</v>
      </c>
      <c r="E1880" s="1" t="s">
        <v>22</v>
      </c>
      <c r="F1880" s="1">
        <v>0.27</v>
      </c>
      <c r="G1880" s="1">
        <v>480</v>
      </c>
      <c r="H1880" s="3">
        <f t="shared" si="32"/>
        <v>129.6</v>
      </c>
      <c r="J1880" s="1">
        <v>10.11</v>
      </c>
    </row>
    <row r="1881" customHeight="1" spans="1:10">
      <c r="A1881" s="3">
        <v>1959</v>
      </c>
      <c r="B1881" s="1" t="s">
        <v>727</v>
      </c>
      <c r="C1881" s="1" t="s">
        <v>669</v>
      </c>
      <c r="D1881" s="1" t="s">
        <v>185</v>
      </c>
      <c r="E1881" s="1" t="s">
        <v>22</v>
      </c>
      <c r="F1881" s="1">
        <v>0.62</v>
      </c>
      <c r="G1881" s="1">
        <v>480</v>
      </c>
      <c r="H1881" s="3">
        <f t="shared" si="32"/>
        <v>297.6</v>
      </c>
      <c r="J1881" s="1">
        <v>10.11</v>
      </c>
    </row>
    <row r="1882" customHeight="1" spans="1:10">
      <c r="A1882" s="3">
        <v>1960</v>
      </c>
      <c r="B1882" s="1" t="s">
        <v>724</v>
      </c>
      <c r="C1882" s="1" t="s">
        <v>669</v>
      </c>
      <c r="D1882" s="1" t="s">
        <v>739</v>
      </c>
      <c r="E1882" s="1" t="s">
        <v>22</v>
      </c>
      <c r="F1882" s="1">
        <v>0.41</v>
      </c>
      <c r="G1882" s="1">
        <v>480</v>
      </c>
      <c r="H1882" s="3">
        <f t="shared" si="32"/>
        <v>196.8</v>
      </c>
      <c r="J1882" s="1">
        <v>10.11</v>
      </c>
    </row>
    <row r="1883" customHeight="1" spans="1:10">
      <c r="A1883" s="3">
        <v>1961</v>
      </c>
      <c r="B1883" s="1" t="s">
        <v>740</v>
      </c>
      <c r="C1883" s="1" t="s">
        <v>669</v>
      </c>
      <c r="D1883" s="1" t="s">
        <v>739</v>
      </c>
      <c r="E1883" s="1" t="s">
        <v>22</v>
      </c>
      <c r="F1883" s="1">
        <v>0.14</v>
      </c>
      <c r="G1883" s="1">
        <v>480</v>
      </c>
      <c r="H1883" s="3">
        <f t="shared" si="32"/>
        <v>67.2</v>
      </c>
      <c r="J1883" s="1">
        <v>10.11</v>
      </c>
    </row>
    <row r="1884" customHeight="1" spans="1:10">
      <c r="A1884" s="3">
        <v>1962</v>
      </c>
      <c r="B1884" s="1" t="s">
        <v>728</v>
      </c>
      <c r="C1884" s="1" t="s">
        <v>669</v>
      </c>
      <c r="D1884" s="1" t="s">
        <v>739</v>
      </c>
      <c r="E1884" s="1" t="s">
        <v>22</v>
      </c>
      <c r="F1884" s="1">
        <v>0.45</v>
      </c>
      <c r="G1884" s="1">
        <v>480</v>
      </c>
      <c r="H1884" s="3">
        <f t="shared" ref="H1884:H1947" si="33">G1884*F1884</f>
        <v>216</v>
      </c>
      <c r="J1884" s="1">
        <v>10.11</v>
      </c>
    </row>
    <row r="1885" customHeight="1" spans="1:10">
      <c r="A1885" s="3">
        <v>1963</v>
      </c>
      <c r="B1885" s="1" t="s">
        <v>736</v>
      </c>
      <c r="C1885" s="1" t="s">
        <v>669</v>
      </c>
      <c r="D1885" s="1" t="s">
        <v>717</v>
      </c>
      <c r="E1885" s="1" t="s">
        <v>22</v>
      </c>
      <c r="F1885" s="1">
        <v>0.31</v>
      </c>
      <c r="G1885" s="1">
        <v>480</v>
      </c>
      <c r="H1885" s="3">
        <f t="shared" si="33"/>
        <v>148.8</v>
      </c>
      <c r="J1885" s="1">
        <v>10.11</v>
      </c>
    </row>
    <row r="1886" customHeight="1" spans="1:10">
      <c r="A1886" s="3">
        <v>1964</v>
      </c>
      <c r="B1886" s="1" t="s">
        <v>741</v>
      </c>
      <c r="C1886" s="1" t="s">
        <v>669</v>
      </c>
      <c r="D1886" s="1" t="s">
        <v>717</v>
      </c>
      <c r="E1886" s="1" t="s">
        <v>22</v>
      </c>
      <c r="F1886" s="1">
        <v>0.66</v>
      </c>
      <c r="G1886" s="1">
        <v>480</v>
      </c>
      <c r="H1886" s="3">
        <f t="shared" si="33"/>
        <v>316.8</v>
      </c>
      <c r="J1886" s="1">
        <v>10.11</v>
      </c>
    </row>
    <row r="1887" customHeight="1" spans="1:10">
      <c r="A1887" s="3">
        <v>1965</v>
      </c>
      <c r="B1887" s="1" t="s">
        <v>699</v>
      </c>
      <c r="C1887" s="1" t="s">
        <v>669</v>
      </c>
      <c r="D1887" s="1" t="s">
        <v>717</v>
      </c>
      <c r="E1887" s="1" t="s">
        <v>22</v>
      </c>
      <c r="F1887" s="1">
        <v>0.6</v>
      </c>
      <c r="G1887" s="1">
        <v>480</v>
      </c>
      <c r="H1887" s="3">
        <f t="shared" si="33"/>
        <v>288</v>
      </c>
      <c r="J1887" s="1">
        <v>10.11</v>
      </c>
    </row>
    <row r="1888" customHeight="1" spans="1:10">
      <c r="A1888" s="3">
        <v>1966</v>
      </c>
      <c r="B1888" s="1" t="s">
        <v>730</v>
      </c>
      <c r="C1888" s="1" t="s">
        <v>669</v>
      </c>
      <c r="D1888" s="1" t="s">
        <v>742</v>
      </c>
      <c r="E1888" s="1" t="s">
        <v>13</v>
      </c>
      <c r="F1888" s="1">
        <v>0.07</v>
      </c>
      <c r="G1888" s="1">
        <v>380</v>
      </c>
      <c r="H1888" s="3">
        <f t="shared" si="33"/>
        <v>26.6</v>
      </c>
      <c r="J1888" s="1">
        <v>10.11</v>
      </c>
    </row>
    <row r="1889" customHeight="1" spans="1:10">
      <c r="A1889" s="3">
        <v>1967</v>
      </c>
      <c r="B1889" s="1" t="s">
        <v>707</v>
      </c>
      <c r="C1889" s="1" t="s">
        <v>669</v>
      </c>
      <c r="D1889" s="1" t="s">
        <v>742</v>
      </c>
      <c r="E1889" s="1" t="s">
        <v>13</v>
      </c>
      <c r="F1889" s="1">
        <v>0.1</v>
      </c>
      <c r="G1889" s="1">
        <v>380</v>
      </c>
      <c r="H1889" s="3">
        <f t="shared" si="33"/>
        <v>38</v>
      </c>
      <c r="J1889" s="1">
        <v>10.11</v>
      </c>
    </row>
    <row r="1890" customHeight="1" spans="1:10">
      <c r="A1890" s="3">
        <v>1968</v>
      </c>
      <c r="B1890" s="1" t="s">
        <v>714</v>
      </c>
      <c r="C1890" s="1" t="s">
        <v>669</v>
      </c>
      <c r="D1890" s="1" t="s">
        <v>742</v>
      </c>
      <c r="E1890" s="1" t="s">
        <v>13</v>
      </c>
      <c r="F1890" s="1">
        <v>0.65</v>
      </c>
      <c r="G1890" s="1">
        <v>380</v>
      </c>
      <c r="H1890" s="3">
        <f t="shared" si="33"/>
        <v>247</v>
      </c>
      <c r="J1890" s="1">
        <v>10.11</v>
      </c>
    </row>
    <row r="1891" customHeight="1" spans="1:10">
      <c r="A1891" s="3">
        <v>1969</v>
      </c>
      <c r="B1891" s="1" t="s">
        <v>730</v>
      </c>
      <c r="C1891" s="1" t="s">
        <v>669</v>
      </c>
      <c r="D1891" s="1" t="s">
        <v>742</v>
      </c>
      <c r="E1891" s="1" t="s">
        <v>13</v>
      </c>
      <c r="F1891" s="1">
        <v>0.59</v>
      </c>
      <c r="G1891" s="1">
        <v>380</v>
      </c>
      <c r="H1891" s="3">
        <f t="shared" si="33"/>
        <v>224.2</v>
      </c>
      <c r="J1891" s="1">
        <v>10.11</v>
      </c>
    </row>
    <row r="1892" customHeight="1" spans="1:10">
      <c r="A1892" s="3">
        <v>1970</v>
      </c>
      <c r="B1892" s="1" t="s">
        <v>724</v>
      </c>
      <c r="C1892" s="1" t="s">
        <v>669</v>
      </c>
      <c r="D1892" s="1" t="s">
        <v>742</v>
      </c>
      <c r="E1892" s="1" t="s">
        <v>13</v>
      </c>
      <c r="F1892" s="1">
        <v>0.46</v>
      </c>
      <c r="G1892" s="1">
        <v>380</v>
      </c>
      <c r="H1892" s="3">
        <f t="shared" si="33"/>
        <v>174.8</v>
      </c>
      <c r="J1892" s="1">
        <v>10.11</v>
      </c>
    </row>
    <row r="1893" customHeight="1" spans="1:10">
      <c r="A1893" s="3">
        <v>1971</v>
      </c>
      <c r="B1893" s="1" t="s">
        <v>714</v>
      </c>
      <c r="C1893" s="1" t="s">
        <v>669</v>
      </c>
      <c r="D1893" s="1" t="s">
        <v>742</v>
      </c>
      <c r="E1893" s="1" t="s">
        <v>13</v>
      </c>
      <c r="F1893" s="1">
        <v>0.51</v>
      </c>
      <c r="G1893" s="1">
        <v>380</v>
      </c>
      <c r="H1893" s="3">
        <f t="shared" si="33"/>
        <v>193.8</v>
      </c>
      <c r="J1893" s="1">
        <v>10.11</v>
      </c>
    </row>
    <row r="1894" customHeight="1" spans="1:10">
      <c r="A1894" s="3">
        <v>1972</v>
      </c>
      <c r="B1894" s="1" t="s">
        <v>714</v>
      </c>
      <c r="C1894" s="1" t="s">
        <v>669</v>
      </c>
      <c r="D1894" s="1" t="s">
        <v>742</v>
      </c>
      <c r="E1894" s="1" t="s">
        <v>13</v>
      </c>
      <c r="F1894" s="1">
        <v>0.2</v>
      </c>
      <c r="G1894" s="1">
        <v>380</v>
      </c>
      <c r="H1894" s="3">
        <f t="shared" si="33"/>
        <v>76</v>
      </c>
      <c r="J1894" s="1">
        <v>10.11</v>
      </c>
    </row>
    <row r="1895" customHeight="1" spans="1:10">
      <c r="A1895" s="3">
        <v>1973</v>
      </c>
      <c r="B1895" s="1" t="s">
        <v>698</v>
      </c>
      <c r="C1895" s="1" t="s">
        <v>669</v>
      </c>
      <c r="D1895" s="1" t="s">
        <v>742</v>
      </c>
      <c r="E1895" s="1" t="s">
        <v>13</v>
      </c>
      <c r="F1895" s="1">
        <v>0.3</v>
      </c>
      <c r="G1895" s="1">
        <v>380</v>
      </c>
      <c r="H1895" s="3">
        <f t="shared" si="33"/>
        <v>114</v>
      </c>
      <c r="J1895" s="1">
        <v>10.11</v>
      </c>
    </row>
    <row r="1896" customHeight="1" spans="1:10">
      <c r="A1896" s="3">
        <v>1974</v>
      </c>
      <c r="B1896" s="1" t="s">
        <v>725</v>
      </c>
      <c r="C1896" s="1" t="s">
        <v>669</v>
      </c>
      <c r="D1896" s="1" t="s">
        <v>742</v>
      </c>
      <c r="E1896" s="1" t="s">
        <v>13</v>
      </c>
      <c r="F1896" s="1">
        <v>0.12</v>
      </c>
      <c r="G1896" s="1">
        <v>380</v>
      </c>
      <c r="H1896" s="3">
        <f t="shared" si="33"/>
        <v>45.6</v>
      </c>
      <c r="J1896" s="1">
        <v>10.11</v>
      </c>
    </row>
    <row r="1897" customHeight="1" spans="1:10">
      <c r="A1897" s="3">
        <v>1975</v>
      </c>
      <c r="B1897" s="1" t="s">
        <v>719</v>
      </c>
      <c r="C1897" s="1" t="s">
        <v>669</v>
      </c>
      <c r="D1897" s="1" t="s">
        <v>742</v>
      </c>
      <c r="E1897" s="1" t="s">
        <v>13</v>
      </c>
      <c r="F1897" s="1">
        <v>0.77</v>
      </c>
      <c r="G1897" s="1">
        <v>380</v>
      </c>
      <c r="H1897" s="3">
        <f t="shared" si="33"/>
        <v>292.6</v>
      </c>
      <c r="J1897" s="1">
        <v>10.11</v>
      </c>
    </row>
    <row r="1898" customHeight="1" spans="1:10">
      <c r="A1898" s="3">
        <v>1976</v>
      </c>
      <c r="B1898" s="1" t="s">
        <v>698</v>
      </c>
      <c r="C1898" s="1" t="s">
        <v>669</v>
      </c>
      <c r="D1898" s="1" t="s">
        <v>217</v>
      </c>
      <c r="E1898" s="1" t="s">
        <v>22</v>
      </c>
      <c r="F1898" s="1">
        <v>0.2</v>
      </c>
      <c r="G1898" s="1">
        <v>480</v>
      </c>
      <c r="H1898" s="3">
        <f t="shared" si="33"/>
        <v>96</v>
      </c>
      <c r="J1898" s="1">
        <v>10.11</v>
      </c>
    </row>
    <row r="1899" customHeight="1" spans="1:10">
      <c r="A1899" s="3">
        <v>1977</v>
      </c>
      <c r="B1899" s="1" t="s">
        <v>740</v>
      </c>
      <c r="C1899" s="1" t="s">
        <v>669</v>
      </c>
      <c r="D1899" s="1" t="s">
        <v>217</v>
      </c>
      <c r="E1899" s="1" t="s">
        <v>22</v>
      </c>
      <c r="F1899" s="1">
        <v>0.56</v>
      </c>
      <c r="G1899" s="1">
        <v>480</v>
      </c>
      <c r="H1899" s="3">
        <f t="shared" si="33"/>
        <v>268.8</v>
      </c>
      <c r="J1899" s="1">
        <v>10.11</v>
      </c>
    </row>
    <row r="1900" customHeight="1" spans="1:10">
      <c r="A1900" s="3">
        <v>1978</v>
      </c>
      <c r="B1900" s="1" t="s">
        <v>743</v>
      </c>
      <c r="C1900" s="1" t="s">
        <v>669</v>
      </c>
      <c r="D1900" s="1" t="s">
        <v>217</v>
      </c>
      <c r="E1900" s="1" t="s">
        <v>22</v>
      </c>
      <c r="F1900" s="1">
        <v>0.1</v>
      </c>
      <c r="G1900" s="1">
        <v>480</v>
      </c>
      <c r="H1900" s="3">
        <f t="shared" si="33"/>
        <v>48</v>
      </c>
      <c r="J1900" s="1">
        <v>10.11</v>
      </c>
    </row>
    <row r="1901" customHeight="1" spans="1:10">
      <c r="A1901" s="3">
        <v>1979</v>
      </c>
      <c r="B1901" s="1" t="s">
        <v>732</v>
      </c>
      <c r="C1901" s="1" t="s">
        <v>669</v>
      </c>
      <c r="D1901" s="1" t="s">
        <v>217</v>
      </c>
      <c r="E1901" s="1" t="s">
        <v>22</v>
      </c>
      <c r="F1901" s="1">
        <v>0.2</v>
      </c>
      <c r="G1901" s="1">
        <v>480</v>
      </c>
      <c r="H1901" s="3">
        <f t="shared" si="33"/>
        <v>96</v>
      </c>
      <c r="J1901" s="1">
        <v>10.11</v>
      </c>
    </row>
    <row r="1902" customHeight="1" spans="1:10">
      <c r="A1902" s="3">
        <v>1980</v>
      </c>
      <c r="B1902" s="1" t="s">
        <v>736</v>
      </c>
      <c r="C1902" s="1" t="s">
        <v>669</v>
      </c>
      <c r="D1902" s="1" t="s">
        <v>217</v>
      </c>
      <c r="E1902" s="1" t="s">
        <v>22</v>
      </c>
      <c r="F1902" s="1">
        <v>0.2</v>
      </c>
      <c r="G1902" s="1">
        <v>480</v>
      </c>
      <c r="H1902" s="3">
        <f t="shared" si="33"/>
        <v>96</v>
      </c>
      <c r="J1902" s="1">
        <v>10.11</v>
      </c>
    </row>
    <row r="1903" customHeight="1" spans="1:10">
      <c r="A1903" s="3">
        <v>1981</v>
      </c>
      <c r="B1903" s="1" t="s">
        <v>725</v>
      </c>
      <c r="C1903" s="1" t="s">
        <v>669</v>
      </c>
      <c r="D1903" s="1" t="s">
        <v>217</v>
      </c>
      <c r="E1903" s="1" t="s">
        <v>22</v>
      </c>
      <c r="F1903" s="1">
        <v>0.25</v>
      </c>
      <c r="G1903" s="1">
        <v>480</v>
      </c>
      <c r="H1903" s="3">
        <f t="shared" si="33"/>
        <v>120</v>
      </c>
      <c r="J1903" s="1">
        <v>10.11</v>
      </c>
    </row>
    <row r="1904" customHeight="1" spans="1:10">
      <c r="A1904" s="3">
        <v>1982</v>
      </c>
      <c r="B1904" s="1" t="s">
        <v>741</v>
      </c>
      <c r="C1904" s="1" t="s">
        <v>669</v>
      </c>
      <c r="D1904" s="1" t="s">
        <v>217</v>
      </c>
      <c r="E1904" s="1" t="s">
        <v>22</v>
      </c>
      <c r="F1904" s="1">
        <v>0.58</v>
      </c>
      <c r="G1904" s="1">
        <v>480</v>
      </c>
      <c r="H1904" s="3">
        <f t="shared" si="33"/>
        <v>278.4</v>
      </c>
      <c r="J1904" s="1">
        <v>10.11</v>
      </c>
    </row>
    <row r="1905" customHeight="1" spans="1:10">
      <c r="A1905" s="3">
        <v>1983</v>
      </c>
      <c r="B1905" s="1" t="s">
        <v>744</v>
      </c>
      <c r="C1905" s="1" t="s">
        <v>669</v>
      </c>
      <c r="D1905" s="1" t="s">
        <v>217</v>
      </c>
      <c r="E1905" s="1" t="s">
        <v>22</v>
      </c>
      <c r="F1905" s="1">
        <v>0.35</v>
      </c>
      <c r="G1905" s="1">
        <v>480</v>
      </c>
      <c r="H1905" s="3">
        <f t="shared" si="33"/>
        <v>168</v>
      </c>
      <c r="J1905" s="1">
        <v>10.11</v>
      </c>
    </row>
    <row r="1906" customHeight="1" spans="1:10">
      <c r="A1906" s="3">
        <v>1984</v>
      </c>
      <c r="B1906" s="1" t="s">
        <v>725</v>
      </c>
      <c r="C1906" s="1" t="s">
        <v>669</v>
      </c>
      <c r="D1906" s="1" t="s">
        <v>745</v>
      </c>
      <c r="E1906" s="1" t="s">
        <v>22</v>
      </c>
      <c r="F1906" s="1">
        <v>0.63</v>
      </c>
      <c r="G1906" s="1">
        <v>480</v>
      </c>
      <c r="H1906" s="3">
        <f t="shared" si="33"/>
        <v>302.4</v>
      </c>
      <c r="J1906" s="1">
        <v>10.11</v>
      </c>
    </row>
    <row r="1907" customHeight="1" spans="1:10">
      <c r="A1907" s="3">
        <v>1985</v>
      </c>
      <c r="B1907" s="1" t="s">
        <v>715</v>
      </c>
      <c r="C1907" s="1" t="s">
        <v>669</v>
      </c>
      <c r="D1907" s="1" t="s">
        <v>745</v>
      </c>
      <c r="E1907" s="1" t="s">
        <v>22</v>
      </c>
      <c r="F1907" s="1">
        <v>0.4</v>
      </c>
      <c r="G1907" s="1">
        <v>480</v>
      </c>
      <c r="H1907" s="3">
        <f t="shared" si="33"/>
        <v>192</v>
      </c>
      <c r="J1907" s="1">
        <v>10.11</v>
      </c>
    </row>
    <row r="1908" customHeight="1" spans="1:10">
      <c r="A1908" s="3">
        <v>1986</v>
      </c>
      <c r="B1908" s="1" t="s">
        <v>746</v>
      </c>
      <c r="C1908" s="1" t="s">
        <v>669</v>
      </c>
      <c r="D1908" s="1" t="s">
        <v>745</v>
      </c>
      <c r="E1908" s="1" t="s">
        <v>22</v>
      </c>
      <c r="F1908" s="1">
        <v>0.4</v>
      </c>
      <c r="G1908" s="1">
        <v>480</v>
      </c>
      <c r="H1908" s="3">
        <f t="shared" si="33"/>
        <v>192</v>
      </c>
      <c r="J1908" s="1">
        <v>10.11</v>
      </c>
    </row>
    <row r="1909" customHeight="1" spans="1:10">
      <c r="A1909" s="3">
        <v>1987</v>
      </c>
      <c r="B1909" s="1" t="s">
        <v>747</v>
      </c>
      <c r="C1909" s="1" t="s">
        <v>669</v>
      </c>
      <c r="D1909" s="1" t="s">
        <v>745</v>
      </c>
      <c r="E1909" s="1" t="s">
        <v>22</v>
      </c>
      <c r="F1909" s="1">
        <v>0.4</v>
      </c>
      <c r="G1909" s="1">
        <v>480</v>
      </c>
      <c r="H1909" s="3">
        <f t="shared" si="33"/>
        <v>192</v>
      </c>
      <c r="J1909" s="1">
        <v>10.11</v>
      </c>
    </row>
    <row r="1910" customHeight="1" spans="1:10">
      <c r="A1910" s="3">
        <v>1988</v>
      </c>
      <c r="B1910" s="1" t="s">
        <v>748</v>
      </c>
      <c r="C1910" s="1" t="s">
        <v>669</v>
      </c>
      <c r="D1910" s="1" t="s">
        <v>745</v>
      </c>
      <c r="E1910" s="1" t="s">
        <v>22</v>
      </c>
      <c r="F1910" s="1">
        <v>0.4</v>
      </c>
      <c r="G1910" s="1">
        <v>480</v>
      </c>
      <c r="H1910" s="3">
        <f t="shared" si="33"/>
        <v>192</v>
      </c>
      <c r="J1910" s="1">
        <v>10.11</v>
      </c>
    </row>
    <row r="1911" customHeight="1" spans="1:10">
      <c r="A1911" s="3">
        <v>1989</v>
      </c>
      <c r="B1911" s="1" t="s">
        <v>715</v>
      </c>
      <c r="C1911" s="1" t="s">
        <v>669</v>
      </c>
      <c r="D1911" s="1" t="s">
        <v>749</v>
      </c>
      <c r="E1911" s="1" t="s">
        <v>22</v>
      </c>
      <c r="F1911" s="1">
        <v>0.15</v>
      </c>
      <c r="G1911" s="1">
        <v>480</v>
      </c>
      <c r="H1911" s="3">
        <f t="shared" si="33"/>
        <v>72</v>
      </c>
      <c r="J1911" s="1">
        <v>10.11</v>
      </c>
    </row>
    <row r="1912" customHeight="1" spans="1:10">
      <c r="A1912" s="3">
        <v>1990</v>
      </c>
      <c r="B1912" s="1" t="s">
        <v>746</v>
      </c>
      <c r="C1912" s="1" t="s">
        <v>669</v>
      </c>
      <c r="D1912" s="1" t="s">
        <v>749</v>
      </c>
      <c r="E1912" s="1" t="s">
        <v>22</v>
      </c>
      <c r="F1912" s="1">
        <v>0.15</v>
      </c>
      <c r="G1912" s="1">
        <v>480</v>
      </c>
      <c r="H1912" s="3">
        <f t="shared" si="33"/>
        <v>72</v>
      </c>
      <c r="J1912" s="1">
        <v>10.11</v>
      </c>
    </row>
    <row r="1913" customHeight="1" spans="1:10">
      <c r="A1913" s="3">
        <v>1991</v>
      </c>
      <c r="B1913" s="1" t="s">
        <v>747</v>
      </c>
      <c r="C1913" s="1" t="s">
        <v>669</v>
      </c>
      <c r="D1913" s="1" t="s">
        <v>749</v>
      </c>
      <c r="E1913" s="1" t="s">
        <v>22</v>
      </c>
      <c r="F1913" s="1">
        <v>0.15</v>
      </c>
      <c r="G1913" s="1">
        <v>480</v>
      </c>
      <c r="H1913" s="3">
        <f t="shared" si="33"/>
        <v>72</v>
      </c>
      <c r="J1913" s="1">
        <v>10.11</v>
      </c>
    </row>
    <row r="1914" customHeight="1" spans="1:10">
      <c r="A1914" s="3">
        <v>1992</v>
      </c>
      <c r="B1914" s="1" t="s">
        <v>748</v>
      </c>
      <c r="C1914" s="1" t="s">
        <v>669</v>
      </c>
      <c r="D1914" s="1" t="s">
        <v>749</v>
      </c>
      <c r="E1914" s="1" t="s">
        <v>22</v>
      </c>
      <c r="F1914" s="1">
        <v>0.15</v>
      </c>
      <c r="G1914" s="1">
        <v>480</v>
      </c>
      <c r="H1914" s="3">
        <f t="shared" si="33"/>
        <v>72</v>
      </c>
      <c r="J1914" s="1">
        <v>10.11</v>
      </c>
    </row>
    <row r="1915" customHeight="1" spans="1:10">
      <c r="A1915" s="3">
        <v>1993</v>
      </c>
      <c r="B1915" s="1" t="s">
        <v>715</v>
      </c>
      <c r="C1915" s="1" t="s">
        <v>669</v>
      </c>
      <c r="D1915" s="1" t="s">
        <v>749</v>
      </c>
      <c r="E1915" s="1" t="s">
        <v>22</v>
      </c>
      <c r="F1915" s="1">
        <v>0.13</v>
      </c>
      <c r="G1915" s="1">
        <v>480</v>
      </c>
      <c r="H1915" s="3">
        <f t="shared" si="33"/>
        <v>62.4</v>
      </c>
      <c r="J1915" s="1">
        <v>10.11</v>
      </c>
    </row>
    <row r="1916" customHeight="1" spans="1:10">
      <c r="A1916" s="3">
        <v>1994</v>
      </c>
      <c r="B1916" s="1" t="s">
        <v>740</v>
      </c>
      <c r="C1916" s="1" t="s">
        <v>669</v>
      </c>
      <c r="D1916" s="1" t="s">
        <v>215</v>
      </c>
      <c r="E1916" s="1" t="s">
        <v>22</v>
      </c>
      <c r="F1916" s="1">
        <v>0.02</v>
      </c>
      <c r="G1916" s="1">
        <v>480</v>
      </c>
      <c r="H1916" s="3">
        <f t="shared" si="33"/>
        <v>9.6</v>
      </c>
      <c r="J1916" s="1">
        <v>10.11</v>
      </c>
    </row>
    <row r="1917" customHeight="1" spans="1:10">
      <c r="A1917" s="3">
        <v>1995</v>
      </c>
      <c r="B1917" s="1" t="s">
        <v>715</v>
      </c>
      <c r="C1917" s="1" t="s">
        <v>669</v>
      </c>
      <c r="D1917" s="1" t="s">
        <v>415</v>
      </c>
      <c r="E1917" s="1" t="s">
        <v>22</v>
      </c>
      <c r="F1917" s="1">
        <v>0.1</v>
      </c>
      <c r="G1917" s="1">
        <v>480</v>
      </c>
      <c r="H1917" s="3">
        <f t="shared" si="33"/>
        <v>48</v>
      </c>
      <c r="J1917" s="1">
        <v>10.11</v>
      </c>
    </row>
    <row r="1918" customHeight="1" spans="1:10">
      <c r="A1918" s="3">
        <v>1996</v>
      </c>
      <c r="B1918" s="1" t="s">
        <v>748</v>
      </c>
      <c r="C1918" s="1" t="s">
        <v>669</v>
      </c>
      <c r="D1918" s="1" t="s">
        <v>415</v>
      </c>
      <c r="E1918" s="1" t="s">
        <v>22</v>
      </c>
      <c r="F1918" s="1">
        <v>0.1</v>
      </c>
      <c r="G1918" s="1">
        <v>480</v>
      </c>
      <c r="H1918" s="3">
        <f t="shared" si="33"/>
        <v>48</v>
      </c>
      <c r="J1918" s="1">
        <v>10.11</v>
      </c>
    </row>
    <row r="1919" customHeight="1" spans="1:10">
      <c r="A1919" s="3">
        <v>1997</v>
      </c>
      <c r="B1919" s="1" t="s">
        <v>747</v>
      </c>
      <c r="C1919" s="1" t="s">
        <v>669</v>
      </c>
      <c r="D1919" s="1" t="s">
        <v>415</v>
      </c>
      <c r="E1919" s="1" t="s">
        <v>22</v>
      </c>
      <c r="F1919" s="1">
        <v>0.1</v>
      </c>
      <c r="G1919" s="1">
        <v>480</v>
      </c>
      <c r="H1919" s="3">
        <f t="shared" si="33"/>
        <v>48</v>
      </c>
      <c r="J1919" s="1">
        <v>10.11</v>
      </c>
    </row>
    <row r="1920" customHeight="1" spans="1:10">
      <c r="A1920" s="3">
        <v>1998</v>
      </c>
      <c r="B1920" s="1" t="s">
        <v>746</v>
      </c>
      <c r="C1920" s="1" t="s">
        <v>669</v>
      </c>
      <c r="D1920" s="1" t="s">
        <v>415</v>
      </c>
      <c r="E1920" s="1" t="s">
        <v>22</v>
      </c>
      <c r="F1920" s="1">
        <v>0.1</v>
      </c>
      <c r="G1920" s="1">
        <v>480</v>
      </c>
      <c r="H1920" s="3">
        <f t="shared" si="33"/>
        <v>48</v>
      </c>
      <c r="J1920" s="1">
        <v>10.11</v>
      </c>
    </row>
    <row r="1921" customHeight="1" spans="1:10">
      <c r="A1921" s="3">
        <v>1999</v>
      </c>
      <c r="B1921" s="1" t="s">
        <v>696</v>
      </c>
      <c r="C1921" s="1" t="s">
        <v>669</v>
      </c>
      <c r="D1921" s="1" t="s">
        <v>415</v>
      </c>
      <c r="E1921" s="1" t="s">
        <v>22</v>
      </c>
      <c r="F1921" s="1">
        <v>0.4</v>
      </c>
      <c r="G1921" s="1">
        <v>480</v>
      </c>
      <c r="H1921" s="3">
        <f t="shared" si="33"/>
        <v>192</v>
      </c>
      <c r="J1921" s="1">
        <v>10.11</v>
      </c>
    </row>
    <row r="1922" customHeight="1" spans="1:10">
      <c r="A1922" s="3">
        <v>2000</v>
      </c>
      <c r="B1922" s="1" t="s">
        <v>715</v>
      </c>
      <c r="C1922" s="1" t="s">
        <v>669</v>
      </c>
      <c r="D1922" s="1" t="s">
        <v>415</v>
      </c>
      <c r="E1922" s="1" t="s">
        <v>22</v>
      </c>
      <c r="F1922" s="1">
        <v>0.6</v>
      </c>
      <c r="G1922" s="1">
        <v>480</v>
      </c>
      <c r="H1922" s="3">
        <f t="shared" si="33"/>
        <v>288</v>
      </c>
      <c r="J1922" s="1">
        <v>10.11</v>
      </c>
    </row>
    <row r="1923" customHeight="1" spans="1:10">
      <c r="A1923" s="3">
        <v>2001</v>
      </c>
      <c r="B1923" s="1" t="s">
        <v>716</v>
      </c>
      <c r="C1923" s="1" t="s">
        <v>669</v>
      </c>
      <c r="D1923" s="1" t="s">
        <v>215</v>
      </c>
      <c r="E1923" s="1" t="s">
        <v>22</v>
      </c>
      <c r="F1923" s="1">
        <v>0.2</v>
      </c>
      <c r="G1923" s="1">
        <v>480</v>
      </c>
      <c r="H1923" s="3">
        <f t="shared" si="33"/>
        <v>96</v>
      </c>
      <c r="J1923" s="1">
        <v>10.11</v>
      </c>
    </row>
    <row r="1924" customHeight="1" spans="1:10">
      <c r="A1924" s="3">
        <v>2002</v>
      </c>
      <c r="B1924" s="1" t="s">
        <v>715</v>
      </c>
      <c r="C1924" s="1" t="s">
        <v>669</v>
      </c>
      <c r="D1924" s="1" t="s">
        <v>215</v>
      </c>
      <c r="E1924" s="1" t="s">
        <v>22</v>
      </c>
      <c r="F1924" s="1">
        <v>0.4</v>
      </c>
      <c r="G1924" s="1">
        <v>480</v>
      </c>
      <c r="H1924" s="3">
        <f t="shared" si="33"/>
        <v>192</v>
      </c>
      <c r="J1924" s="1">
        <v>10.11</v>
      </c>
    </row>
    <row r="1925" customHeight="1" spans="1:10">
      <c r="A1925" s="3">
        <v>2003</v>
      </c>
      <c r="B1925" s="1" t="s">
        <v>718</v>
      </c>
      <c r="C1925" s="1" t="s">
        <v>669</v>
      </c>
      <c r="D1925" s="1" t="s">
        <v>215</v>
      </c>
      <c r="E1925" s="1" t="s">
        <v>22</v>
      </c>
      <c r="F1925" s="1">
        <v>0.2</v>
      </c>
      <c r="G1925" s="1">
        <v>480</v>
      </c>
      <c r="H1925" s="3">
        <f t="shared" si="33"/>
        <v>96</v>
      </c>
      <c r="J1925" s="1">
        <v>10.11</v>
      </c>
    </row>
    <row r="1926" customHeight="1" spans="1:10">
      <c r="A1926" s="3">
        <v>2004</v>
      </c>
      <c r="B1926" s="1" t="s">
        <v>730</v>
      </c>
      <c r="C1926" s="1" t="s">
        <v>669</v>
      </c>
      <c r="D1926" s="1" t="s">
        <v>750</v>
      </c>
      <c r="E1926" s="1" t="s">
        <v>22</v>
      </c>
      <c r="F1926" s="1">
        <v>0.35</v>
      </c>
      <c r="G1926" s="1">
        <v>480</v>
      </c>
      <c r="H1926" s="3">
        <f t="shared" si="33"/>
        <v>168</v>
      </c>
      <c r="J1926" s="1">
        <v>10.11</v>
      </c>
    </row>
    <row r="1927" customHeight="1" spans="1:10">
      <c r="A1927" s="3">
        <v>2005</v>
      </c>
      <c r="B1927" s="1" t="s">
        <v>696</v>
      </c>
      <c r="C1927" s="1" t="s">
        <v>669</v>
      </c>
      <c r="D1927" s="1" t="s">
        <v>750</v>
      </c>
      <c r="E1927" s="1" t="s">
        <v>22</v>
      </c>
      <c r="F1927" s="1">
        <v>0.44</v>
      </c>
      <c r="G1927" s="1">
        <v>480</v>
      </c>
      <c r="H1927" s="3">
        <f t="shared" si="33"/>
        <v>211.2</v>
      </c>
      <c r="J1927" s="1">
        <v>10.11</v>
      </c>
    </row>
    <row r="1928" customHeight="1" spans="1:10">
      <c r="A1928" s="3">
        <v>2006</v>
      </c>
      <c r="B1928" s="1" t="s">
        <v>741</v>
      </c>
      <c r="C1928" s="1" t="s">
        <v>669</v>
      </c>
      <c r="D1928" s="1" t="s">
        <v>750</v>
      </c>
      <c r="E1928" s="1" t="s">
        <v>22</v>
      </c>
      <c r="F1928" s="1">
        <v>0.3</v>
      </c>
      <c r="G1928" s="1">
        <v>480</v>
      </c>
      <c r="H1928" s="3">
        <f t="shared" si="33"/>
        <v>144</v>
      </c>
      <c r="J1928" s="1">
        <v>10.11</v>
      </c>
    </row>
    <row r="1929" customHeight="1" spans="1:10">
      <c r="A1929" s="3">
        <v>2007</v>
      </c>
      <c r="B1929" s="1" t="s">
        <v>716</v>
      </c>
      <c r="C1929" s="1" t="s">
        <v>669</v>
      </c>
      <c r="D1929" s="1" t="s">
        <v>750</v>
      </c>
      <c r="E1929" s="1" t="s">
        <v>22</v>
      </c>
      <c r="F1929" s="1">
        <v>0.4</v>
      </c>
      <c r="G1929" s="1">
        <v>480</v>
      </c>
      <c r="H1929" s="3">
        <f t="shared" si="33"/>
        <v>192</v>
      </c>
      <c r="J1929" s="1">
        <v>10.11</v>
      </c>
    </row>
    <row r="1930" customHeight="1" spans="1:10">
      <c r="A1930" s="3">
        <v>2008</v>
      </c>
      <c r="B1930" s="1" t="s">
        <v>715</v>
      </c>
      <c r="C1930" s="1" t="s">
        <v>669</v>
      </c>
      <c r="D1930" s="1" t="s">
        <v>750</v>
      </c>
      <c r="E1930" s="1" t="s">
        <v>22</v>
      </c>
      <c r="F1930" s="1">
        <v>0.4</v>
      </c>
      <c r="G1930" s="1">
        <v>480</v>
      </c>
      <c r="H1930" s="3">
        <f t="shared" si="33"/>
        <v>192</v>
      </c>
      <c r="J1930" s="1">
        <v>10.11</v>
      </c>
    </row>
    <row r="1931" customHeight="1" spans="1:10">
      <c r="A1931" s="3">
        <v>2009</v>
      </c>
      <c r="B1931" s="1" t="s">
        <v>718</v>
      </c>
      <c r="C1931" s="1" t="s">
        <v>669</v>
      </c>
      <c r="D1931" s="1" t="s">
        <v>750</v>
      </c>
      <c r="E1931" s="1" t="s">
        <v>22</v>
      </c>
      <c r="F1931" s="1">
        <v>0.46</v>
      </c>
      <c r="G1931" s="1">
        <v>480</v>
      </c>
      <c r="H1931" s="3">
        <f t="shared" si="33"/>
        <v>220.8</v>
      </c>
      <c r="J1931" s="1">
        <v>10.11</v>
      </c>
    </row>
    <row r="1932" customHeight="1" spans="1:10">
      <c r="A1932" s="3">
        <v>2010</v>
      </c>
      <c r="B1932" s="1" t="s">
        <v>731</v>
      </c>
      <c r="C1932" s="1" t="s">
        <v>669</v>
      </c>
      <c r="D1932" s="1" t="s">
        <v>750</v>
      </c>
      <c r="E1932" s="1" t="s">
        <v>22</v>
      </c>
      <c r="F1932" s="1">
        <v>0.48</v>
      </c>
      <c r="G1932" s="1">
        <v>480</v>
      </c>
      <c r="H1932" s="3">
        <f t="shared" si="33"/>
        <v>230.4</v>
      </c>
      <c r="J1932" s="1">
        <v>10.11</v>
      </c>
    </row>
    <row r="1933" customHeight="1" spans="1:10">
      <c r="A1933" s="3">
        <v>2011</v>
      </c>
      <c r="B1933" s="1" t="s">
        <v>731</v>
      </c>
      <c r="C1933" s="1" t="s">
        <v>669</v>
      </c>
      <c r="D1933" s="1" t="s">
        <v>226</v>
      </c>
      <c r="E1933" s="1" t="s">
        <v>22</v>
      </c>
      <c r="F1933" s="1">
        <v>0.3</v>
      </c>
      <c r="G1933" s="1">
        <v>480</v>
      </c>
      <c r="H1933" s="3">
        <f t="shared" si="33"/>
        <v>144</v>
      </c>
      <c r="J1933" s="1">
        <v>10.11</v>
      </c>
    </row>
    <row r="1934" customHeight="1" spans="1:10">
      <c r="A1934" s="3">
        <v>2012</v>
      </c>
      <c r="B1934" s="1" t="s">
        <v>721</v>
      </c>
      <c r="C1934" s="1" t="s">
        <v>669</v>
      </c>
      <c r="D1934" s="1" t="s">
        <v>226</v>
      </c>
      <c r="E1934" s="1" t="s">
        <v>22</v>
      </c>
      <c r="F1934" s="1">
        <v>0.15</v>
      </c>
      <c r="G1934" s="1">
        <v>480</v>
      </c>
      <c r="H1934" s="3">
        <f t="shared" si="33"/>
        <v>72</v>
      </c>
      <c r="J1934" s="1">
        <v>10.11</v>
      </c>
    </row>
    <row r="1935" customHeight="1" spans="1:10">
      <c r="A1935" s="3">
        <v>2013</v>
      </c>
      <c r="B1935" s="1" t="s">
        <v>751</v>
      </c>
      <c r="C1935" s="1" t="s">
        <v>669</v>
      </c>
      <c r="D1935" s="1" t="s">
        <v>680</v>
      </c>
      <c r="E1935" s="1" t="s">
        <v>22</v>
      </c>
      <c r="F1935" s="1">
        <v>0.3</v>
      </c>
      <c r="G1935" s="1">
        <v>480</v>
      </c>
      <c r="H1935" s="3">
        <f t="shared" si="33"/>
        <v>144</v>
      </c>
      <c r="J1935" s="1">
        <v>10.11</v>
      </c>
    </row>
    <row r="1936" customHeight="1" spans="1:10">
      <c r="A1936" s="3">
        <v>2014</v>
      </c>
      <c r="B1936" s="1" t="s">
        <v>721</v>
      </c>
      <c r="C1936" s="1" t="s">
        <v>669</v>
      </c>
      <c r="D1936" s="1" t="s">
        <v>680</v>
      </c>
      <c r="E1936" s="1" t="s">
        <v>22</v>
      </c>
      <c r="F1936" s="1">
        <v>0.8</v>
      </c>
      <c r="G1936" s="1">
        <v>480</v>
      </c>
      <c r="H1936" s="3">
        <f t="shared" si="33"/>
        <v>384</v>
      </c>
      <c r="J1936" s="1">
        <v>10.11</v>
      </c>
    </row>
    <row r="1937" customHeight="1" spans="1:10">
      <c r="A1937" s="3">
        <v>2015</v>
      </c>
      <c r="B1937" s="1" t="s">
        <v>736</v>
      </c>
      <c r="C1937" s="1" t="s">
        <v>669</v>
      </c>
      <c r="D1937" s="1" t="s">
        <v>680</v>
      </c>
      <c r="E1937" s="1" t="s">
        <v>22</v>
      </c>
      <c r="F1937" s="1">
        <v>0.2</v>
      </c>
      <c r="G1937" s="1">
        <v>480</v>
      </c>
      <c r="H1937" s="3">
        <f t="shared" si="33"/>
        <v>96</v>
      </c>
      <c r="J1937" s="1">
        <v>10.11</v>
      </c>
    </row>
    <row r="1938" customHeight="1" spans="1:10">
      <c r="A1938" s="3">
        <v>2016</v>
      </c>
      <c r="B1938" s="1" t="s">
        <v>752</v>
      </c>
      <c r="C1938" s="1" t="s">
        <v>669</v>
      </c>
      <c r="D1938" s="1" t="s">
        <v>680</v>
      </c>
      <c r="E1938" s="1" t="s">
        <v>22</v>
      </c>
      <c r="F1938" s="1">
        <v>0.52</v>
      </c>
      <c r="G1938" s="1">
        <v>480</v>
      </c>
      <c r="H1938" s="3">
        <f t="shared" si="33"/>
        <v>249.6</v>
      </c>
      <c r="J1938" s="1">
        <v>10.11</v>
      </c>
    </row>
    <row r="1939" customHeight="1" spans="1:10">
      <c r="A1939" s="3">
        <v>2017</v>
      </c>
      <c r="B1939" s="1" t="s">
        <v>753</v>
      </c>
      <c r="C1939" s="1" t="s">
        <v>669</v>
      </c>
      <c r="D1939" s="1" t="s">
        <v>754</v>
      </c>
      <c r="E1939" s="1" t="s">
        <v>22</v>
      </c>
      <c r="F1939" s="1">
        <v>0.05</v>
      </c>
      <c r="G1939" s="1">
        <v>480</v>
      </c>
      <c r="H1939" s="3">
        <f t="shared" si="33"/>
        <v>24</v>
      </c>
      <c r="J1939" s="1">
        <v>10.11</v>
      </c>
    </row>
    <row r="1940" customHeight="1" spans="1:10">
      <c r="A1940" s="3">
        <v>2018</v>
      </c>
      <c r="B1940" s="1" t="s">
        <v>718</v>
      </c>
      <c r="C1940" s="1" t="s">
        <v>669</v>
      </c>
      <c r="D1940" s="1" t="s">
        <v>755</v>
      </c>
      <c r="E1940" s="1" t="s">
        <v>22</v>
      </c>
      <c r="F1940" s="1">
        <v>0.43</v>
      </c>
      <c r="G1940" s="1">
        <v>480</v>
      </c>
      <c r="H1940" s="3">
        <f t="shared" si="33"/>
        <v>206.4</v>
      </c>
      <c r="J1940" s="1">
        <v>10.11</v>
      </c>
    </row>
    <row r="1941" customHeight="1" spans="1:10">
      <c r="A1941" s="3">
        <v>2019</v>
      </c>
      <c r="B1941" s="1" t="s">
        <v>716</v>
      </c>
      <c r="C1941" s="1" t="s">
        <v>669</v>
      </c>
      <c r="D1941" s="1" t="s">
        <v>755</v>
      </c>
      <c r="E1941" s="1" t="s">
        <v>22</v>
      </c>
      <c r="F1941" s="1">
        <v>0.47</v>
      </c>
      <c r="G1941" s="1">
        <v>480</v>
      </c>
      <c r="H1941" s="3">
        <f t="shared" si="33"/>
        <v>225.6</v>
      </c>
      <c r="J1941" s="1">
        <v>10.11</v>
      </c>
    </row>
    <row r="1942" customHeight="1" spans="1:10">
      <c r="A1942" s="3">
        <v>2020</v>
      </c>
      <c r="B1942" s="1" t="s">
        <v>712</v>
      </c>
      <c r="C1942" s="1" t="s">
        <v>669</v>
      </c>
      <c r="D1942" s="1" t="s">
        <v>755</v>
      </c>
      <c r="E1942" s="1" t="s">
        <v>22</v>
      </c>
      <c r="F1942" s="1">
        <v>1</v>
      </c>
      <c r="G1942" s="1">
        <v>480</v>
      </c>
      <c r="H1942" s="3">
        <f t="shared" si="33"/>
        <v>480</v>
      </c>
      <c r="J1942" s="1">
        <v>10.11</v>
      </c>
    </row>
    <row r="1943" customHeight="1" spans="1:10">
      <c r="A1943" s="3">
        <v>2021</v>
      </c>
      <c r="B1943" s="1" t="s">
        <v>748</v>
      </c>
      <c r="C1943" s="1" t="s">
        <v>669</v>
      </c>
      <c r="D1943" s="1" t="s">
        <v>755</v>
      </c>
      <c r="E1943" s="1" t="s">
        <v>22</v>
      </c>
      <c r="F1943" s="1">
        <v>0.3</v>
      </c>
      <c r="G1943" s="1">
        <v>480</v>
      </c>
      <c r="H1943" s="3">
        <f t="shared" si="33"/>
        <v>144</v>
      </c>
      <c r="J1943" s="1">
        <v>10.11</v>
      </c>
    </row>
    <row r="1944" customHeight="1" spans="1:10">
      <c r="A1944" s="3">
        <v>2022</v>
      </c>
      <c r="B1944" s="1" t="s">
        <v>736</v>
      </c>
      <c r="C1944" s="1" t="s">
        <v>669</v>
      </c>
      <c r="D1944" s="1" t="s">
        <v>755</v>
      </c>
      <c r="E1944" s="1" t="s">
        <v>22</v>
      </c>
      <c r="F1944" s="1">
        <v>0.8</v>
      </c>
      <c r="G1944" s="1">
        <v>480</v>
      </c>
      <c r="H1944" s="3">
        <f t="shared" si="33"/>
        <v>384</v>
      </c>
      <c r="J1944" s="1">
        <v>10.11</v>
      </c>
    </row>
    <row r="1945" customHeight="1" spans="1:10">
      <c r="A1945" s="3">
        <v>2023</v>
      </c>
      <c r="B1945" s="1" t="s">
        <v>732</v>
      </c>
      <c r="C1945" s="1" t="s">
        <v>669</v>
      </c>
      <c r="D1945" s="1" t="s">
        <v>755</v>
      </c>
      <c r="E1945" s="1" t="s">
        <v>22</v>
      </c>
      <c r="F1945" s="1">
        <v>0.5</v>
      </c>
      <c r="G1945" s="1">
        <v>480</v>
      </c>
      <c r="H1945" s="3">
        <f t="shared" si="33"/>
        <v>240</v>
      </c>
      <c r="J1945" s="1">
        <v>10.11</v>
      </c>
    </row>
    <row r="1946" customHeight="1" spans="1:10">
      <c r="A1946" s="3">
        <v>2024</v>
      </c>
      <c r="B1946" s="1" t="s">
        <v>696</v>
      </c>
      <c r="C1946" s="1" t="s">
        <v>669</v>
      </c>
      <c r="D1946" s="1" t="s">
        <v>756</v>
      </c>
      <c r="E1946" s="1" t="s">
        <v>22</v>
      </c>
      <c r="F1946" s="1">
        <v>1.2</v>
      </c>
      <c r="G1946" s="1">
        <v>480</v>
      </c>
      <c r="H1946" s="3">
        <f t="shared" si="33"/>
        <v>576</v>
      </c>
      <c r="J1946" s="1">
        <v>10.11</v>
      </c>
    </row>
    <row r="1947" customHeight="1" spans="1:10">
      <c r="A1947" s="3">
        <v>2025</v>
      </c>
      <c r="B1947" s="1" t="s">
        <v>702</v>
      </c>
      <c r="C1947" s="1" t="s">
        <v>669</v>
      </c>
      <c r="D1947" s="1" t="s">
        <v>756</v>
      </c>
      <c r="E1947" s="1" t="s">
        <v>22</v>
      </c>
      <c r="F1947" s="1">
        <v>0.4</v>
      </c>
      <c r="G1947" s="1">
        <v>480</v>
      </c>
      <c r="H1947" s="3">
        <f t="shared" si="33"/>
        <v>192</v>
      </c>
      <c r="J1947" s="1">
        <v>10.11</v>
      </c>
    </row>
    <row r="1948" customHeight="1" spans="1:10">
      <c r="A1948" s="3">
        <v>2026</v>
      </c>
      <c r="B1948" s="1" t="s">
        <v>743</v>
      </c>
      <c r="C1948" s="1" t="s">
        <v>669</v>
      </c>
      <c r="D1948" s="1" t="s">
        <v>756</v>
      </c>
      <c r="E1948" s="1" t="s">
        <v>22</v>
      </c>
      <c r="F1948" s="18">
        <v>0.03</v>
      </c>
      <c r="G1948" s="1">
        <v>480</v>
      </c>
      <c r="H1948" s="3">
        <f t="shared" ref="H1948:H2011" si="34">G1948*F1948</f>
        <v>14.4</v>
      </c>
      <c r="J1948" s="1">
        <v>10.11</v>
      </c>
    </row>
    <row r="1949" customHeight="1" spans="1:10">
      <c r="A1949" s="3">
        <v>2027</v>
      </c>
      <c r="B1949" s="1" t="s">
        <v>757</v>
      </c>
      <c r="C1949" s="1" t="s">
        <v>669</v>
      </c>
      <c r="D1949" s="1" t="s">
        <v>756</v>
      </c>
      <c r="E1949" s="1" t="s">
        <v>22</v>
      </c>
      <c r="F1949" s="1">
        <v>0.61</v>
      </c>
      <c r="G1949" s="1">
        <v>480</v>
      </c>
      <c r="H1949" s="3">
        <f t="shared" si="34"/>
        <v>292.8</v>
      </c>
      <c r="J1949" s="1">
        <v>10.11</v>
      </c>
    </row>
    <row r="1950" customHeight="1" spans="1:10">
      <c r="A1950" s="3">
        <v>2028</v>
      </c>
      <c r="B1950" s="1" t="s">
        <v>746</v>
      </c>
      <c r="C1950" s="1" t="s">
        <v>669</v>
      </c>
      <c r="D1950" s="1" t="s">
        <v>318</v>
      </c>
      <c r="E1950" s="1" t="s">
        <v>22</v>
      </c>
      <c r="F1950" s="1">
        <v>0.14</v>
      </c>
      <c r="G1950" s="1">
        <v>480</v>
      </c>
      <c r="H1950" s="3">
        <f t="shared" si="34"/>
        <v>67.2</v>
      </c>
      <c r="J1950" s="1">
        <v>10.11</v>
      </c>
    </row>
    <row r="1951" customHeight="1" spans="1:10">
      <c r="A1951" s="3">
        <v>2029</v>
      </c>
      <c r="B1951" s="1" t="s">
        <v>740</v>
      </c>
      <c r="C1951" s="1" t="s">
        <v>669</v>
      </c>
      <c r="D1951" s="1" t="s">
        <v>318</v>
      </c>
      <c r="E1951" s="1" t="s">
        <v>22</v>
      </c>
      <c r="F1951" s="1">
        <v>0.3</v>
      </c>
      <c r="G1951" s="1">
        <v>480</v>
      </c>
      <c r="H1951" s="3">
        <f t="shared" si="34"/>
        <v>144</v>
      </c>
      <c r="J1951" s="1">
        <v>10.11</v>
      </c>
    </row>
    <row r="1952" customHeight="1" spans="1:10">
      <c r="A1952" s="3">
        <v>2030</v>
      </c>
      <c r="B1952" s="1" t="s">
        <v>741</v>
      </c>
      <c r="C1952" s="1" t="s">
        <v>669</v>
      </c>
      <c r="D1952" s="1" t="s">
        <v>246</v>
      </c>
      <c r="E1952" s="1" t="s">
        <v>22</v>
      </c>
      <c r="F1952" s="1">
        <v>0.18</v>
      </c>
      <c r="G1952" s="1">
        <v>480</v>
      </c>
      <c r="H1952" s="3">
        <f t="shared" si="34"/>
        <v>86.4</v>
      </c>
      <c r="J1952" s="1">
        <v>10.11</v>
      </c>
    </row>
    <row r="1953" customHeight="1" spans="1:10">
      <c r="A1953" s="3">
        <v>2031</v>
      </c>
      <c r="B1953" s="1" t="s">
        <v>715</v>
      </c>
      <c r="C1953" s="1" t="s">
        <v>669</v>
      </c>
      <c r="D1953" s="1" t="s">
        <v>215</v>
      </c>
      <c r="E1953" s="1" t="s">
        <v>22</v>
      </c>
      <c r="F1953" s="1">
        <v>0.6</v>
      </c>
      <c r="G1953" s="1">
        <v>480</v>
      </c>
      <c r="H1953" s="3">
        <f t="shared" si="34"/>
        <v>288</v>
      </c>
      <c r="J1953" s="1">
        <v>10.11</v>
      </c>
    </row>
    <row r="1954" customHeight="1" spans="1:10">
      <c r="A1954" s="3">
        <v>2032</v>
      </c>
      <c r="B1954" s="1" t="s">
        <v>740</v>
      </c>
      <c r="C1954" s="1" t="s">
        <v>669</v>
      </c>
      <c r="D1954" s="1" t="s">
        <v>758</v>
      </c>
      <c r="E1954" s="1" t="s">
        <v>22</v>
      </c>
      <c r="F1954" s="1">
        <v>0.41</v>
      </c>
      <c r="G1954" s="1">
        <v>480</v>
      </c>
      <c r="H1954" s="3">
        <f t="shared" si="34"/>
        <v>196.8</v>
      </c>
      <c r="J1954" s="1">
        <v>10.11</v>
      </c>
    </row>
    <row r="1955" customHeight="1" spans="1:10">
      <c r="A1955" s="3">
        <v>2033</v>
      </c>
      <c r="B1955" s="1" t="s">
        <v>732</v>
      </c>
      <c r="C1955" s="1" t="s">
        <v>669</v>
      </c>
      <c r="D1955" s="1" t="s">
        <v>758</v>
      </c>
      <c r="E1955" s="1" t="s">
        <v>22</v>
      </c>
      <c r="F1955" s="1">
        <v>0.17</v>
      </c>
      <c r="G1955" s="1">
        <v>480</v>
      </c>
      <c r="H1955" s="3">
        <f t="shared" si="34"/>
        <v>81.6</v>
      </c>
      <c r="J1955" s="1">
        <v>10.11</v>
      </c>
    </row>
    <row r="1956" customHeight="1" spans="1:10">
      <c r="A1956" s="3">
        <v>2034</v>
      </c>
      <c r="B1956" s="1" t="s">
        <v>719</v>
      </c>
      <c r="C1956" s="1" t="s">
        <v>669</v>
      </c>
      <c r="D1956" s="1" t="s">
        <v>758</v>
      </c>
      <c r="E1956" s="1" t="s">
        <v>22</v>
      </c>
      <c r="F1956" s="1">
        <v>0.55</v>
      </c>
      <c r="G1956" s="1">
        <v>480</v>
      </c>
      <c r="H1956" s="3">
        <f t="shared" si="34"/>
        <v>264</v>
      </c>
      <c r="J1956" s="1">
        <v>10.11</v>
      </c>
    </row>
    <row r="1957" customHeight="1" spans="1:10">
      <c r="A1957" s="3">
        <v>2035</v>
      </c>
      <c r="B1957" s="1" t="s">
        <v>727</v>
      </c>
      <c r="C1957" s="1" t="s">
        <v>669</v>
      </c>
      <c r="D1957" s="1" t="s">
        <v>759</v>
      </c>
      <c r="E1957" s="1" t="s">
        <v>22</v>
      </c>
      <c r="F1957" s="1">
        <v>0.58</v>
      </c>
      <c r="G1957" s="1">
        <v>480</v>
      </c>
      <c r="H1957" s="3">
        <f t="shared" si="34"/>
        <v>278.4</v>
      </c>
      <c r="J1957" s="1">
        <v>10.11</v>
      </c>
    </row>
    <row r="1958" customHeight="1" spans="1:10">
      <c r="A1958" s="3">
        <v>2036</v>
      </c>
      <c r="B1958" s="1" t="s">
        <v>760</v>
      </c>
      <c r="C1958" s="1" t="s">
        <v>669</v>
      </c>
      <c r="D1958" s="1" t="s">
        <v>759</v>
      </c>
      <c r="E1958" s="1" t="s">
        <v>22</v>
      </c>
      <c r="F1958" s="1">
        <v>1.4</v>
      </c>
      <c r="G1958" s="1">
        <v>480</v>
      </c>
      <c r="H1958" s="3">
        <f t="shared" si="34"/>
        <v>672</v>
      </c>
      <c r="J1958" s="1">
        <v>10.11</v>
      </c>
    </row>
    <row r="1959" customHeight="1" spans="1:10">
      <c r="A1959" s="3">
        <v>2037</v>
      </c>
      <c r="B1959" s="1" t="s">
        <v>700</v>
      </c>
      <c r="C1959" s="1" t="s">
        <v>669</v>
      </c>
      <c r="D1959" s="1" t="s">
        <v>759</v>
      </c>
      <c r="E1959" s="1" t="s">
        <v>22</v>
      </c>
      <c r="F1959" s="1">
        <v>1.5</v>
      </c>
      <c r="G1959" s="1">
        <v>480</v>
      </c>
      <c r="H1959" s="3">
        <f t="shared" si="34"/>
        <v>720</v>
      </c>
      <c r="J1959" s="1">
        <v>10.11</v>
      </c>
    </row>
    <row r="1960" customHeight="1" spans="1:10">
      <c r="A1960" s="3">
        <v>2038</v>
      </c>
      <c r="B1960" s="1" t="s">
        <v>730</v>
      </c>
      <c r="C1960" s="1" t="s">
        <v>669</v>
      </c>
      <c r="D1960" s="1" t="s">
        <v>759</v>
      </c>
      <c r="E1960" s="1" t="s">
        <v>22</v>
      </c>
      <c r="F1960" s="1">
        <v>0.85</v>
      </c>
      <c r="G1960" s="1">
        <v>480</v>
      </c>
      <c r="H1960" s="3">
        <f t="shared" si="34"/>
        <v>408</v>
      </c>
      <c r="J1960" s="1">
        <v>10.11</v>
      </c>
    </row>
    <row r="1961" customHeight="1" spans="1:10">
      <c r="A1961" s="3">
        <v>2039</v>
      </c>
      <c r="B1961" s="1" t="s">
        <v>747</v>
      </c>
      <c r="C1961" s="1" t="s">
        <v>669</v>
      </c>
      <c r="D1961" s="1" t="s">
        <v>759</v>
      </c>
      <c r="E1961" s="1" t="s">
        <v>22</v>
      </c>
      <c r="F1961" s="1">
        <v>0.8</v>
      </c>
      <c r="G1961" s="1">
        <v>480</v>
      </c>
      <c r="H1961" s="3">
        <f t="shared" si="34"/>
        <v>384</v>
      </c>
      <c r="J1961" s="1">
        <v>10.11</v>
      </c>
    </row>
    <row r="1962" customHeight="1" spans="1:10">
      <c r="A1962" s="3">
        <v>2040</v>
      </c>
      <c r="B1962" s="1" t="s">
        <v>727</v>
      </c>
      <c r="C1962" s="1" t="s">
        <v>669</v>
      </c>
      <c r="D1962" s="1" t="s">
        <v>328</v>
      </c>
      <c r="E1962" s="1" t="s">
        <v>22</v>
      </c>
      <c r="G1962" s="1">
        <v>480</v>
      </c>
      <c r="H1962" s="3">
        <f t="shared" si="34"/>
        <v>0</v>
      </c>
      <c r="J1962" s="1">
        <v>10.11</v>
      </c>
    </row>
    <row r="1963" customHeight="1" spans="1:10">
      <c r="A1963" s="3">
        <v>2041</v>
      </c>
      <c r="B1963" s="1" t="s">
        <v>699</v>
      </c>
      <c r="C1963" s="1" t="s">
        <v>669</v>
      </c>
      <c r="D1963" s="1" t="s">
        <v>328</v>
      </c>
      <c r="E1963" s="1" t="s">
        <v>22</v>
      </c>
      <c r="F1963" s="1">
        <v>0.48</v>
      </c>
      <c r="G1963" s="1">
        <v>480</v>
      </c>
      <c r="H1963" s="3">
        <f t="shared" si="34"/>
        <v>230.4</v>
      </c>
      <c r="J1963" s="1">
        <v>10.11</v>
      </c>
    </row>
    <row r="1964" customHeight="1" spans="1:10">
      <c r="A1964" s="3">
        <v>2042</v>
      </c>
      <c r="B1964" s="1" t="s">
        <v>714</v>
      </c>
      <c r="C1964" s="1" t="s">
        <v>669</v>
      </c>
      <c r="D1964" s="1" t="s">
        <v>328</v>
      </c>
      <c r="E1964" s="1" t="s">
        <v>22</v>
      </c>
      <c r="F1964" s="1">
        <v>0.3</v>
      </c>
      <c r="G1964" s="1">
        <v>480</v>
      </c>
      <c r="H1964" s="3">
        <f t="shared" si="34"/>
        <v>144</v>
      </c>
      <c r="J1964" s="1">
        <v>10.11</v>
      </c>
    </row>
    <row r="1965" customHeight="1" spans="1:10">
      <c r="A1965" s="3">
        <v>2043</v>
      </c>
      <c r="B1965" s="1" t="s">
        <v>699</v>
      </c>
      <c r="C1965" s="1" t="s">
        <v>669</v>
      </c>
      <c r="D1965" s="1" t="s">
        <v>328</v>
      </c>
      <c r="E1965" s="1" t="s">
        <v>22</v>
      </c>
      <c r="F1965" s="1">
        <v>0.6</v>
      </c>
      <c r="G1965" s="1">
        <v>480</v>
      </c>
      <c r="H1965" s="3">
        <f t="shared" si="34"/>
        <v>288</v>
      </c>
      <c r="J1965" s="1">
        <v>10.11</v>
      </c>
    </row>
    <row r="1966" customHeight="1" spans="1:10">
      <c r="A1966" s="3">
        <v>2044</v>
      </c>
      <c r="B1966" s="1" t="s">
        <v>724</v>
      </c>
      <c r="C1966" s="1" t="s">
        <v>669</v>
      </c>
      <c r="D1966" s="1" t="s">
        <v>450</v>
      </c>
      <c r="E1966" s="1" t="s">
        <v>22</v>
      </c>
      <c r="F1966" s="1">
        <v>0.14</v>
      </c>
      <c r="G1966" s="1">
        <v>480</v>
      </c>
      <c r="H1966" s="3">
        <f t="shared" si="34"/>
        <v>67.2</v>
      </c>
      <c r="J1966" s="1">
        <v>10.11</v>
      </c>
    </row>
    <row r="1967" customHeight="1" spans="1:10">
      <c r="A1967" s="3">
        <v>2045</v>
      </c>
      <c r="B1967" s="1" t="s">
        <v>709</v>
      </c>
      <c r="C1967" s="1" t="s">
        <v>669</v>
      </c>
      <c r="D1967" s="1" t="s">
        <v>450</v>
      </c>
      <c r="E1967" s="1" t="s">
        <v>22</v>
      </c>
      <c r="F1967" s="1">
        <v>0.55</v>
      </c>
      <c r="G1967" s="1">
        <v>480</v>
      </c>
      <c r="H1967" s="3">
        <f t="shared" si="34"/>
        <v>264</v>
      </c>
      <c r="J1967" s="1">
        <v>10.11</v>
      </c>
    </row>
    <row r="1968" customHeight="1" spans="1:10">
      <c r="A1968" s="3">
        <v>2046</v>
      </c>
      <c r="B1968" s="1" t="s">
        <v>699</v>
      </c>
      <c r="C1968" s="1" t="s">
        <v>669</v>
      </c>
      <c r="D1968" s="1" t="s">
        <v>450</v>
      </c>
      <c r="E1968" s="1" t="s">
        <v>22</v>
      </c>
      <c r="F1968" s="1">
        <v>0.65</v>
      </c>
      <c r="G1968" s="1">
        <v>480</v>
      </c>
      <c r="H1968" s="3">
        <f t="shared" si="34"/>
        <v>312</v>
      </c>
      <c r="J1968" s="1">
        <v>10.11</v>
      </c>
    </row>
    <row r="1969" customHeight="1" spans="1:10">
      <c r="A1969" s="3">
        <v>2047</v>
      </c>
      <c r="B1969" s="1" t="s">
        <v>730</v>
      </c>
      <c r="C1969" s="1" t="s">
        <v>669</v>
      </c>
      <c r="D1969" s="1" t="s">
        <v>450</v>
      </c>
      <c r="E1969" s="1" t="s">
        <v>22</v>
      </c>
      <c r="F1969" s="1">
        <v>0.76</v>
      </c>
      <c r="G1969" s="1">
        <v>480</v>
      </c>
      <c r="H1969" s="3">
        <f t="shared" si="34"/>
        <v>364.8</v>
      </c>
      <c r="J1969" s="1">
        <v>10.11</v>
      </c>
    </row>
    <row r="1970" customHeight="1" spans="1:10">
      <c r="A1970" s="3">
        <v>2048</v>
      </c>
      <c r="B1970" s="1" t="s">
        <v>709</v>
      </c>
      <c r="C1970" s="1" t="s">
        <v>669</v>
      </c>
      <c r="D1970" s="1" t="s">
        <v>450</v>
      </c>
      <c r="E1970" s="1" t="s">
        <v>22</v>
      </c>
      <c r="F1970" s="1">
        <v>0.6</v>
      </c>
      <c r="G1970" s="1">
        <v>480</v>
      </c>
      <c r="H1970" s="3">
        <f t="shared" si="34"/>
        <v>288</v>
      </c>
      <c r="J1970" s="1">
        <v>10.11</v>
      </c>
    </row>
    <row r="1971" customHeight="1" spans="1:10">
      <c r="A1971" s="3">
        <v>2049</v>
      </c>
      <c r="B1971" s="1" t="s">
        <v>741</v>
      </c>
      <c r="C1971" s="1" t="s">
        <v>669</v>
      </c>
      <c r="D1971" s="1" t="s">
        <v>435</v>
      </c>
      <c r="E1971" s="1" t="s">
        <v>13</v>
      </c>
      <c r="F1971" s="1">
        <v>0.25</v>
      </c>
      <c r="G1971" s="1">
        <v>380</v>
      </c>
      <c r="H1971" s="3">
        <f t="shared" si="34"/>
        <v>95</v>
      </c>
      <c r="J1971" s="1">
        <v>10.11</v>
      </c>
    </row>
    <row r="1972" customHeight="1" spans="1:10">
      <c r="A1972" s="3">
        <v>2050</v>
      </c>
      <c r="B1972" s="1" t="s">
        <v>715</v>
      </c>
      <c r="C1972" s="1" t="s">
        <v>669</v>
      </c>
      <c r="D1972" s="1" t="s">
        <v>435</v>
      </c>
      <c r="E1972" s="1" t="s">
        <v>13</v>
      </c>
      <c r="F1972" s="1">
        <v>0.2</v>
      </c>
      <c r="G1972" s="1">
        <v>380</v>
      </c>
      <c r="H1972" s="3">
        <f t="shared" si="34"/>
        <v>76</v>
      </c>
      <c r="J1972" s="1">
        <v>10.11</v>
      </c>
    </row>
    <row r="1973" customHeight="1" spans="1:10">
      <c r="A1973" s="3">
        <v>2051</v>
      </c>
      <c r="B1973" s="1" t="s">
        <v>746</v>
      </c>
      <c r="C1973" s="1" t="s">
        <v>669</v>
      </c>
      <c r="D1973" s="1" t="s">
        <v>435</v>
      </c>
      <c r="E1973" s="1" t="s">
        <v>13</v>
      </c>
      <c r="F1973" s="1">
        <v>0.2</v>
      </c>
      <c r="G1973" s="1">
        <v>380</v>
      </c>
      <c r="H1973" s="3">
        <f t="shared" si="34"/>
        <v>76</v>
      </c>
      <c r="J1973" s="1">
        <v>10.11</v>
      </c>
    </row>
    <row r="1974" customHeight="1" spans="1:10">
      <c r="A1974" s="3">
        <v>2052</v>
      </c>
      <c r="B1974" s="1" t="s">
        <v>747</v>
      </c>
      <c r="C1974" s="1" t="s">
        <v>669</v>
      </c>
      <c r="D1974" s="1" t="s">
        <v>435</v>
      </c>
      <c r="E1974" s="1" t="s">
        <v>13</v>
      </c>
      <c r="F1974" s="1">
        <v>0.2</v>
      </c>
      <c r="G1974" s="1">
        <v>380</v>
      </c>
      <c r="H1974" s="3">
        <f t="shared" si="34"/>
        <v>76</v>
      </c>
      <c r="J1974" s="1">
        <v>10.11</v>
      </c>
    </row>
    <row r="1975" customHeight="1" spans="1:10">
      <c r="A1975" s="3">
        <v>2053</v>
      </c>
      <c r="B1975" s="1" t="s">
        <v>748</v>
      </c>
      <c r="C1975" s="1" t="s">
        <v>669</v>
      </c>
      <c r="D1975" s="1" t="s">
        <v>435</v>
      </c>
      <c r="E1975" s="1" t="s">
        <v>13</v>
      </c>
      <c r="F1975" s="1">
        <v>0.2</v>
      </c>
      <c r="G1975" s="1">
        <v>380</v>
      </c>
      <c r="H1975" s="3">
        <f t="shared" si="34"/>
        <v>76</v>
      </c>
      <c r="J1975" s="1">
        <v>10.11</v>
      </c>
    </row>
    <row r="1976" customHeight="1" spans="1:10">
      <c r="A1976" s="3">
        <v>2054</v>
      </c>
      <c r="B1976" s="1" t="s">
        <v>709</v>
      </c>
      <c r="C1976" s="1" t="s">
        <v>669</v>
      </c>
      <c r="D1976" s="1" t="s">
        <v>435</v>
      </c>
      <c r="E1976" s="1" t="s">
        <v>13</v>
      </c>
      <c r="F1976" s="1">
        <v>0.52</v>
      </c>
      <c r="G1976" s="1">
        <v>380</v>
      </c>
      <c r="H1976" s="3">
        <f t="shared" si="34"/>
        <v>197.6</v>
      </c>
      <c r="J1976" s="1">
        <v>10.11</v>
      </c>
    </row>
    <row r="1977" customHeight="1" spans="1:10">
      <c r="A1977" s="3">
        <v>2055</v>
      </c>
      <c r="B1977" s="1" t="s">
        <v>715</v>
      </c>
      <c r="C1977" s="1" t="s">
        <v>669</v>
      </c>
      <c r="D1977" s="1" t="s">
        <v>435</v>
      </c>
      <c r="E1977" s="1" t="s">
        <v>13</v>
      </c>
      <c r="F1977" s="1">
        <v>0.25</v>
      </c>
      <c r="G1977" s="1">
        <v>380</v>
      </c>
      <c r="H1977" s="3">
        <f t="shared" si="34"/>
        <v>95</v>
      </c>
      <c r="J1977" s="1">
        <v>10.11</v>
      </c>
    </row>
    <row r="1978" customHeight="1" spans="1:10">
      <c r="A1978" s="3">
        <v>2056</v>
      </c>
      <c r="B1978" s="1" t="s">
        <v>761</v>
      </c>
      <c r="C1978" s="1" t="s">
        <v>669</v>
      </c>
      <c r="D1978" s="1" t="s">
        <v>435</v>
      </c>
      <c r="E1978" s="1" t="s">
        <v>13</v>
      </c>
      <c r="F1978" s="1">
        <v>0.2</v>
      </c>
      <c r="G1978" s="1">
        <v>380</v>
      </c>
      <c r="H1978" s="3">
        <f t="shared" si="34"/>
        <v>76</v>
      </c>
      <c r="J1978" s="1">
        <v>10.11</v>
      </c>
    </row>
    <row r="1979" customHeight="1" spans="1:10">
      <c r="A1979" s="3">
        <v>2057</v>
      </c>
      <c r="B1979" s="1" t="s">
        <v>730</v>
      </c>
      <c r="C1979" s="1" t="s">
        <v>669</v>
      </c>
      <c r="D1979" s="1" t="s">
        <v>450</v>
      </c>
      <c r="E1979" s="1" t="s">
        <v>22</v>
      </c>
      <c r="F1979" s="1">
        <v>0.8</v>
      </c>
      <c r="G1979" s="1">
        <v>480</v>
      </c>
      <c r="H1979" s="3">
        <f t="shared" si="34"/>
        <v>384</v>
      </c>
      <c r="J1979" s="1">
        <v>10.11</v>
      </c>
    </row>
    <row r="1980" customHeight="1" spans="1:10">
      <c r="A1980" s="3">
        <v>2058</v>
      </c>
      <c r="B1980" s="1" t="s">
        <v>715</v>
      </c>
      <c r="C1980" s="1" t="s">
        <v>669</v>
      </c>
      <c r="D1980" s="1" t="s">
        <v>450</v>
      </c>
      <c r="E1980" s="1" t="s">
        <v>22</v>
      </c>
      <c r="F1980" s="1">
        <v>0.35</v>
      </c>
      <c r="G1980" s="1">
        <v>480</v>
      </c>
      <c r="H1980" s="3">
        <f t="shared" si="34"/>
        <v>168</v>
      </c>
      <c r="J1980" s="1">
        <v>10.11</v>
      </c>
    </row>
    <row r="1981" customHeight="1" spans="1:10">
      <c r="A1981" s="3">
        <v>2059</v>
      </c>
      <c r="B1981" s="1" t="s">
        <v>757</v>
      </c>
      <c r="C1981" s="1" t="s">
        <v>669</v>
      </c>
      <c r="D1981" s="1" t="s">
        <v>450</v>
      </c>
      <c r="E1981" s="1" t="s">
        <v>22</v>
      </c>
      <c r="F1981" s="1">
        <v>0.95</v>
      </c>
      <c r="G1981" s="1">
        <v>480</v>
      </c>
      <c r="H1981" s="3">
        <f t="shared" si="34"/>
        <v>456</v>
      </c>
      <c r="J1981" s="1">
        <v>10.11</v>
      </c>
    </row>
    <row r="1982" customHeight="1" spans="1:10">
      <c r="A1982" s="3">
        <v>2060</v>
      </c>
      <c r="B1982" s="1" t="s">
        <v>709</v>
      </c>
      <c r="C1982" s="1" t="s">
        <v>669</v>
      </c>
      <c r="D1982" s="1" t="s">
        <v>450</v>
      </c>
      <c r="E1982" s="1" t="s">
        <v>22</v>
      </c>
      <c r="F1982" s="1">
        <v>0.72</v>
      </c>
      <c r="G1982" s="1">
        <v>480</v>
      </c>
      <c r="H1982" s="3">
        <f t="shared" si="34"/>
        <v>345.6</v>
      </c>
      <c r="J1982" s="1">
        <v>10.11</v>
      </c>
    </row>
    <row r="1983" customHeight="1" spans="1:10">
      <c r="A1983" s="3">
        <v>2061</v>
      </c>
      <c r="B1983" s="1" t="s">
        <v>696</v>
      </c>
      <c r="C1983" s="1" t="s">
        <v>669</v>
      </c>
      <c r="D1983" s="1" t="s">
        <v>435</v>
      </c>
      <c r="E1983" s="1" t="s">
        <v>13</v>
      </c>
      <c r="F1983" s="1">
        <v>0.35</v>
      </c>
      <c r="G1983" s="1">
        <v>380</v>
      </c>
      <c r="H1983" s="3">
        <f t="shared" si="34"/>
        <v>133</v>
      </c>
      <c r="J1983" s="1">
        <v>10.11</v>
      </c>
    </row>
    <row r="1984" customHeight="1" spans="1:10">
      <c r="A1984" s="3">
        <v>2062</v>
      </c>
      <c r="B1984" s="1" t="s">
        <v>718</v>
      </c>
      <c r="C1984" s="1" t="s">
        <v>669</v>
      </c>
      <c r="D1984" s="1" t="s">
        <v>435</v>
      </c>
      <c r="E1984" s="1" t="s">
        <v>13</v>
      </c>
      <c r="F1984" s="1">
        <v>0.68</v>
      </c>
      <c r="G1984" s="1">
        <v>380</v>
      </c>
      <c r="H1984" s="3">
        <f t="shared" si="34"/>
        <v>258.4</v>
      </c>
      <c r="J1984" s="1">
        <v>10.11</v>
      </c>
    </row>
    <row r="1985" customHeight="1" spans="1:10">
      <c r="A1985" s="3">
        <v>2063</v>
      </c>
      <c r="B1985" s="1" t="s">
        <v>721</v>
      </c>
      <c r="C1985" s="1" t="s">
        <v>669</v>
      </c>
      <c r="D1985" s="1" t="s">
        <v>435</v>
      </c>
      <c r="E1985" s="1" t="s">
        <v>13</v>
      </c>
      <c r="F1985" s="1">
        <v>0.3</v>
      </c>
      <c r="G1985" s="1">
        <v>380</v>
      </c>
      <c r="H1985" s="3">
        <f t="shared" si="34"/>
        <v>114</v>
      </c>
      <c r="J1985" s="1">
        <v>10.11</v>
      </c>
    </row>
    <row r="1986" customHeight="1" spans="1:10">
      <c r="A1986" s="3">
        <v>2064</v>
      </c>
      <c r="B1986" s="1" t="s">
        <v>741</v>
      </c>
      <c r="C1986" s="1" t="s">
        <v>669</v>
      </c>
      <c r="D1986" s="1" t="s">
        <v>704</v>
      </c>
      <c r="E1986" s="1" t="s">
        <v>13</v>
      </c>
      <c r="F1986" s="1">
        <v>0.35</v>
      </c>
      <c r="G1986" s="1">
        <v>380</v>
      </c>
      <c r="H1986" s="3">
        <f t="shared" si="34"/>
        <v>133</v>
      </c>
      <c r="J1986" s="1">
        <v>10.11</v>
      </c>
    </row>
    <row r="1987" customHeight="1" spans="1:10">
      <c r="A1987" s="3">
        <v>2065</v>
      </c>
      <c r="B1987" s="1" t="s">
        <v>727</v>
      </c>
      <c r="C1987" s="1" t="s">
        <v>669</v>
      </c>
      <c r="D1987" s="1" t="s">
        <v>704</v>
      </c>
      <c r="E1987" s="1" t="s">
        <v>13</v>
      </c>
      <c r="F1987" s="1">
        <v>0.2</v>
      </c>
      <c r="G1987" s="1">
        <v>380</v>
      </c>
      <c r="H1987" s="3">
        <f t="shared" si="34"/>
        <v>76</v>
      </c>
      <c r="J1987" s="1">
        <v>10.11</v>
      </c>
    </row>
    <row r="1988" customHeight="1" spans="1:10">
      <c r="A1988" s="3">
        <v>2066</v>
      </c>
      <c r="B1988" s="1" t="s">
        <v>721</v>
      </c>
      <c r="C1988" s="1" t="s">
        <v>669</v>
      </c>
      <c r="D1988" s="1" t="s">
        <v>704</v>
      </c>
      <c r="E1988" s="1" t="s">
        <v>13</v>
      </c>
      <c r="F1988" s="1">
        <v>0.8</v>
      </c>
      <c r="G1988" s="1">
        <v>380</v>
      </c>
      <c r="H1988" s="3">
        <f t="shared" si="34"/>
        <v>304</v>
      </c>
      <c r="J1988" s="1">
        <v>10.11</v>
      </c>
    </row>
    <row r="1989" customHeight="1" spans="1:10">
      <c r="A1989" s="3">
        <v>2067</v>
      </c>
      <c r="B1989" s="1" t="s">
        <v>696</v>
      </c>
      <c r="C1989" s="1" t="s">
        <v>669</v>
      </c>
      <c r="D1989" s="1" t="s">
        <v>704</v>
      </c>
      <c r="E1989" s="1" t="s">
        <v>13</v>
      </c>
      <c r="F1989" s="1">
        <v>0.2</v>
      </c>
      <c r="G1989" s="1">
        <v>380</v>
      </c>
      <c r="H1989" s="3">
        <f t="shared" si="34"/>
        <v>76</v>
      </c>
      <c r="J1989" s="1">
        <v>10.11</v>
      </c>
    </row>
    <row r="1990" customHeight="1" spans="1:10">
      <c r="A1990" s="3">
        <v>2068</v>
      </c>
      <c r="B1990" s="1" t="s">
        <v>741</v>
      </c>
      <c r="C1990" s="1" t="s">
        <v>669</v>
      </c>
      <c r="D1990" s="1" t="s">
        <v>762</v>
      </c>
      <c r="E1990" s="1" t="s">
        <v>13</v>
      </c>
      <c r="F1990" s="1">
        <v>0.16</v>
      </c>
      <c r="G1990" s="1">
        <v>380</v>
      </c>
      <c r="H1990" s="3">
        <f t="shared" si="34"/>
        <v>60.8</v>
      </c>
      <c r="J1990" s="1">
        <v>10.11</v>
      </c>
    </row>
    <row r="1991" customHeight="1" spans="1:10">
      <c r="A1991" s="3">
        <v>2069</v>
      </c>
      <c r="B1991" s="1" t="s">
        <v>727</v>
      </c>
      <c r="C1991" s="1" t="s">
        <v>669</v>
      </c>
      <c r="D1991" s="1" t="s">
        <v>763</v>
      </c>
      <c r="E1991" s="1" t="s">
        <v>22</v>
      </c>
      <c r="F1991" s="1">
        <v>0.25</v>
      </c>
      <c r="G1991" s="1">
        <v>480</v>
      </c>
      <c r="H1991" s="3">
        <f t="shared" si="34"/>
        <v>120</v>
      </c>
      <c r="J1991" s="1">
        <v>10.11</v>
      </c>
    </row>
    <row r="1992" customHeight="1" spans="1:10">
      <c r="A1992" s="3">
        <v>2070</v>
      </c>
      <c r="B1992" s="1" t="s">
        <v>715</v>
      </c>
      <c r="C1992" s="1" t="s">
        <v>669</v>
      </c>
      <c r="D1992" s="1" t="s">
        <v>763</v>
      </c>
      <c r="E1992" s="1" t="s">
        <v>22</v>
      </c>
      <c r="F1992" s="1">
        <v>0.4</v>
      </c>
      <c r="G1992" s="1">
        <v>480</v>
      </c>
      <c r="H1992" s="3">
        <f t="shared" si="34"/>
        <v>192</v>
      </c>
      <c r="J1992" s="1">
        <v>10.11</v>
      </c>
    </row>
    <row r="1993" customHeight="1" spans="1:10">
      <c r="A1993" s="3">
        <v>2071</v>
      </c>
      <c r="B1993" s="1" t="s">
        <v>757</v>
      </c>
      <c r="C1993" s="1" t="s">
        <v>669</v>
      </c>
      <c r="D1993" s="1" t="s">
        <v>204</v>
      </c>
      <c r="E1993" s="1" t="s">
        <v>22</v>
      </c>
      <c r="F1993" s="1">
        <v>0.47</v>
      </c>
      <c r="G1993" s="1">
        <v>480</v>
      </c>
      <c r="H1993" s="3">
        <f t="shared" si="34"/>
        <v>225.6</v>
      </c>
      <c r="J1993" s="1">
        <v>10.11</v>
      </c>
    </row>
    <row r="1994" customHeight="1" spans="1:10">
      <c r="A1994" s="3">
        <v>2072</v>
      </c>
      <c r="B1994" s="1" t="s">
        <v>716</v>
      </c>
      <c r="C1994" s="1" t="s">
        <v>669</v>
      </c>
      <c r="D1994" s="1" t="s">
        <v>204</v>
      </c>
      <c r="E1994" s="1" t="s">
        <v>22</v>
      </c>
      <c r="F1994" s="1">
        <v>0.64</v>
      </c>
      <c r="G1994" s="1">
        <v>480</v>
      </c>
      <c r="H1994" s="3">
        <f t="shared" si="34"/>
        <v>307.2</v>
      </c>
      <c r="J1994" s="1">
        <v>10.11</v>
      </c>
    </row>
    <row r="1995" customHeight="1" spans="1:10">
      <c r="A1995" s="3">
        <v>2073</v>
      </c>
      <c r="B1995" s="1" t="s">
        <v>728</v>
      </c>
      <c r="C1995" s="1" t="s">
        <v>669</v>
      </c>
      <c r="D1995" s="1" t="s">
        <v>204</v>
      </c>
      <c r="E1995" s="1" t="s">
        <v>22</v>
      </c>
      <c r="F1995" s="1">
        <v>0.69</v>
      </c>
      <c r="G1995" s="1">
        <v>480</v>
      </c>
      <c r="H1995" s="3">
        <f t="shared" si="34"/>
        <v>331.2</v>
      </c>
      <c r="J1995" s="1">
        <v>10.11</v>
      </c>
    </row>
    <row r="1996" customHeight="1" spans="1:10">
      <c r="A1996" s="3">
        <v>2074</v>
      </c>
      <c r="B1996" s="1" t="s">
        <v>712</v>
      </c>
      <c r="C1996" s="1" t="s">
        <v>669</v>
      </c>
      <c r="D1996" s="1" t="s">
        <v>204</v>
      </c>
      <c r="E1996" s="1" t="s">
        <v>22</v>
      </c>
      <c r="F1996" s="1">
        <v>0.8</v>
      </c>
      <c r="G1996" s="1">
        <v>480</v>
      </c>
      <c r="H1996" s="3">
        <f t="shared" si="34"/>
        <v>384</v>
      </c>
      <c r="J1996" s="1">
        <v>10.11</v>
      </c>
    </row>
    <row r="1997" customHeight="1" spans="1:10">
      <c r="A1997" s="3">
        <v>2075</v>
      </c>
      <c r="B1997" s="1" t="s">
        <v>702</v>
      </c>
      <c r="C1997" s="1" t="s">
        <v>669</v>
      </c>
      <c r="D1997" s="1" t="s">
        <v>204</v>
      </c>
      <c r="E1997" s="1" t="s">
        <v>22</v>
      </c>
      <c r="F1997" s="1">
        <v>0.1</v>
      </c>
      <c r="G1997" s="1">
        <v>480</v>
      </c>
      <c r="H1997" s="3">
        <f t="shared" si="34"/>
        <v>48</v>
      </c>
      <c r="J1997" s="1">
        <v>10.11</v>
      </c>
    </row>
    <row r="1998" customHeight="1" spans="1:10">
      <c r="A1998" s="3">
        <v>2076</v>
      </c>
      <c r="B1998" s="1" t="s">
        <v>747</v>
      </c>
      <c r="C1998" s="1" t="s">
        <v>669</v>
      </c>
      <c r="D1998" s="1" t="s">
        <v>204</v>
      </c>
      <c r="E1998" s="1" t="s">
        <v>22</v>
      </c>
      <c r="F1998" s="1">
        <v>0.51</v>
      </c>
      <c r="G1998" s="1">
        <v>480</v>
      </c>
      <c r="H1998" s="3">
        <f t="shared" si="34"/>
        <v>244.8</v>
      </c>
      <c r="J1998" s="1">
        <v>10.11</v>
      </c>
    </row>
    <row r="1999" customHeight="1" spans="1:10">
      <c r="A1999" s="3">
        <v>2077</v>
      </c>
      <c r="B1999" s="1" t="s">
        <v>712</v>
      </c>
      <c r="C1999" s="1" t="s">
        <v>669</v>
      </c>
      <c r="D1999" s="1" t="s">
        <v>204</v>
      </c>
      <c r="E1999" s="1" t="s">
        <v>22</v>
      </c>
      <c r="F1999" s="1">
        <v>0.15</v>
      </c>
      <c r="G1999" s="1">
        <v>480</v>
      </c>
      <c r="H1999" s="3">
        <f t="shared" si="34"/>
        <v>72</v>
      </c>
      <c r="J1999" s="1">
        <v>10.11</v>
      </c>
    </row>
    <row r="2000" customHeight="1" spans="1:10">
      <c r="A2000" s="3">
        <v>2078</v>
      </c>
      <c r="B2000" s="1" t="s">
        <v>715</v>
      </c>
      <c r="C2000" s="1" t="s">
        <v>669</v>
      </c>
      <c r="D2000" s="1" t="s">
        <v>204</v>
      </c>
      <c r="E2000" s="1" t="s">
        <v>22</v>
      </c>
      <c r="F2000" s="1">
        <v>0.15</v>
      </c>
      <c r="G2000" s="1">
        <v>480</v>
      </c>
      <c r="H2000" s="3">
        <f t="shared" si="34"/>
        <v>72</v>
      </c>
      <c r="J2000" s="1">
        <v>10.11</v>
      </c>
    </row>
    <row r="2001" customHeight="1" spans="1:10">
      <c r="A2001" s="3">
        <v>2079</v>
      </c>
      <c r="B2001" s="1" t="s">
        <v>712</v>
      </c>
      <c r="C2001" s="1" t="s">
        <v>669</v>
      </c>
      <c r="D2001" s="1" t="s">
        <v>764</v>
      </c>
      <c r="E2001" s="1" t="s">
        <v>13</v>
      </c>
      <c r="F2001" s="1">
        <v>0.31</v>
      </c>
      <c r="G2001" s="1">
        <v>380</v>
      </c>
      <c r="H2001" s="3">
        <f t="shared" si="34"/>
        <v>117.8</v>
      </c>
      <c r="J2001" s="1">
        <v>10.11</v>
      </c>
    </row>
    <row r="2002" customHeight="1" spans="1:10">
      <c r="A2002" s="3">
        <v>2080</v>
      </c>
      <c r="B2002" s="1" t="s">
        <v>696</v>
      </c>
      <c r="C2002" s="1" t="s">
        <v>669</v>
      </c>
      <c r="D2002" s="1" t="s">
        <v>764</v>
      </c>
      <c r="E2002" s="1" t="s">
        <v>13</v>
      </c>
      <c r="F2002" s="1">
        <v>0.1</v>
      </c>
      <c r="G2002" s="1">
        <v>380</v>
      </c>
      <c r="H2002" s="3">
        <f t="shared" si="34"/>
        <v>38</v>
      </c>
      <c r="J2002" s="1">
        <v>10.11</v>
      </c>
    </row>
    <row r="2003" customHeight="1" spans="1:10">
      <c r="A2003" s="3">
        <v>2081</v>
      </c>
      <c r="B2003" s="1" t="s">
        <v>714</v>
      </c>
      <c r="C2003" s="1" t="s">
        <v>669</v>
      </c>
      <c r="D2003" s="1" t="s">
        <v>326</v>
      </c>
      <c r="E2003" s="1" t="s">
        <v>13</v>
      </c>
      <c r="F2003" s="1">
        <v>0.15</v>
      </c>
      <c r="G2003" s="1">
        <v>380</v>
      </c>
      <c r="H2003" s="3">
        <f t="shared" si="34"/>
        <v>57</v>
      </c>
      <c r="J2003" s="1">
        <v>10.11</v>
      </c>
    </row>
    <row r="2004" customHeight="1" spans="1:10">
      <c r="A2004" s="3">
        <v>2082</v>
      </c>
      <c r="B2004" s="1" t="s">
        <v>731</v>
      </c>
      <c r="C2004" s="1" t="s">
        <v>669</v>
      </c>
      <c r="D2004" s="1" t="s">
        <v>765</v>
      </c>
      <c r="E2004" s="1" t="s">
        <v>22</v>
      </c>
      <c r="F2004" s="1">
        <v>0.5</v>
      </c>
      <c r="G2004" s="1">
        <v>480</v>
      </c>
      <c r="H2004" s="3">
        <f t="shared" si="34"/>
        <v>240</v>
      </c>
      <c r="J2004" s="1">
        <v>10.11</v>
      </c>
    </row>
    <row r="2005" customHeight="1" spans="1:10">
      <c r="A2005" s="3">
        <v>2083</v>
      </c>
      <c r="B2005" s="1" t="s">
        <v>766</v>
      </c>
      <c r="C2005" s="1" t="s">
        <v>669</v>
      </c>
      <c r="D2005" s="1" t="s">
        <v>765</v>
      </c>
      <c r="E2005" s="1" t="s">
        <v>22</v>
      </c>
      <c r="F2005" s="1">
        <v>0.15</v>
      </c>
      <c r="G2005" s="1">
        <v>480</v>
      </c>
      <c r="H2005" s="3">
        <f t="shared" si="34"/>
        <v>72</v>
      </c>
      <c r="J2005" s="1">
        <v>10.11</v>
      </c>
    </row>
    <row r="2006" customHeight="1" spans="1:10">
      <c r="A2006" s="3">
        <v>2084</v>
      </c>
      <c r="B2006" s="1" t="s">
        <v>715</v>
      </c>
      <c r="C2006" s="1" t="s">
        <v>669</v>
      </c>
      <c r="D2006" s="1" t="s">
        <v>765</v>
      </c>
      <c r="E2006" s="1" t="s">
        <v>22</v>
      </c>
      <c r="F2006" s="1">
        <v>0.05</v>
      </c>
      <c r="G2006" s="1">
        <v>480</v>
      </c>
      <c r="H2006" s="3">
        <f t="shared" si="34"/>
        <v>24</v>
      </c>
      <c r="J2006" s="1">
        <v>10.11</v>
      </c>
    </row>
    <row r="2007" customHeight="1" spans="1:10">
      <c r="A2007" s="3">
        <v>2085</v>
      </c>
      <c r="B2007" s="1" t="s">
        <v>731</v>
      </c>
      <c r="C2007" s="1" t="s">
        <v>669</v>
      </c>
      <c r="D2007" s="1" t="s">
        <v>767</v>
      </c>
      <c r="E2007" s="1" t="s">
        <v>22</v>
      </c>
      <c r="F2007" s="1">
        <v>1.08</v>
      </c>
      <c r="G2007" s="1">
        <v>480</v>
      </c>
      <c r="H2007" s="3">
        <f t="shared" si="34"/>
        <v>518.4</v>
      </c>
      <c r="J2007" s="1">
        <v>10.11</v>
      </c>
    </row>
    <row r="2008" customHeight="1" spans="1:10">
      <c r="A2008" s="3">
        <v>2086</v>
      </c>
      <c r="B2008" s="1" t="s">
        <v>696</v>
      </c>
      <c r="C2008" s="1" t="s">
        <v>669</v>
      </c>
      <c r="D2008" s="1" t="s">
        <v>759</v>
      </c>
      <c r="E2008" s="1" t="s">
        <v>22</v>
      </c>
      <c r="F2008" s="1">
        <v>0.12</v>
      </c>
      <c r="G2008" s="1">
        <v>480</v>
      </c>
      <c r="H2008" s="3">
        <f t="shared" si="34"/>
        <v>57.6</v>
      </c>
      <c r="J2008" s="1">
        <v>10.11</v>
      </c>
    </row>
    <row r="2009" customHeight="1" spans="1:10">
      <c r="A2009" s="3">
        <v>2087</v>
      </c>
      <c r="B2009" s="1" t="s">
        <v>702</v>
      </c>
      <c r="C2009" s="1" t="s">
        <v>669</v>
      </c>
      <c r="D2009" s="1" t="s">
        <v>767</v>
      </c>
      <c r="E2009" s="1" t="s">
        <v>22</v>
      </c>
      <c r="F2009" s="1">
        <v>0.41</v>
      </c>
      <c r="G2009" s="1">
        <v>480</v>
      </c>
      <c r="H2009" s="3">
        <f t="shared" si="34"/>
        <v>196.8</v>
      </c>
      <c r="J2009" s="1">
        <v>10.11</v>
      </c>
    </row>
    <row r="2010" customHeight="1" spans="1:10">
      <c r="A2010" s="3">
        <v>2088</v>
      </c>
      <c r="B2010" s="1" t="s">
        <v>740</v>
      </c>
      <c r="C2010" s="1" t="s">
        <v>669</v>
      </c>
      <c r="D2010" s="1" t="s">
        <v>767</v>
      </c>
      <c r="E2010" s="1" t="s">
        <v>22</v>
      </c>
      <c r="F2010" s="1">
        <v>0.7</v>
      </c>
      <c r="G2010" s="1">
        <v>480</v>
      </c>
      <c r="H2010" s="3">
        <f t="shared" si="34"/>
        <v>336</v>
      </c>
      <c r="J2010" s="1">
        <v>10.11</v>
      </c>
    </row>
    <row r="2011" customHeight="1" spans="1:10">
      <c r="A2011" s="3">
        <v>2089</v>
      </c>
      <c r="B2011" s="1" t="s">
        <v>714</v>
      </c>
      <c r="C2011" s="1" t="s">
        <v>669</v>
      </c>
      <c r="D2011" s="1" t="s">
        <v>767</v>
      </c>
      <c r="E2011" s="1" t="s">
        <v>22</v>
      </c>
      <c r="F2011" s="1">
        <v>0.6</v>
      </c>
      <c r="G2011" s="1">
        <v>480</v>
      </c>
      <c r="H2011" s="3">
        <f t="shared" si="34"/>
        <v>288</v>
      </c>
      <c r="J2011" s="1">
        <v>10.11</v>
      </c>
    </row>
    <row r="2012" customHeight="1" spans="1:10">
      <c r="A2012" s="3">
        <v>2090</v>
      </c>
      <c r="B2012" s="1" t="s">
        <v>702</v>
      </c>
      <c r="C2012" s="1" t="s">
        <v>669</v>
      </c>
      <c r="D2012" s="1" t="s">
        <v>767</v>
      </c>
      <c r="E2012" s="1" t="s">
        <v>22</v>
      </c>
      <c r="F2012" s="1">
        <v>0.98</v>
      </c>
      <c r="G2012" s="1">
        <v>480</v>
      </c>
      <c r="H2012" s="3">
        <f t="shared" ref="H2012:H2075" si="35">G2012*F2012</f>
        <v>470.4</v>
      </c>
      <c r="J2012" s="1">
        <v>10.11</v>
      </c>
    </row>
    <row r="2013" customHeight="1" spans="1:10">
      <c r="A2013" s="3">
        <v>2091</v>
      </c>
      <c r="B2013" s="1" t="s">
        <v>724</v>
      </c>
      <c r="C2013" s="1" t="s">
        <v>669</v>
      </c>
      <c r="D2013" s="1" t="s">
        <v>767</v>
      </c>
      <c r="E2013" s="1" t="s">
        <v>22</v>
      </c>
      <c r="F2013" s="1">
        <v>0.3</v>
      </c>
      <c r="G2013" s="1">
        <v>480</v>
      </c>
      <c r="H2013" s="3">
        <f t="shared" si="35"/>
        <v>144</v>
      </c>
      <c r="J2013" s="1">
        <v>10.11</v>
      </c>
    </row>
    <row r="2014" customHeight="1" spans="1:10">
      <c r="A2014" s="3">
        <v>2092</v>
      </c>
      <c r="B2014" s="1" t="s">
        <v>705</v>
      </c>
      <c r="C2014" s="1" t="s">
        <v>669</v>
      </c>
      <c r="D2014" s="1" t="s">
        <v>767</v>
      </c>
      <c r="E2014" s="1" t="s">
        <v>22</v>
      </c>
      <c r="F2014" s="1">
        <v>0.85</v>
      </c>
      <c r="G2014" s="1">
        <v>480</v>
      </c>
      <c r="H2014" s="3">
        <f t="shared" si="35"/>
        <v>408</v>
      </c>
      <c r="J2014" s="1">
        <v>10.11</v>
      </c>
    </row>
    <row r="2015" customHeight="1" spans="1:10">
      <c r="A2015" s="3">
        <v>2093</v>
      </c>
      <c r="B2015" s="1" t="s">
        <v>760</v>
      </c>
      <c r="C2015" s="1" t="s">
        <v>669</v>
      </c>
      <c r="D2015" s="1" t="s">
        <v>767</v>
      </c>
      <c r="E2015" s="1" t="s">
        <v>22</v>
      </c>
      <c r="F2015" s="1">
        <v>0.1</v>
      </c>
      <c r="G2015" s="1">
        <v>480</v>
      </c>
      <c r="H2015" s="3">
        <f t="shared" si="35"/>
        <v>48</v>
      </c>
      <c r="J2015" s="1">
        <v>10.11</v>
      </c>
    </row>
    <row r="2016" customHeight="1" spans="1:10">
      <c r="A2016" s="3">
        <v>2094</v>
      </c>
      <c r="B2016" s="1" t="s">
        <v>716</v>
      </c>
      <c r="C2016" s="1" t="s">
        <v>669</v>
      </c>
      <c r="D2016" s="1" t="s">
        <v>767</v>
      </c>
      <c r="E2016" s="1" t="s">
        <v>22</v>
      </c>
      <c r="F2016" s="1">
        <v>1.5</v>
      </c>
      <c r="G2016" s="1">
        <v>480</v>
      </c>
      <c r="H2016" s="3">
        <f t="shared" si="35"/>
        <v>720</v>
      </c>
      <c r="J2016" s="1">
        <v>10.11</v>
      </c>
    </row>
    <row r="2017" customHeight="1" spans="1:10">
      <c r="A2017" s="3">
        <v>2095</v>
      </c>
      <c r="B2017" s="1" t="s">
        <v>705</v>
      </c>
      <c r="C2017" s="1" t="s">
        <v>669</v>
      </c>
      <c r="D2017" s="1" t="s">
        <v>768</v>
      </c>
      <c r="E2017" s="1" t="s">
        <v>22</v>
      </c>
      <c r="F2017" s="1">
        <v>0.3</v>
      </c>
      <c r="G2017" s="1">
        <v>480</v>
      </c>
      <c r="H2017" s="3">
        <f t="shared" si="35"/>
        <v>144</v>
      </c>
      <c r="J2017" s="1">
        <v>10.11</v>
      </c>
    </row>
    <row r="2018" customHeight="1" spans="1:10">
      <c r="A2018" s="3">
        <v>2096</v>
      </c>
      <c r="B2018" s="1" t="s">
        <v>736</v>
      </c>
      <c r="C2018" s="1" t="s">
        <v>669</v>
      </c>
      <c r="D2018" s="1" t="s">
        <v>769</v>
      </c>
      <c r="E2018" s="1" t="s">
        <v>309</v>
      </c>
      <c r="F2018" s="1">
        <v>0.03</v>
      </c>
      <c r="G2018" s="1">
        <v>380</v>
      </c>
      <c r="H2018" s="3">
        <f t="shared" si="35"/>
        <v>11.4</v>
      </c>
      <c r="J2018" s="1">
        <v>10.12</v>
      </c>
    </row>
    <row r="2019" customHeight="1" spans="1:10">
      <c r="A2019" s="3">
        <v>2097</v>
      </c>
      <c r="B2019" s="1" t="s">
        <v>770</v>
      </c>
      <c r="C2019" s="1" t="s">
        <v>669</v>
      </c>
      <c r="D2019" s="1" t="s">
        <v>769</v>
      </c>
      <c r="E2019" s="1" t="s">
        <v>309</v>
      </c>
      <c r="F2019" s="1">
        <v>0.35</v>
      </c>
      <c r="G2019" s="1">
        <v>380</v>
      </c>
      <c r="H2019" s="3">
        <f t="shared" si="35"/>
        <v>133</v>
      </c>
      <c r="J2019" s="1">
        <v>10.12</v>
      </c>
    </row>
    <row r="2020" customHeight="1" spans="1:10">
      <c r="A2020" s="3">
        <v>2098</v>
      </c>
      <c r="B2020" s="1" t="s">
        <v>725</v>
      </c>
      <c r="C2020" s="1" t="s">
        <v>669</v>
      </c>
      <c r="D2020" s="1" t="s">
        <v>769</v>
      </c>
      <c r="E2020" s="1" t="s">
        <v>309</v>
      </c>
      <c r="F2020" s="1">
        <v>0.4</v>
      </c>
      <c r="G2020" s="1">
        <v>380</v>
      </c>
      <c r="H2020" s="3">
        <f t="shared" si="35"/>
        <v>152</v>
      </c>
      <c r="J2020" s="1">
        <v>10.12</v>
      </c>
    </row>
    <row r="2021" customHeight="1" spans="1:10">
      <c r="A2021" s="3">
        <v>2099</v>
      </c>
      <c r="B2021" s="1" t="s">
        <v>728</v>
      </c>
      <c r="C2021" s="1" t="s">
        <v>669</v>
      </c>
      <c r="D2021" s="1" t="s">
        <v>769</v>
      </c>
      <c r="E2021" s="1" t="s">
        <v>309</v>
      </c>
      <c r="F2021" s="1">
        <v>0.4</v>
      </c>
      <c r="G2021" s="1">
        <v>380</v>
      </c>
      <c r="H2021" s="3">
        <f t="shared" si="35"/>
        <v>152</v>
      </c>
      <c r="J2021" s="1">
        <v>10.12</v>
      </c>
    </row>
    <row r="2022" customHeight="1" spans="1:10">
      <c r="A2022" s="3">
        <v>2100</v>
      </c>
      <c r="B2022" s="1" t="s">
        <v>705</v>
      </c>
      <c r="C2022" s="1" t="s">
        <v>669</v>
      </c>
      <c r="D2022" s="1" t="s">
        <v>769</v>
      </c>
      <c r="E2022" s="1" t="s">
        <v>309</v>
      </c>
      <c r="F2022" s="1">
        <v>1.39</v>
      </c>
      <c r="G2022" s="1">
        <v>380</v>
      </c>
      <c r="H2022" s="3">
        <f t="shared" si="35"/>
        <v>528.2</v>
      </c>
      <c r="J2022" s="1">
        <v>10.12</v>
      </c>
    </row>
    <row r="2023" customHeight="1" spans="1:10">
      <c r="A2023" s="3">
        <v>2101</v>
      </c>
      <c r="B2023" s="1" t="s">
        <v>705</v>
      </c>
      <c r="C2023" s="1" t="s">
        <v>669</v>
      </c>
      <c r="D2023" s="1" t="s">
        <v>769</v>
      </c>
      <c r="E2023" s="1" t="s">
        <v>309</v>
      </c>
      <c r="F2023" s="1">
        <v>0.6</v>
      </c>
      <c r="G2023" s="1">
        <v>380</v>
      </c>
      <c r="H2023" s="3">
        <f t="shared" si="35"/>
        <v>228</v>
      </c>
      <c r="J2023" s="1">
        <v>10.12</v>
      </c>
    </row>
    <row r="2024" customHeight="1" spans="1:10">
      <c r="A2024" s="3">
        <v>2102</v>
      </c>
      <c r="B2024" s="1" t="s">
        <v>732</v>
      </c>
      <c r="C2024" s="1" t="s">
        <v>669</v>
      </c>
      <c r="D2024" s="1" t="s">
        <v>769</v>
      </c>
      <c r="E2024" s="1" t="s">
        <v>309</v>
      </c>
      <c r="F2024" s="1">
        <v>0.8</v>
      </c>
      <c r="G2024" s="1">
        <v>380</v>
      </c>
      <c r="H2024" s="3">
        <f t="shared" si="35"/>
        <v>304</v>
      </c>
      <c r="J2024" s="1">
        <v>10.12</v>
      </c>
    </row>
    <row r="2025" customHeight="1" spans="1:10">
      <c r="A2025" s="3">
        <v>2103</v>
      </c>
      <c r="B2025" s="1" t="s">
        <v>709</v>
      </c>
      <c r="C2025" s="1" t="s">
        <v>669</v>
      </c>
      <c r="D2025" s="1" t="s">
        <v>769</v>
      </c>
      <c r="E2025" s="1" t="s">
        <v>309</v>
      </c>
      <c r="F2025" s="1">
        <v>0.81</v>
      </c>
      <c r="G2025" s="1">
        <v>380</v>
      </c>
      <c r="H2025" s="3">
        <f t="shared" si="35"/>
        <v>307.8</v>
      </c>
      <c r="J2025" s="1">
        <v>10.12</v>
      </c>
    </row>
    <row r="2026" customHeight="1" spans="1:10">
      <c r="A2026" s="3">
        <v>2104</v>
      </c>
      <c r="B2026" s="1" t="s">
        <v>743</v>
      </c>
      <c r="C2026" s="1" t="s">
        <v>669</v>
      </c>
      <c r="D2026" s="1" t="s">
        <v>769</v>
      </c>
      <c r="E2026" s="1" t="s">
        <v>309</v>
      </c>
      <c r="F2026" s="1">
        <v>0.8</v>
      </c>
      <c r="G2026" s="1">
        <v>380</v>
      </c>
      <c r="H2026" s="3">
        <f t="shared" si="35"/>
        <v>304</v>
      </c>
      <c r="J2026" s="1">
        <v>10.12</v>
      </c>
    </row>
    <row r="2027" customHeight="1" spans="1:10">
      <c r="A2027" s="3">
        <v>2105</v>
      </c>
      <c r="B2027" s="1" t="s">
        <v>736</v>
      </c>
      <c r="C2027" s="1" t="s">
        <v>669</v>
      </c>
      <c r="D2027" s="1" t="s">
        <v>769</v>
      </c>
      <c r="E2027" s="1" t="s">
        <v>309</v>
      </c>
      <c r="F2027" s="1">
        <v>1.85</v>
      </c>
      <c r="G2027" s="1">
        <v>380</v>
      </c>
      <c r="H2027" s="3">
        <f t="shared" si="35"/>
        <v>703</v>
      </c>
      <c r="J2027" s="1">
        <v>10.12</v>
      </c>
    </row>
    <row r="2028" customHeight="1" spans="1:10">
      <c r="A2028" s="3">
        <v>2106</v>
      </c>
      <c r="B2028" s="1" t="s">
        <v>705</v>
      </c>
      <c r="C2028" s="1" t="s">
        <v>669</v>
      </c>
      <c r="D2028" s="1" t="s">
        <v>769</v>
      </c>
      <c r="E2028" s="1" t="s">
        <v>309</v>
      </c>
      <c r="F2028" s="1">
        <v>0.1</v>
      </c>
      <c r="G2028" s="1">
        <v>380</v>
      </c>
      <c r="H2028" s="3">
        <f t="shared" si="35"/>
        <v>38</v>
      </c>
      <c r="J2028" s="1">
        <v>10.12</v>
      </c>
    </row>
    <row r="2029" customHeight="1" spans="1:10">
      <c r="A2029" s="3">
        <v>2107</v>
      </c>
      <c r="B2029" s="1" t="s">
        <v>700</v>
      </c>
      <c r="C2029" s="1" t="s">
        <v>669</v>
      </c>
      <c r="D2029" s="1" t="s">
        <v>246</v>
      </c>
      <c r="E2029" s="1" t="s">
        <v>309</v>
      </c>
      <c r="F2029" s="1">
        <v>0.85</v>
      </c>
      <c r="G2029" s="1">
        <v>380</v>
      </c>
      <c r="H2029" s="3">
        <f t="shared" si="35"/>
        <v>323</v>
      </c>
      <c r="J2029" s="1">
        <v>10.12</v>
      </c>
    </row>
    <row r="2030" customHeight="1" spans="1:10">
      <c r="A2030" s="3">
        <v>2108</v>
      </c>
      <c r="B2030" s="1" t="s">
        <v>747</v>
      </c>
      <c r="C2030" s="1" t="s">
        <v>669</v>
      </c>
      <c r="D2030" s="1" t="s">
        <v>246</v>
      </c>
      <c r="E2030" s="1" t="s">
        <v>309</v>
      </c>
      <c r="F2030" s="1">
        <v>0.75</v>
      </c>
      <c r="G2030" s="1">
        <v>380</v>
      </c>
      <c r="H2030" s="3">
        <f t="shared" si="35"/>
        <v>285</v>
      </c>
      <c r="J2030" s="1">
        <v>10.12</v>
      </c>
    </row>
    <row r="2031" customHeight="1" spans="1:10">
      <c r="A2031" s="3">
        <v>2109</v>
      </c>
      <c r="B2031" s="1" t="s">
        <v>731</v>
      </c>
      <c r="C2031" s="1" t="s">
        <v>669</v>
      </c>
      <c r="D2031" s="1" t="s">
        <v>246</v>
      </c>
      <c r="E2031" s="1" t="s">
        <v>309</v>
      </c>
      <c r="F2031" s="1">
        <v>1.66</v>
      </c>
      <c r="G2031" s="1">
        <v>380</v>
      </c>
      <c r="H2031" s="3">
        <f t="shared" si="35"/>
        <v>630.8</v>
      </c>
      <c r="J2031" s="1">
        <v>10.12</v>
      </c>
    </row>
    <row r="2032" customHeight="1" spans="1:10">
      <c r="A2032" s="3">
        <v>2110</v>
      </c>
      <c r="B2032" s="1" t="s">
        <v>757</v>
      </c>
      <c r="C2032" s="1" t="s">
        <v>669</v>
      </c>
      <c r="D2032" s="1" t="s">
        <v>412</v>
      </c>
      <c r="E2032" s="1" t="s">
        <v>309</v>
      </c>
      <c r="F2032" s="1">
        <v>0.62</v>
      </c>
      <c r="G2032" s="1">
        <v>380</v>
      </c>
      <c r="H2032" s="3">
        <f t="shared" si="35"/>
        <v>235.6</v>
      </c>
      <c r="J2032" s="1">
        <v>10.12</v>
      </c>
    </row>
    <row r="2033" customHeight="1" spans="1:10">
      <c r="A2033" s="3">
        <v>2111</v>
      </c>
      <c r="B2033" s="1" t="s">
        <v>757</v>
      </c>
      <c r="C2033" s="1" t="s">
        <v>669</v>
      </c>
      <c r="D2033" s="1" t="s">
        <v>329</v>
      </c>
      <c r="E2033" s="1" t="s">
        <v>309</v>
      </c>
      <c r="F2033" s="1">
        <v>1.22</v>
      </c>
      <c r="G2033" s="1">
        <v>380</v>
      </c>
      <c r="H2033" s="3">
        <f t="shared" si="35"/>
        <v>463.6</v>
      </c>
      <c r="J2033" s="1">
        <v>10.12</v>
      </c>
    </row>
    <row r="2034" customHeight="1" spans="1:10">
      <c r="A2034" s="3">
        <v>2112</v>
      </c>
      <c r="B2034" s="1" t="s">
        <v>757</v>
      </c>
      <c r="C2034" s="1" t="s">
        <v>669</v>
      </c>
      <c r="D2034" s="1" t="s">
        <v>329</v>
      </c>
      <c r="E2034" s="1" t="s">
        <v>309</v>
      </c>
      <c r="F2034" s="1">
        <v>0.33</v>
      </c>
      <c r="G2034" s="1">
        <v>380</v>
      </c>
      <c r="H2034" s="3">
        <f t="shared" si="35"/>
        <v>125.4</v>
      </c>
      <c r="J2034" s="1">
        <v>10.12</v>
      </c>
    </row>
    <row r="2035" customHeight="1" spans="1:10">
      <c r="A2035" s="3">
        <v>2113</v>
      </c>
      <c r="B2035" s="1" t="s">
        <v>725</v>
      </c>
      <c r="C2035" s="1" t="s">
        <v>669</v>
      </c>
      <c r="D2035" s="1" t="s">
        <v>329</v>
      </c>
      <c r="E2035" s="1" t="s">
        <v>309</v>
      </c>
      <c r="F2035" s="1">
        <v>0.45</v>
      </c>
      <c r="G2035" s="1">
        <v>380</v>
      </c>
      <c r="H2035" s="3">
        <f t="shared" si="35"/>
        <v>171</v>
      </c>
      <c r="J2035" s="1">
        <v>10.12</v>
      </c>
    </row>
    <row r="2036" customHeight="1" spans="1:10">
      <c r="A2036" s="3">
        <v>2114</v>
      </c>
      <c r="B2036" s="1" t="s">
        <v>700</v>
      </c>
      <c r="C2036" s="1" t="s">
        <v>669</v>
      </c>
      <c r="D2036" s="1" t="s">
        <v>329</v>
      </c>
      <c r="E2036" s="1" t="s">
        <v>309</v>
      </c>
      <c r="F2036" s="1">
        <v>0.57</v>
      </c>
      <c r="G2036" s="1">
        <v>380</v>
      </c>
      <c r="H2036" s="3">
        <f t="shared" si="35"/>
        <v>216.6</v>
      </c>
      <c r="J2036" s="1">
        <v>10.12</v>
      </c>
    </row>
    <row r="2037" customHeight="1" spans="1:10">
      <c r="A2037" s="3">
        <v>2115</v>
      </c>
      <c r="B2037" s="1" t="s">
        <v>740</v>
      </c>
      <c r="C2037" s="1" t="s">
        <v>669</v>
      </c>
      <c r="D2037" s="1" t="s">
        <v>329</v>
      </c>
      <c r="E2037" s="1" t="s">
        <v>309</v>
      </c>
      <c r="F2037" s="1">
        <v>0.6</v>
      </c>
      <c r="G2037" s="1">
        <v>380</v>
      </c>
      <c r="H2037" s="3">
        <f t="shared" si="35"/>
        <v>228</v>
      </c>
      <c r="J2037" s="1">
        <v>10.12</v>
      </c>
    </row>
    <row r="2038" customHeight="1" spans="1:10">
      <c r="A2038" s="3">
        <v>2116</v>
      </c>
      <c r="B2038" s="1" t="s">
        <v>714</v>
      </c>
      <c r="C2038" s="1" t="s">
        <v>669</v>
      </c>
      <c r="D2038" s="1" t="s">
        <v>329</v>
      </c>
      <c r="E2038" s="1" t="s">
        <v>309</v>
      </c>
      <c r="F2038" s="1">
        <v>1.2</v>
      </c>
      <c r="G2038" s="1">
        <v>380</v>
      </c>
      <c r="H2038" s="3">
        <f t="shared" si="35"/>
        <v>456</v>
      </c>
      <c r="J2038" s="1">
        <v>10.12</v>
      </c>
    </row>
    <row r="2039" customHeight="1" spans="1:10">
      <c r="A2039" s="3">
        <v>2117</v>
      </c>
      <c r="B2039" s="1" t="s">
        <v>760</v>
      </c>
      <c r="C2039" s="1" t="s">
        <v>669</v>
      </c>
      <c r="D2039" s="1" t="s">
        <v>329</v>
      </c>
      <c r="E2039" s="1" t="s">
        <v>309</v>
      </c>
      <c r="F2039" s="1">
        <v>1.25</v>
      </c>
      <c r="G2039" s="1">
        <v>380</v>
      </c>
      <c r="H2039" s="3">
        <f t="shared" si="35"/>
        <v>475</v>
      </c>
      <c r="J2039" s="1">
        <v>10.12</v>
      </c>
    </row>
    <row r="2040" customHeight="1" spans="1:10">
      <c r="A2040" s="3">
        <v>2118</v>
      </c>
      <c r="B2040" s="1" t="s">
        <v>771</v>
      </c>
      <c r="C2040" s="1" t="s">
        <v>669</v>
      </c>
      <c r="D2040" s="1" t="s">
        <v>329</v>
      </c>
      <c r="E2040" s="1" t="s">
        <v>309</v>
      </c>
      <c r="F2040" s="1">
        <v>0.16</v>
      </c>
      <c r="G2040" s="1">
        <v>380</v>
      </c>
      <c r="H2040" s="3">
        <f t="shared" si="35"/>
        <v>60.8</v>
      </c>
      <c r="J2040" s="1">
        <v>10.12</v>
      </c>
    </row>
    <row r="2041" customHeight="1" spans="1:10">
      <c r="A2041" s="3">
        <v>2119</v>
      </c>
      <c r="B2041" s="1" t="s">
        <v>727</v>
      </c>
      <c r="C2041" s="1" t="s">
        <v>669</v>
      </c>
      <c r="D2041" s="1" t="s">
        <v>772</v>
      </c>
      <c r="E2041" s="1" t="s">
        <v>309</v>
      </c>
      <c r="F2041" s="1">
        <v>0.4</v>
      </c>
      <c r="G2041" s="1">
        <v>380</v>
      </c>
      <c r="H2041" s="3">
        <f t="shared" si="35"/>
        <v>152</v>
      </c>
      <c r="J2041" s="1">
        <v>10.12</v>
      </c>
    </row>
    <row r="2042" customHeight="1" spans="1:10">
      <c r="A2042" s="3">
        <v>2120</v>
      </c>
      <c r="B2042" s="1" t="s">
        <v>727</v>
      </c>
      <c r="C2042" s="1" t="s">
        <v>669</v>
      </c>
      <c r="D2042" s="1" t="s">
        <v>772</v>
      </c>
      <c r="E2042" s="1" t="s">
        <v>309</v>
      </c>
      <c r="F2042" s="1">
        <v>0.22</v>
      </c>
      <c r="G2042" s="1">
        <v>380</v>
      </c>
      <c r="H2042" s="3">
        <f t="shared" si="35"/>
        <v>83.6</v>
      </c>
      <c r="J2042" s="1">
        <v>10.12</v>
      </c>
    </row>
    <row r="2043" customHeight="1" spans="1:10">
      <c r="A2043" s="3">
        <v>2121</v>
      </c>
      <c r="B2043" s="1" t="s">
        <v>718</v>
      </c>
      <c r="C2043" s="1" t="s">
        <v>669</v>
      </c>
      <c r="D2043" s="1" t="s">
        <v>772</v>
      </c>
      <c r="E2043" s="1" t="s">
        <v>309</v>
      </c>
      <c r="F2043" s="1">
        <v>0.54</v>
      </c>
      <c r="G2043" s="1">
        <v>380</v>
      </c>
      <c r="H2043" s="3">
        <f t="shared" si="35"/>
        <v>205.2</v>
      </c>
      <c r="J2043" s="1">
        <v>10.12</v>
      </c>
    </row>
    <row r="2044" customHeight="1" spans="1:10">
      <c r="A2044" s="3">
        <v>2122</v>
      </c>
      <c r="B2044" s="1" t="s">
        <v>700</v>
      </c>
      <c r="C2044" s="1" t="s">
        <v>669</v>
      </c>
      <c r="D2044" s="1" t="s">
        <v>772</v>
      </c>
      <c r="E2044" s="1" t="s">
        <v>309</v>
      </c>
      <c r="F2044" s="1">
        <v>0.3</v>
      </c>
      <c r="G2044" s="1">
        <v>380</v>
      </c>
      <c r="H2044" s="3">
        <f t="shared" si="35"/>
        <v>114</v>
      </c>
      <c r="J2044" s="1">
        <v>10.12</v>
      </c>
    </row>
    <row r="2045" customHeight="1" spans="1:10">
      <c r="A2045" s="3">
        <v>2123</v>
      </c>
      <c r="B2045" s="1" t="s">
        <v>725</v>
      </c>
      <c r="C2045" s="1" t="s">
        <v>669</v>
      </c>
      <c r="D2045" s="1" t="s">
        <v>772</v>
      </c>
      <c r="E2045" s="1" t="s">
        <v>309</v>
      </c>
      <c r="F2045" s="1">
        <v>2.34</v>
      </c>
      <c r="G2045" s="1">
        <v>380</v>
      </c>
      <c r="H2045" s="3">
        <f t="shared" si="35"/>
        <v>889.2</v>
      </c>
      <c r="J2045" s="1">
        <v>10.12</v>
      </c>
    </row>
    <row r="2046" customHeight="1" spans="1:10">
      <c r="A2046" s="3">
        <v>2124</v>
      </c>
      <c r="B2046" s="1" t="s">
        <v>730</v>
      </c>
      <c r="C2046" s="1" t="s">
        <v>669</v>
      </c>
      <c r="D2046" s="1" t="s">
        <v>772</v>
      </c>
      <c r="E2046" s="1" t="s">
        <v>309</v>
      </c>
      <c r="F2046" s="1">
        <v>0.14</v>
      </c>
      <c r="G2046" s="1">
        <v>380</v>
      </c>
      <c r="H2046" s="3">
        <f t="shared" si="35"/>
        <v>53.2</v>
      </c>
      <c r="J2046" s="1">
        <v>10.12</v>
      </c>
    </row>
    <row r="2047" customHeight="1" spans="1:10">
      <c r="A2047" s="3">
        <v>2125</v>
      </c>
      <c r="B2047" s="1" t="s">
        <v>719</v>
      </c>
      <c r="C2047" s="1" t="s">
        <v>669</v>
      </c>
      <c r="D2047" s="1" t="s">
        <v>772</v>
      </c>
      <c r="E2047" s="1" t="s">
        <v>309</v>
      </c>
      <c r="F2047" s="1">
        <v>0.14</v>
      </c>
      <c r="G2047" s="1">
        <v>380</v>
      </c>
      <c r="H2047" s="3">
        <f t="shared" si="35"/>
        <v>53.2</v>
      </c>
      <c r="J2047" s="1">
        <v>10.12</v>
      </c>
    </row>
    <row r="2048" customHeight="1" spans="1:10">
      <c r="A2048" s="3">
        <v>2126</v>
      </c>
      <c r="B2048" s="1" t="s">
        <v>696</v>
      </c>
      <c r="C2048" s="1" t="s">
        <v>669</v>
      </c>
      <c r="D2048" s="1" t="s">
        <v>772</v>
      </c>
      <c r="E2048" s="1" t="s">
        <v>309</v>
      </c>
      <c r="F2048" s="1">
        <v>0.14</v>
      </c>
      <c r="G2048" s="1">
        <v>380</v>
      </c>
      <c r="H2048" s="3">
        <f t="shared" si="35"/>
        <v>53.2</v>
      </c>
      <c r="J2048" s="1">
        <v>10.12</v>
      </c>
    </row>
    <row r="2049" customHeight="1" spans="1:10">
      <c r="A2049" s="3">
        <v>2127</v>
      </c>
      <c r="B2049" s="1" t="s">
        <v>747</v>
      </c>
      <c r="C2049" s="1" t="s">
        <v>669</v>
      </c>
      <c r="D2049" s="1" t="s">
        <v>773</v>
      </c>
      <c r="E2049" s="1" t="s">
        <v>309</v>
      </c>
      <c r="F2049" s="1">
        <v>0.76</v>
      </c>
      <c r="G2049" s="1">
        <v>380</v>
      </c>
      <c r="H2049" s="3">
        <f t="shared" si="35"/>
        <v>288.8</v>
      </c>
      <c r="J2049" s="1">
        <v>10.12</v>
      </c>
    </row>
    <row r="2050" customHeight="1" spans="1:10">
      <c r="A2050" s="3">
        <v>2128</v>
      </c>
      <c r="B2050" s="1" t="s">
        <v>730</v>
      </c>
      <c r="C2050" s="1" t="s">
        <v>669</v>
      </c>
      <c r="D2050" s="1" t="s">
        <v>773</v>
      </c>
      <c r="E2050" s="1" t="s">
        <v>309</v>
      </c>
      <c r="F2050" s="1">
        <v>0.4</v>
      </c>
      <c r="G2050" s="1">
        <v>380</v>
      </c>
      <c r="H2050" s="3">
        <f t="shared" si="35"/>
        <v>152</v>
      </c>
      <c r="J2050" s="1">
        <v>10.12</v>
      </c>
    </row>
    <row r="2051" customHeight="1" spans="1:10">
      <c r="A2051" s="3">
        <v>2129</v>
      </c>
      <c r="B2051" s="1" t="s">
        <v>718</v>
      </c>
      <c r="C2051" s="1" t="s">
        <v>669</v>
      </c>
      <c r="D2051" s="1" t="s">
        <v>154</v>
      </c>
      <c r="E2051" s="1" t="s">
        <v>309</v>
      </c>
      <c r="F2051" s="1">
        <v>0.01</v>
      </c>
      <c r="G2051" s="1">
        <v>380</v>
      </c>
      <c r="H2051" s="3">
        <f t="shared" si="35"/>
        <v>3.8</v>
      </c>
      <c r="J2051" s="1">
        <v>10.12</v>
      </c>
    </row>
    <row r="2052" customHeight="1" spans="1:10">
      <c r="A2052" s="3">
        <v>2130</v>
      </c>
      <c r="B2052" s="1" t="s">
        <v>696</v>
      </c>
      <c r="C2052" s="1" t="s">
        <v>669</v>
      </c>
      <c r="D2052" s="1" t="s">
        <v>154</v>
      </c>
      <c r="E2052" s="1" t="s">
        <v>309</v>
      </c>
      <c r="F2052" s="1">
        <v>0.01</v>
      </c>
      <c r="G2052" s="1">
        <v>380</v>
      </c>
      <c r="H2052" s="3">
        <f t="shared" si="35"/>
        <v>3.8</v>
      </c>
      <c r="J2052" s="1">
        <v>10.12</v>
      </c>
    </row>
    <row r="2053" customHeight="1" spans="1:10">
      <c r="A2053" s="3">
        <v>2131</v>
      </c>
      <c r="B2053" s="1" t="s">
        <v>760</v>
      </c>
      <c r="C2053" s="1" t="s">
        <v>669</v>
      </c>
      <c r="D2053" s="1" t="s">
        <v>154</v>
      </c>
      <c r="E2053" s="1" t="s">
        <v>309</v>
      </c>
      <c r="F2053" s="1">
        <v>0.18</v>
      </c>
      <c r="G2053" s="1">
        <v>380</v>
      </c>
      <c r="H2053" s="3">
        <f t="shared" si="35"/>
        <v>68.4</v>
      </c>
      <c r="J2053" s="1">
        <v>10.12</v>
      </c>
    </row>
    <row r="2054" customHeight="1" spans="1:10">
      <c r="A2054" s="3">
        <v>2132</v>
      </c>
      <c r="B2054" s="1" t="s">
        <v>725</v>
      </c>
      <c r="C2054" s="1" t="s">
        <v>669</v>
      </c>
      <c r="D2054" s="1" t="s">
        <v>154</v>
      </c>
      <c r="E2054" s="1" t="s">
        <v>309</v>
      </c>
      <c r="F2054" s="1">
        <v>0.32</v>
      </c>
      <c r="G2054" s="1">
        <v>380</v>
      </c>
      <c r="H2054" s="3">
        <f t="shared" si="35"/>
        <v>121.6</v>
      </c>
      <c r="J2054" s="1">
        <v>10.12</v>
      </c>
    </row>
    <row r="2055" customHeight="1" spans="1:10">
      <c r="A2055" s="3">
        <v>2133</v>
      </c>
      <c r="B2055" s="1" t="s">
        <v>712</v>
      </c>
      <c r="C2055" s="1" t="s">
        <v>669</v>
      </c>
      <c r="D2055" s="1" t="s">
        <v>154</v>
      </c>
      <c r="E2055" s="1" t="s">
        <v>309</v>
      </c>
      <c r="F2055" s="1">
        <v>0.77</v>
      </c>
      <c r="G2055" s="1">
        <v>380</v>
      </c>
      <c r="H2055" s="3">
        <f t="shared" si="35"/>
        <v>292.6</v>
      </c>
      <c r="J2055" s="1">
        <v>10.12</v>
      </c>
    </row>
    <row r="2056" customHeight="1" spans="1:10">
      <c r="A2056" s="3">
        <v>2134</v>
      </c>
      <c r="B2056" s="1" t="s">
        <v>731</v>
      </c>
      <c r="C2056" s="1" t="s">
        <v>669</v>
      </c>
      <c r="D2056" s="1" t="s">
        <v>154</v>
      </c>
      <c r="E2056" s="1" t="s">
        <v>309</v>
      </c>
      <c r="F2056" s="1">
        <v>0.25</v>
      </c>
      <c r="G2056" s="1">
        <v>380</v>
      </c>
      <c r="H2056" s="3">
        <f t="shared" si="35"/>
        <v>95</v>
      </c>
      <c r="J2056" s="1">
        <v>10.12</v>
      </c>
    </row>
    <row r="2057" customHeight="1" spans="1:10">
      <c r="A2057" s="3">
        <v>2135</v>
      </c>
      <c r="B2057" s="1" t="s">
        <v>718</v>
      </c>
      <c r="C2057" s="1" t="s">
        <v>669</v>
      </c>
      <c r="D2057" s="1" t="s">
        <v>154</v>
      </c>
      <c r="E2057" s="1" t="s">
        <v>309</v>
      </c>
      <c r="F2057" s="1">
        <v>0.26</v>
      </c>
      <c r="G2057" s="1">
        <v>380</v>
      </c>
      <c r="H2057" s="3">
        <f t="shared" si="35"/>
        <v>98.8</v>
      </c>
      <c r="J2057" s="1">
        <v>10.12</v>
      </c>
    </row>
    <row r="2058" customHeight="1" spans="1:10">
      <c r="A2058" s="3">
        <v>2136</v>
      </c>
      <c r="B2058" s="1" t="s">
        <v>730</v>
      </c>
      <c r="C2058" s="1" t="s">
        <v>669</v>
      </c>
      <c r="D2058" s="1" t="s">
        <v>493</v>
      </c>
      <c r="E2058" s="1" t="s">
        <v>309</v>
      </c>
      <c r="F2058" s="1">
        <v>0.63</v>
      </c>
      <c r="G2058" s="1">
        <v>380</v>
      </c>
      <c r="H2058" s="3">
        <f t="shared" si="35"/>
        <v>239.4</v>
      </c>
      <c r="J2058" s="1">
        <v>10.12</v>
      </c>
    </row>
    <row r="2059" customHeight="1" spans="1:10">
      <c r="A2059" s="3">
        <v>2137</v>
      </c>
      <c r="B2059" s="1" t="s">
        <v>696</v>
      </c>
      <c r="C2059" s="1" t="s">
        <v>669</v>
      </c>
      <c r="D2059" s="1" t="s">
        <v>774</v>
      </c>
      <c r="E2059" s="1" t="s">
        <v>309</v>
      </c>
      <c r="F2059" s="1">
        <v>2.3</v>
      </c>
      <c r="G2059" s="1">
        <v>380</v>
      </c>
      <c r="H2059" s="3">
        <f t="shared" si="35"/>
        <v>874</v>
      </c>
      <c r="J2059" s="1">
        <v>10.12</v>
      </c>
    </row>
    <row r="2060" customHeight="1" spans="1:10">
      <c r="A2060" s="3">
        <v>2138</v>
      </c>
      <c r="B2060" s="1" t="s">
        <v>702</v>
      </c>
      <c r="C2060" s="1" t="s">
        <v>669</v>
      </c>
      <c r="D2060" s="1" t="s">
        <v>774</v>
      </c>
      <c r="E2060" s="1" t="s">
        <v>309</v>
      </c>
      <c r="F2060" s="1">
        <v>1.1</v>
      </c>
      <c r="G2060" s="1">
        <v>380</v>
      </c>
      <c r="H2060" s="3">
        <f t="shared" si="35"/>
        <v>418</v>
      </c>
      <c r="J2060" s="1">
        <v>10.12</v>
      </c>
    </row>
    <row r="2061" customHeight="1" spans="1:10">
      <c r="A2061" s="3">
        <v>2139</v>
      </c>
      <c r="B2061" s="1" t="s">
        <v>775</v>
      </c>
      <c r="C2061" s="1" t="s">
        <v>669</v>
      </c>
      <c r="D2061" s="1" t="s">
        <v>774</v>
      </c>
      <c r="E2061" s="1" t="s">
        <v>309</v>
      </c>
      <c r="F2061" s="1">
        <v>0.7</v>
      </c>
      <c r="G2061" s="1">
        <v>380</v>
      </c>
      <c r="H2061" s="3">
        <f t="shared" si="35"/>
        <v>266</v>
      </c>
      <c r="J2061" s="1">
        <v>10.12</v>
      </c>
    </row>
    <row r="2062" customHeight="1" spans="1:10">
      <c r="A2062" s="3">
        <v>2140</v>
      </c>
      <c r="B2062" s="1" t="s">
        <v>718</v>
      </c>
      <c r="C2062" s="1" t="s">
        <v>669</v>
      </c>
      <c r="D2062" s="1" t="s">
        <v>774</v>
      </c>
      <c r="E2062" s="1" t="s">
        <v>309</v>
      </c>
      <c r="F2062" s="1">
        <v>0.1</v>
      </c>
      <c r="G2062" s="1">
        <v>380</v>
      </c>
      <c r="H2062" s="3">
        <f t="shared" si="35"/>
        <v>38</v>
      </c>
      <c r="J2062" s="1">
        <v>10.12</v>
      </c>
    </row>
    <row r="2063" customHeight="1" spans="1:10">
      <c r="A2063" s="3">
        <v>2141</v>
      </c>
      <c r="B2063" s="1" t="s">
        <v>747</v>
      </c>
      <c r="C2063" s="1" t="s">
        <v>669</v>
      </c>
      <c r="D2063" s="1" t="s">
        <v>774</v>
      </c>
      <c r="E2063" s="1" t="s">
        <v>309</v>
      </c>
      <c r="F2063" s="1">
        <v>0.03</v>
      </c>
      <c r="G2063" s="1">
        <v>380</v>
      </c>
      <c r="H2063" s="3">
        <f t="shared" si="35"/>
        <v>11.4</v>
      </c>
      <c r="J2063" s="1">
        <v>10.12</v>
      </c>
    </row>
    <row r="2064" customHeight="1" spans="1:10">
      <c r="A2064" s="3">
        <v>2142</v>
      </c>
      <c r="B2064" s="1" t="s">
        <v>700</v>
      </c>
      <c r="C2064" s="1" t="s">
        <v>669</v>
      </c>
      <c r="D2064" s="1" t="s">
        <v>774</v>
      </c>
      <c r="E2064" s="1" t="s">
        <v>309</v>
      </c>
      <c r="F2064" s="1">
        <v>0.47</v>
      </c>
      <c r="G2064" s="1">
        <v>380</v>
      </c>
      <c r="H2064" s="3">
        <f t="shared" si="35"/>
        <v>178.6</v>
      </c>
      <c r="J2064" s="1">
        <v>10.12</v>
      </c>
    </row>
    <row r="2065" customHeight="1" spans="1:10">
      <c r="A2065" s="3">
        <v>2143</v>
      </c>
      <c r="B2065" s="1" t="s">
        <v>698</v>
      </c>
      <c r="C2065" s="1" t="s">
        <v>669</v>
      </c>
      <c r="D2065" s="1" t="s">
        <v>774</v>
      </c>
      <c r="E2065" s="1" t="s">
        <v>309</v>
      </c>
      <c r="F2065" s="1">
        <v>0.1</v>
      </c>
      <c r="G2065" s="1">
        <v>380</v>
      </c>
      <c r="H2065" s="3">
        <f t="shared" si="35"/>
        <v>38</v>
      </c>
      <c r="J2065" s="1">
        <v>10.12</v>
      </c>
    </row>
    <row r="2066" customHeight="1" spans="1:10">
      <c r="A2066" s="3">
        <v>2144</v>
      </c>
      <c r="B2066" s="1" t="s">
        <v>718</v>
      </c>
      <c r="C2066" s="1" t="s">
        <v>669</v>
      </c>
      <c r="D2066" s="1" t="s">
        <v>776</v>
      </c>
      <c r="E2066" s="1" t="s">
        <v>309</v>
      </c>
      <c r="F2066" s="1">
        <v>0.13</v>
      </c>
      <c r="G2066" s="1">
        <v>380</v>
      </c>
      <c r="H2066" s="3">
        <f t="shared" si="35"/>
        <v>49.4</v>
      </c>
      <c r="J2066" s="1">
        <v>10.12</v>
      </c>
    </row>
    <row r="2067" customHeight="1" spans="1:10">
      <c r="A2067" s="3">
        <v>2145</v>
      </c>
      <c r="B2067" s="1" t="s">
        <v>747</v>
      </c>
      <c r="C2067" s="1" t="s">
        <v>669</v>
      </c>
      <c r="D2067" s="1" t="s">
        <v>329</v>
      </c>
      <c r="E2067" s="1" t="s">
        <v>309</v>
      </c>
      <c r="F2067" s="1">
        <v>0.13</v>
      </c>
      <c r="G2067" s="1">
        <v>380</v>
      </c>
      <c r="H2067" s="3">
        <f t="shared" si="35"/>
        <v>49.4</v>
      </c>
      <c r="J2067" s="1">
        <v>10.12</v>
      </c>
    </row>
    <row r="2068" customHeight="1" spans="1:10">
      <c r="A2068" s="3">
        <v>2146</v>
      </c>
      <c r="B2068" s="1" t="s">
        <v>777</v>
      </c>
      <c r="C2068" s="1" t="s">
        <v>669</v>
      </c>
      <c r="D2068" s="1" t="s">
        <v>456</v>
      </c>
      <c r="E2068" s="1" t="s">
        <v>309</v>
      </c>
      <c r="F2068" s="1">
        <v>0.14</v>
      </c>
      <c r="G2068" s="1">
        <v>380</v>
      </c>
      <c r="H2068" s="3">
        <f t="shared" si="35"/>
        <v>53.2</v>
      </c>
      <c r="J2068" s="1">
        <v>10.12</v>
      </c>
    </row>
    <row r="2069" customHeight="1" spans="1:10">
      <c r="A2069" s="3">
        <v>2147</v>
      </c>
      <c r="B2069" s="1" t="s">
        <v>757</v>
      </c>
      <c r="C2069" s="1" t="s">
        <v>669</v>
      </c>
      <c r="D2069" s="1" t="s">
        <v>778</v>
      </c>
      <c r="E2069" s="1" t="s">
        <v>309</v>
      </c>
      <c r="F2069" s="1">
        <v>1</v>
      </c>
      <c r="G2069" s="1">
        <v>380</v>
      </c>
      <c r="H2069" s="3">
        <f t="shared" si="35"/>
        <v>380</v>
      </c>
      <c r="J2069" s="1">
        <v>10.12</v>
      </c>
    </row>
    <row r="2070" customHeight="1" spans="1:10">
      <c r="A2070" s="3">
        <v>2148</v>
      </c>
      <c r="B2070" s="1" t="s">
        <v>736</v>
      </c>
      <c r="C2070" s="1" t="s">
        <v>669</v>
      </c>
      <c r="D2070" s="1" t="s">
        <v>456</v>
      </c>
      <c r="E2070" s="1" t="s">
        <v>309</v>
      </c>
      <c r="F2070" s="1">
        <v>0.3</v>
      </c>
      <c r="G2070" s="1">
        <v>380</v>
      </c>
      <c r="H2070" s="3">
        <f t="shared" si="35"/>
        <v>114</v>
      </c>
      <c r="J2070" s="1">
        <v>10.12</v>
      </c>
    </row>
    <row r="2071" customHeight="1" spans="1:10">
      <c r="A2071" s="3">
        <v>2149</v>
      </c>
      <c r="B2071" s="1" t="s">
        <v>724</v>
      </c>
      <c r="C2071" s="1" t="s">
        <v>669</v>
      </c>
      <c r="D2071" s="1" t="s">
        <v>456</v>
      </c>
      <c r="E2071" s="1" t="s">
        <v>309</v>
      </c>
      <c r="F2071" s="1">
        <v>1.3</v>
      </c>
      <c r="G2071" s="1">
        <v>380</v>
      </c>
      <c r="H2071" s="3">
        <f t="shared" si="35"/>
        <v>494</v>
      </c>
      <c r="J2071" s="1">
        <v>10.12</v>
      </c>
    </row>
    <row r="2072" customHeight="1" spans="1:10">
      <c r="A2072" s="3">
        <v>2150</v>
      </c>
      <c r="B2072" s="1" t="s">
        <v>696</v>
      </c>
      <c r="C2072" s="1" t="s">
        <v>669</v>
      </c>
      <c r="D2072" s="1" t="s">
        <v>779</v>
      </c>
      <c r="E2072" s="1" t="s">
        <v>309</v>
      </c>
      <c r="F2072" s="1">
        <v>0.51</v>
      </c>
      <c r="G2072" s="1">
        <v>380</v>
      </c>
      <c r="H2072" s="3">
        <f t="shared" si="35"/>
        <v>193.8</v>
      </c>
      <c r="J2072" s="1">
        <v>10.12</v>
      </c>
    </row>
    <row r="2073" customHeight="1" spans="1:10">
      <c r="A2073" s="3">
        <v>2151</v>
      </c>
      <c r="B2073" s="1" t="s">
        <v>736</v>
      </c>
      <c r="C2073" s="1" t="s">
        <v>669</v>
      </c>
      <c r="D2073" s="1" t="s">
        <v>772</v>
      </c>
      <c r="E2073" s="1" t="s">
        <v>309</v>
      </c>
      <c r="F2073" s="1">
        <v>1</v>
      </c>
      <c r="G2073" s="1">
        <v>380</v>
      </c>
      <c r="H2073" s="3">
        <f t="shared" si="35"/>
        <v>380</v>
      </c>
      <c r="J2073" s="1">
        <v>10.12</v>
      </c>
    </row>
    <row r="2074" customHeight="1" spans="1:10">
      <c r="A2074" s="3">
        <v>2152</v>
      </c>
      <c r="B2074" s="1" t="s">
        <v>719</v>
      </c>
      <c r="C2074" s="1" t="s">
        <v>669</v>
      </c>
      <c r="D2074" s="1" t="s">
        <v>772</v>
      </c>
      <c r="E2074" s="1" t="s">
        <v>309</v>
      </c>
      <c r="F2074" s="1">
        <v>0.7</v>
      </c>
      <c r="G2074" s="1">
        <v>380</v>
      </c>
      <c r="H2074" s="3">
        <f t="shared" si="35"/>
        <v>266</v>
      </c>
      <c r="J2074" s="1">
        <v>10.12</v>
      </c>
    </row>
    <row r="2075" customHeight="1" spans="1:10">
      <c r="A2075" s="3">
        <v>2153</v>
      </c>
      <c r="B2075" s="1" t="s">
        <v>696</v>
      </c>
      <c r="C2075" s="1" t="s">
        <v>669</v>
      </c>
      <c r="D2075" s="1" t="s">
        <v>780</v>
      </c>
      <c r="E2075" s="1" t="s">
        <v>309</v>
      </c>
      <c r="F2075" s="1">
        <v>1.2</v>
      </c>
      <c r="G2075" s="1">
        <v>380</v>
      </c>
      <c r="H2075" s="3">
        <f t="shared" si="35"/>
        <v>456</v>
      </c>
      <c r="J2075" s="1">
        <v>10.12</v>
      </c>
    </row>
    <row r="2076" customHeight="1" spans="1:10">
      <c r="A2076" s="3">
        <v>2154</v>
      </c>
      <c r="B2076" s="1" t="s">
        <v>705</v>
      </c>
      <c r="C2076" s="1" t="s">
        <v>669</v>
      </c>
      <c r="D2076" s="1" t="s">
        <v>780</v>
      </c>
      <c r="E2076" s="1" t="s">
        <v>309</v>
      </c>
      <c r="F2076" s="1">
        <v>0.8</v>
      </c>
      <c r="G2076" s="1">
        <v>380</v>
      </c>
      <c r="H2076" s="3">
        <f t="shared" ref="H2076:H2130" si="36">G2076*F2076</f>
        <v>304</v>
      </c>
      <c r="J2076" s="1">
        <v>10.12</v>
      </c>
    </row>
    <row r="2077" customHeight="1" spans="1:10">
      <c r="A2077" s="3">
        <v>2155</v>
      </c>
      <c r="B2077" s="1" t="s">
        <v>727</v>
      </c>
      <c r="C2077" s="1" t="s">
        <v>669</v>
      </c>
      <c r="D2077" s="1" t="s">
        <v>780</v>
      </c>
      <c r="E2077" s="1" t="s">
        <v>309</v>
      </c>
      <c r="F2077" s="1">
        <v>0.3</v>
      </c>
      <c r="G2077" s="1">
        <v>380</v>
      </c>
      <c r="H2077" s="3">
        <f t="shared" si="36"/>
        <v>114</v>
      </c>
      <c r="J2077" s="1">
        <v>10.12</v>
      </c>
    </row>
    <row r="2078" customHeight="1" spans="1:10">
      <c r="A2078" s="3">
        <v>2156</v>
      </c>
      <c r="B2078" s="1" t="s">
        <v>746</v>
      </c>
      <c r="C2078" s="1" t="s">
        <v>669</v>
      </c>
      <c r="D2078" s="1" t="s">
        <v>780</v>
      </c>
      <c r="E2078" s="1" t="s">
        <v>309</v>
      </c>
      <c r="F2078" s="1">
        <v>1.1</v>
      </c>
      <c r="G2078" s="1">
        <v>380</v>
      </c>
      <c r="H2078" s="3">
        <f t="shared" si="36"/>
        <v>418</v>
      </c>
      <c r="J2078" s="1">
        <v>10.12</v>
      </c>
    </row>
    <row r="2079" customHeight="1" spans="1:10">
      <c r="A2079" s="3">
        <v>2157</v>
      </c>
      <c r="B2079" s="1" t="s">
        <v>703</v>
      </c>
      <c r="C2079" s="1" t="s">
        <v>669</v>
      </c>
      <c r="D2079" s="1" t="s">
        <v>780</v>
      </c>
      <c r="E2079" s="1" t="s">
        <v>309</v>
      </c>
      <c r="F2079" s="1">
        <v>0.3</v>
      </c>
      <c r="G2079" s="1">
        <v>380</v>
      </c>
      <c r="H2079" s="3">
        <f t="shared" si="36"/>
        <v>114</v>
      </c>
      <c r="J2079" s="1">
        <v>10.12</v>
      </c>
    </row>
    <row r="2080" customHeight="1" spans="1:10">
      <c r="A2080" s="3">
        <v>2158</v>
      </c>
      <c r="B2080" s="1" t="s">
        <v>712</v>
      </c>
      <c r="C2080" s="1" t="s">
        <v>669</v>
      </c>
      <c r="D2080" s="1" t="s">
        <v>780</v>
      </c>
      <c r="E2080" s="1" t="s">
        <v>309</v>
      </c>
      <c r="F2080" s="1">
        <v>0.6</v>
      </c>
      <c r="G2080" s="1">
        <v>380</v>
      </c>
      <c r="H2080" s="3">
        <f t="shared" si="36"/>
        <v>228</v>
      </c>
      <c r="J2080" s="1">
        <v>10.12</v>
      </c>
    </row>
    <row r="2081" customHeight="1" spans="1:10">
      <c r="A2081" s="3">
        <v>2159</v>
      </c>
      <c r="B2081" s="1" t="s">
        <v>705</v>
      </c>
      <c r="C2081" s="1" t="s">
        <v>669</v>
      </c>
      <c r="D2081" s="1" t="s">
        <v>312</v>
      </c>
      <c r="E2081" s="1" t="s">
        <v>309</v>
      </c>
      <c r="F2081" s="1">
        <v>1.2</v>
      </c>
      <c r="G2081" s="1">
        <v>380</v>
      </c>
      <c r="H2081" s="3">
        <f t="shared" si="36"/>
        <v>456</v>
      </c>
      <c r="J2081" s="1">
        <v>10.12</v>
      </c>
    </row>
    <row r="2082" customHeight="1" spans="1:10">
      <c r="A2082" s="3">
        <v>2160</v>
      </c>
      <c r="B2082" s="1" t="s">
        <v>712</v>
      </c>
      <c r="C2082" s="1" t="s">
        <v>669</v>
      </c>
      <c r="D2082" s="1" t="s">
        <v>778</v>
      </c>
      <c r="E2082" s="1" t="s">
        <v>309</v>
      </c>
      <c r="F2082" s="1">
        <v>0.7</v>
      </c>
      <c r="G2082" s="1">
        <v>380</v>
      </c>
      <c r="H2082" s="3">
        <f t="shared" si="36"/>
        <v>266</v>
      </c>
      <c r="J2082" s="1">
        <v>10.12</v>
      </c>
    </row>
    <row r="2083" customHeight="1" spans="1:10">
      <c r="A2083" s="3">
        <v>2161</v>
      </c>
      <c r="B2083" s="1" t="s">
        <v>703</v>
      </c>
      <c r="C2083" s="1" t="s">
        <v>669</v>
      </c>
      <c r="D2083" s="1" t="s">
        <v>778</v>
      </c>
      <c r="E2083" s="1" t="s">
        <v>309</v>
      </c>
      <c r="F2083" s="1">
        <v>0.53</v>
      </c>
      <c r="G2083" s="1">
        <v>380</v>
      </c>
      <c r="H2083" s="3">
        <f t="shared" si="36"/>
        <v>201.4</v>
      </c>
      <c r="J2083" s="1">
        <v>10.12</v>
      </c>
    </row>
    <row r="2084" customHeight="1" spans="1:10">
      <c r="A2084" s="3">
        <v>2162</v>
      </c>
      <c r="B2084" s="1" t="s">
        <v>766</v>
      </c>
      <c r="C2084" s="1" t="s">
        <v>669</v>
      </c>
      <c r="D2084" s="1" t="s">
        <v>778</v>
      </c>
      <c r="E2084" s="1" t="s">
        <v>309</v>
      </c>
      <c r="F2084" s="1">
        <v>0.4</v>
      </c>
      <c r="G2084" s="1">
        <v>380</v>
      </c>
      <c r="H2084" s="3">
        <f t="shared" si="36"/>
        <v>152</v>
      </c>
      <c r="J2084" s="1">
        <v>10.12</v>
      </c>
    </row>
    <row r="2085" customHeight="1" spans="1:10">
      <c r="A2085" s="3">
        <v>2163</v>
      </c>
      <c r="B2085" s="1" t="s">
        <v>748</v>
      </c>
      <c r="C2085" s="1" t="s">
        <v>669</v>
      </c>
      <c r="D2085" s="1" t="s">
        <v>781</v>
      </c>
      <c r="E2085" s="1" t="s">
        <v>309</v>
      </c>
      <c r="F2085" s="1">
        <v>0.9</v>
      </c>
      <c r="G2085" s="1">
        <v>380</v>
      </c>
      <c r="H2085" s="3">
        <f t="shared" si="36"/>
        <v>342</v>
      </c>
      <c r="J2085" s="1">
        <v>10.12</v>
      </c>
    </row>
    <row r="2086" customHeight="1" spans="1:10">
      <c r="A2086" s="3">
        <v>2164</v>
      </c>
      <c r="B2086" s="1" t="s">
        <v>731</v>
      </c>
      <c r="C2086" s="1" t="s">
        <v>669</v>
      </c>
      <c r="D2086" s="1" t="s">
        <v>781</v>
      </c>
      <c r="E2086" s="1" t="s">
        <v>309</v>
      </c>
      <c r="F2086" s="1">
        <v>0.6</v>
      </c>
      <c r="G2086" s="1">
        <v>380</v>
      </c>
      <c r="H2086" s="3">
        <f t="shared" si="36"/>
        <v>228</v>
      </c>
      <c r="J2086" s="1">
        <v>10.12</v>
      </c>
    </row>
    <row r="2087" customHeight="1" spans="1:10">
      <c r="A2087" s="3">
        <v>2165</v>
      </c>
      <c r="B2087" s="1" t="s">
        <v>727</v>
      </c>
      <c r="C2087" s="1" t="s">
        <v>669</v>
      </c>
      <c r="D2087" s="1" t="s">
        <v>782</v>
      </c>
      <c r="E2087" s="1" t="s">
        <v>309</v>
      </c>
      <c r="F2087" s="1">
        <v>0.2</v>
      </c>
      <c r="G2087" s="1">
        <v>380</v>
      </c>
      <c r="H2087" s="3">
        <f t="shared" si="36"/>
        <v>76</v>
      </c>
      <c r="J2087" s="1">
        <v>10.12</v>
      </c>
    </row>
    <row r="2088" customHeight="1" spans="1:10">
      <c r="A2088" s="3">
        <v>2166</v>
      </c>
      <c r="B2088" s="1" t="s">
        <v>783</v>
      </c>
      <c r="C2088" s="1" t="s">
        <v>669</v>
      </c>
      <c r="D2088" s="1" t="s">
        <v>782</v>
      </c>
      <c r="E2088" s="1" t="s">
        <v>309</v>
      </c>
      <c r="F2088" s="1">
        <v>0.66</v>
      </c>
      <c r="G2088" s="1">
        <v>380</v>
      </c>
      <c r="H2088" s="3">
        <f t="shared" si="36"/>
        <v>250.8</v>
      </c>
      <c r="J2088" s="1">
        <v>10.12</v>
      </c>
    </row>
    <row r="2089" customHeight="1" spans="1:10">
      <c r="A2089" s="3">
        <v>2167</v>
      </c>
      <c r="B2089" s="1" t="s">
        <v>724</v>
      </c>
      <c r="C2089" s="1" t="s">
        <v>669</v>
      </c>
      <c r="D2089" s="1" t="s">
        <v>782</v>
      </c>
      <c r="E2089" s="1" t="s">
        <v>309</v>
      </c>
      <c r="F2089" s="1">
        <v>0.8</v>
      </c>
      <c r="G2089" s="1">
        <v>380</v>
      </c>
      <c r="H2089" s="3">
        <f t="shared" si="36"/>
        <v>304</v>
      </c>
      <c r="J2089" s="1">
        <v>10.12</v>
      </c>
    </row>
    <row r="2090" customHeight="1" spans="1:10">
      <c r="A2090" s="3">
        <v>2168</v>
      </c>
      <c r="B2090" s="1" t="s">
        <v>703</v>
      </c>
      <c r="C2090" s="1" t="s">
        <v>669</v>
      </c>
      <c r="D2090" s="1" t="s">
        <v>784</v>
      </c>
      <c r="E2090" s="1" t="s">
        <v>309</v>
      </c>
      <c r="F2090" s="1">
        <v>1.59</v>
      </c>
      <c r="G2090" s="1">
        <v>380</v>
      </c>
      <c r="H2090" s="3">
        <f t="shared" si="36"/>
        <v>604.2</v>
      </c>
      <c r="J2090" s="1">
        <v>10.12</v>
      </c>
    </row>
    <row r="2091" customHeight="1" spans="1:10">
      <c r="A2091" s="3">
        <v>2169</v>
      </c>
      <c r="B2091" s="1" t="s">
        <v>785</v>
      </c>
      <c r="C2091" s="1" t="s">
        <v>669</v>
      </c>
      <c r="D2091" s="1" t="s">
        <v>493</v>
      </c>
      <c r="E2091" s="1" t="s">
        <v>309</v>
      </c>
      <c r="F2091" s="1">
        <v>0.58</v>
      </c>
      <c r="G2091" s="1">
        <v>380</v>
      </c>
      <c r="H2091" s="3">
        <f t="shared" si="36"/>
        <v>220.4</v>
      </c>
      <c r="J2091" s="1">
        <v>10.12</v>
      </c>
    </row>
    <row r="2092" customHeight="1" spans="1:10">
      <c r="A2092" s="3">
        <v>2170</v>
      </c>
      <c r="B2092" s="1" t="s">
        <v>728</v>
      </c>
      <c r="C2092" s="1" t="s">
        <v>669</v>
      </c>
      <c r="D2092" s="1" t="s">
        <v>784</v>
      </c>
      <c r="E2092" s="1" t="s">
        <v>309</v>
      </c>
      <c r="F2092" s="1">
        <v>2.3</v>
      </c>
      <c r="G2092" s="1">
        <v>380</v>
      </c>
      <c r="H2092" s="3">
        <f t="shared" si="36"/>
        <v>874</v>
      </c>
      <c r="J2092" s="1">
        <v>10.12</v>
      </c>
    </row>
    <row r="2093" customHeight="1" spans="1:10">
      <c r="A2093" s="3">
        <v>2171</v>
      </c>
      <c r="B2093" s="1" t="s">
        <v>785</v>
      </c>
      <c r="C2093" s="1" t="s">
        <v>669</v>
      </c>
      <c r="D2093" s="1" t="s">
        <v>493</v>
      </c>
      <c r="E2093" s="1" t="s">
        <v>309</v>
      </c>
      <c r="F2093" s="1">
        <v>0.45</v>
      </c>
      <c r="G2093" s="1">
        <v>380</v>
      </c>
      <c r="H2093" s="3">
        <f t="shared" si="36"/>
        <v>171</v>
      </c>
      <c r="J2093" s="1">
        <v>10.12</v>
      </c>
    </row>
    <row r="2094" customHeight="1" spans="1:10">
      <c r="A2094" s="3">
        <v>2172</v>
      </c>
      <c r="B2094" s="1" t="s">
        <v>702</v>
      </c>
      <c r="C2094" s="1" t="s">
        <v>669</v>
      </c>
      <c r="D2094" s="1" t="s">
        <v>493</v>
      </c>
      <c r="E2094" s="1" t="s">
        <v>309</v>
      </c>
      <c r="F2094" s="1">
        <v>0.78</v>
      </c>
      <c r="G2094" s="1">
        <v>380</v>
      </c>
      <c r="H2094" s="3">
        <f t="shared" si="36"/>
        <v>296.4</v>
      </c>
      <c r="J2094" s="1">
        <v>10.12</v>
      </c>
    </row>
    <row r="2095" customHeight="1" spans="1:10">
      <c r="A2095" s="3">
        <v>2173</v>
      </c>
      <c r="B2095" s="1" t="s">
        <v>747</v>
      </c>
      <c r="C2095" s="1" t="s">
        <v>669</v>
      </c>
      <c r="D2095" s="1" t="s">
        <v>493</v>
      </c>
      <c r="E2095" s="1" t="s">
        <v>309</v>
      </c>
      <c r="F2095" s="1">
        <v>0.95</v>
      </c>
      <c r="G2095" s="1">
        <v>380</v>
      </c>
      <c r="H2095" s="3">
        <f t="shared" si="36"/>
        <v>361</v>
      </c>
      <c r="J2095" s="1">
        <v>10.12</v>
      </c>
    </row>
    <row r="2096" customHeight="1" spans="1:10">
      <c r="A2096" s="3">
        <v>2174</v>
      </c>
      <c r="B2096" s="1" t="s">
        <v>702</v>
      </c>
      <c r="C2096" s="1" t="s">
        <v>669</v>
      </c>
      <c r="D2096" s="1" t="s">
        <v>784</v>
      </c>
      <c r="E2096" s="1" t="s">
        <v>309</v>
      </c>
      <c r="F2096" s="1">
        <v>1.85</v>
      </c>
      <c r="G2096" s="1">
        <v>380</v>
      </c>
      <c r="H2096" s="3">
        <f t="shared" si="36"/>
        <v>703</v>
      </c>
      <c r="J2096" s="1">
        <v>10.12</v>
      </c>
    </row>
    <row r="2097" customHeight="1" spans="1:10">
      <c r="A2097" s="3">
        <v>2175</v>
      </c>
      <c r="B2097" s="1" t="s">
        <v>703</v>
      </c>
      <c r="C2097" s="1" t="s">
        <v>669</v>
      </c>
      <c r="D2097" s="1" t="s">
        <v>784</v>
      </c>
      <c r="E2097" s="1" t="s">
        <v>309</v>
      </c>
      <c r="F2097" s="1">
        <v>0.3</v>
      </c>
      <c r="G2097" s="1">
        <v>380</v>
      </c>
      <c r="H2097" s="3">
        <f t="shared" si="36"/>
        <v>114</v>
      </c>
      <c r="J2097" s="1">
        <v>10.12</v>
      </c>
    </row>
    <row r="2098" customHeight="1" spans="1:10">
      <c r="A2098" s="3">
        <v>2176</v>
      </c>
      <c r="B2098" s="1" t="s">
        <v>724</v>
      </c>
      <c r="C2098" s="1" t="s">
        <v>669</v>
      </c>
      <c r="D2098" s="1" t="s">
        <v>784</v>
      </c>
      <c r="E2098" s="1" t="s">
        <v>309</v>
      </c>
      <c r="F2098" s="1">
        <v>0.39</v>
      </c>
      <c r="G2098" s="1">
        <v>380</v>
      </c>
      <c r="H2098" s="3">
        <f t="shared" si="36"/>
        <v>148.2</v>
      </c>
      <c r="J2098" s="1">
        <v>10.12</v>
      </c>
    </row>
    <row r="2099" customHeight="1" spans="1:10">
      <c r="A2099" s="3">
        <v>2177</v>
      </c>
      <c r="B2099" s="1" t="s">
        <v>748</v>
      </c>
      <c r="C2099" s="1" t="s">
        <v>669</v>
      </c>
      <c r="D2099" s="1" t="s">
        <v>782</v>
      </c>
      <c r="E2099" s="1" t="s">
        <v>309</v>
      </c>
      <c r="F2099" s="1">
        <v>0.2</v>
      </c>
      <c r="G2099" s="1">
        <v>380</v>
      </c>
      <c r="H2099" s="3">
        <f t="shared" si="36"/>
        <v>76</v>
      </c>
      <c r="J2099" s="1">
        <v>10.12</v>
      </c>
    </row>
    <row r="2100" customHeight="1" spans="1:10">
      <c r="A2100" s="3">
        <v>2178</v>
      </c>
      <c r="B2100" s="1" t="s">
        <v>715</v>
      </c>
      <c r="C2100" s="1" t="s">
        <v>669</v>
      </c>
      <c r="D2100" s="1" t="s">
        <v>786</v>
      </c>
      <c r="E2100" s="1" t="s">
        <v>309</v>
      </c>
      <c r="F2100" s="1">
        <v>0.2</v>
      </c>
      <c r="G2100" s="1">
        <v>380</v>
      </c>
      <c r="H2100" s="3">
        <f t="shared" si="36"/>
        <v>76</v>
      </c>
      <c r="J2100" s="1">
        <v>10.12</v>
      </c>
    </row>
    <row r="2101" customHeight="1" spans="1:10">
      <c r="A2101" s="3">
        <v>2179</v>
      </c>
      <c r="B2101" s="1" t="s">
        <v>748</v>
      </c>
      <c r="C2101" s="1" t="s">
        <v>669</v>
      </c>
      <c r="D2101" s="1" t="s">
        <v>786</v>
      </c>
      <c r="E2101" s="1" t="s">
        <v>309</v>
      </c>
      <c r="F2101" s="1">
        <v>0.2</v>
      </c>
      <c r="G2101" s="1">
        <v>380</v>
      </c>
      <c r="H2101" s="3">
        <f t="shared" si="36"/>
        <v>76</v>
      </c>
      <c r="J2101" s="1">
        <v>10.12</v>
      </c>
    </row>
    <row r="2102" customHeight="1" spans="1:10">
      <c r="A2102" s="3">
        <v>2180</v>
      </c>
      <c r="B2102" s="1" t="s">
        <v>747</v>
      </c>
      <c r="C2102" s="1" t="s">
        <v>669</v>
      </c>
      <c r="D2102" s="1" t="s">
        <v>786</v>
      </c>
      <c r="E2102" s="1" t="s">
        <v>309</v>
      </c>
      <c r="F2102" s="1">
        <v>0.2</v>
      </c>
      <c r="G2102" s="1">
        <v>380</v>
      </c>
      <c r="H2102" s="3">
        <f t="shared" si="36"/>
        <v>76</v>
      </c>
      <c r="J2102" s="1">
        <v>10.12</v>
      </c>
    </row>
    <row r="2103" customHeight="1" spans="1:10">
      <c r="A2103" s="3">
        <v>2181</v>
      </c>
      <c r="B2103" s="1" t="s">
        <v>746</v>
      </c>
      <c r="C2103" s="1" t="s">
        <v>669</v>
      </c>
      <c r="D2103" s="1" t="s">
        <v>786</v>
      </c>
      <c r="E2103" s="1" t="s">
        <v>309</v>
      </c>
      <c r="F2103" s="1">
        <v>0.2</v>
      </c>
      <c r="G2103" s="1">
        <v>380</v>
      </c>
      <c r="H2103" s="3">
        <f t="shared" si="36"/>
        <v>76</v>
      </c>
      <c r="J2103" s="1">
        <v>10.12</v>
      </c>
    </row>
    <row r="2104" customHeight="1" spans="1:10">
      <c r="A2104" s="3">
        <v>2182</v>
      </c>
      <c r="B2104" s="1" t="s">
        <v>696</v>
      </c>
      <c r="C2104" s="1" t="s">
        <v>669</v>
      </c>
      <c r="D2104" s="1" t="s">
        <v>786</v>
      </c>
      <c r="E2104" s="1" t="s">
        <v>309</v>
      </c>
      <c r="F2104" s="1">
        <v>0.3</v>
      </c>
      <c r="G2104" s="1">
        <v>380</v>
      </c>
      <c r="H2104" s="3">
        <f t="shared" si="36"/>
        <v>114</v>
      </c>
      <c r="J2104" s="1">
        <v>10.12</v>
      </c>
    </row>
    <row r="2105" customHeight="1" spans="1:10">
      <c r="A2105" s="3">
        <v>2183</v>
      </c>
      <c r="B2105" s="1" t="s">
        <v>724</v>
      </c>
      <c r="C2105" s="1" t="s">
        <v>669</v>
      </c>
      <c r="D2105" s="1" t="s">
        <v>786</v>
      </c>
      <c r="E2105" s="1" t="s">
        <v>309</v>
      </c>
      <c r="F2105" s="1">
        <v>0.3</v>
      </c>
      <c r="G2105" s="1">
        <v>380</v>
      </c>
      <c r="H2105" s="3">
        <f t="shared" si="36"/>
        <v>114</v>
      </c>
      <c r="J2105" s="1">
        <v>10.12</v>
      </c>
    </row>
    <row r="2106" customHeight="1" spans="1:10">
      <c r="A2106" s="3">
        <v>2184</v>
      </c>
      <c r="B2106" s="1" t="s">
        <v>716</v>
      </c>
      <c r="C2106" s="1" t="s">
        <v>669</v>
      </c>
      <c r="D2106" s="1" t="s">
        <v>786</v>
      </c>
      <c r="E2106" s="1" t="s">
        <v>309</v>
      </c>
      <c r="F2106" s="1">
        <v>0.35</v>
      </c>
      <c r="G2106" s="1">
        <v>380</v>
      </c>
      <c r="H2106" s="3">
        <f t="shared" si="36"/>
        <v>133</v>
      </c>
      <c r="J2106" s="1">
        <v>10.12</v>
      </c>
    </row>
    <row r="2107" customHeight="1" spans="1:10">
      <c r="A2107" s="3">
        <v>2185</v>
      </c>
      <c r="B2107" s="1" t="s">
        <v>728</v>
      </c>
      <c r="C2107" s="1" t="s">
        <v>669</v>
      </c>
      <c r="D2107" s="1" t="s">
        <v>786</v>
      </c>
      <c r="E2107" s="1" t="s">
        <v>309</v>
      </c>
      <c r="F2107" s="1">
        <v>0.1</v>
      </c>
      <c r="G2107" s="1">
        <v>380</v>
      </c>
      <c r="H2107" s="3">
        <f t="shared" si="36"/>
        <v>38</v>
      </c>
      <c r="J2107" s="1">
        <v>10.12</v>
      </c>
    </row>
    <row r="2108" customHeight="1" spans="1:10">
      <c r="A2108" s="3">
        <v>2186</v>
      </c>
      <c r="B2108" s="1" t="s">
        <v>716</v>
      </c>
      <c r="C2108" s="1" t="s">
        <v>669</v>
      </c>
      <c r="D2108" s="1" t="s">
        <v>786</v>
      </c>
      <c r="E2108" s="1" t="s">
        <v>309</v>
      </c>
      <c r="F2108" s="1">
        <v>0.96</v>
      </c>
      <c r="G2108" s="1">
        <v>380</v>
      </c>
      <c r="H2108" s="3">
        <f t="shared" si="36"/>
        <v>364.8</v>
      </c>
      <c r="J2108" s="1">
        <v>10.12</v>
      </c>
    </row>
    <row r="2109" customHeight="1" spans="1:10">
      <c r="A2109" s="3">
        <v>2187</v>
      </c>
      <c r="B2109" s="1" t="s">
        <v>724</v>
      </c>
      <c r="C2109" s="1" t="s">
        <v>669</v>
      </c>
      <c r="D2109" s="1" t="s">
        <v>787</v>
      </c>
      <c r="E2109" s="1" t="s">
        <v>309</v>
      </c>
      <c r="F2109" s="1">
        <v>0.2</v>
      </c>
      <c r="G2109" s="1">
        <v>380</v>
      </c>
      <c r="H2109" s="3">
        <f t="shared" si="36"/>
        <v>76</v>
      </c>
      <c r="J2109" s="1">
        <v>10.12</v>
      </c>
    </row>
    <row r="2110" customHeight="1" spans="1:10">
      <c r="A2110" s="3">
        <v>2188</v>
      </c>
      <c r="B2110" s="1" t="s">
        <v>728</v>
      </c>
      <c r="C2110" s="1" t="s">
        <v>669</v>
      </c>
      <c r="D2110" s="1" t="s">
        <v>787</v>
      </c>
      <c r="E2110" s="1" t="s">
        <v>309</v>
      </c>
      <c r="F2110" s="1">
        <v>0.55</v>
      </c>
      <c r="G2110" s="1">
        <v>380</v>
      </c>
      <c r="H2110" s="3">
        <f t="shared" si="36"/>
        <v>209</v>
      </c>
      <c r="J2110" s="1">
        <v>10.12</v>
      </c>
    </row>
    <row r="2111" customHeight="1" spans="1:10">
      <c r="A2111" s="3">
        <v>2189</v>
      </c>
      <c r="B2111" s="1" t="s">
        <v>732</v>
      </c>
      <c r="C2111" s="1" t="s">
        <v>669</v>
      </c>
      <c r="D2111" s="1" t="s">
        <v>527</v>
      </c>
      <c r="E2111" s="1" t="s">
        <v>309</v>
      </c>
      <c r="F2111" s="1">
        <v>0.55</v>
      </c>
      <c r="G2111" s="1">
        <v>380</v>
      </c>
      <c r="H2111" s="3">
        <f t="shared" si="36"/>
        <v>209</v>
      </c>
      <c r="J2111" s="1">
        <v>10.12</v>
      </c>
    </row>
    <row r="2112" customHeight="1" spans="1:10">
      <c r="A2112" s="3">
        <v>2190</v>
      </c>
      <c r="B2112" s="1" t="s">
        <v>730</v>
      </c>
      <c r="C2112" s="1" t="s">
        <v>669</v>
      </c>
      <c r="D2112" s="1" t="s">
        <v>158</v>
      </c>
      <c r="E2112" s="1" t="s">
        <v>309</v>
      </c>
      <c r="F2112" s="1">
        <v>0.35</v>
      </c>
      <c r="G2112" s="1">
        <v>380</v>
      </c>
      <c r="H2112" s="3">
        <f t="shared" si="36"/>
        <v>133</v>
      </c>
      <c r="J2112" s="1">
        <v>10.12</v>
      </c>
    </row>
    <row r="2113" customHeight="1" spans="1:10">
      <c r="A2113" s="3">
        <v>2191</v>
      </c>
      <c r="B2113" s="1" t="s">
        <v>725</v>
      </c>
      <c r="C2113" s="1" t="s">
        <v>669</v>
      </c>
      <c r="D2113" s="1" t="s">
        <v>158</v>
      </c>
      <c r="E2113" s="1" t="s">
        <v>309</v>
      </c>
      <c r="F2113" s="1">
        <v>0.9</v>
      </c>
      <c r="G2113" s="1">
        <v>380</v>
      </c>
      <c r="H2113" s="3">
        <f t="shared" si="36"/>
        <v>342</v>
      </c>
      <c r="J2113" s="1">
        <v>10.12</v>
      </c>
    </row>
    <row r="2114" customHeight="1" spans="1:10">
      <c r="A2114" s="3">
        <v>2192</v>
      </c>
      <c r="B2114" s="1" t="s">
        <v>747</v>
      </c>
      <c r="C2114" s="1" t="s">
        <v>669</v>
      </c>
      <c r="D2114" s="1" t="s">
        <v>158</v>
      </c>
      <c r="E2114" s="1" t="s">
        <v>309</v>
      </c>
      <c r="F2114" s="1">
        <v>0.65</v>
      </c>
      <c r="G2114" s="1">
        <v>380</v>
      </c>
      <c r="H2114" s="3">
        <f t="shared" si="36"/>
        <v>247</v>
      </c>
      <c r="J2114" s="1">
        <v>10.12</v>
      </c>
    </row>
    <row r="2115" customHeight="1" spans="1:10">
      <c r="A2115" s="3">
        <v>2193</v>
      </c>
      <c r="B2115" s="1" t="s">
        <v>698</v>
      </c>
      <c r="C2115" s="1" t="s">
        <v>669</v>
      </c>
      <c r="D2115" s="1" t="s">
        <v>158</v>
      </c>
      <c r="E2115" s="1" t="s">
        <v>309</v>
      </c>
      <c r="F2115" s="1">
        <v>0.46</v>
      </c>
      <c r="G2115" s="1">
        <v>380</v>
      </c>
      <c r="H2115" s="3">
        <f t="shared" si="36"/>
        <v>174.8</v>
      </c>
      <c r="J2115" s="1">
        <v>10.12</v>
      </c>
    </row>
    <row r="2116" customHeight="1" spans="1:10">
      <c r="A2116" s="3">
        <v>2194</v>
      </c>
      <c r="B2116" s="1" t="s">
        <v>730</v>
      </c>
      <c r="C2116" s="1" t="s">
        <v>669</v>
      </c>
      <c r="D2116" s="1" t="s">
        <v>421</v>
      </c>
      <c r="E2116" s="1" t="s">
        <v>309</v>
      </c>
      <c r="F2116" s="1">
        <v>0.35</v>
      </c>
      <c r="G2116" s="1">
        <v>380</v>
      </c>
      <c r="H2116" s="3">
        <f t="shared" si="36"/>
        <v>133</v>
      </c>
      <c r="J2116" s="1">
        <v>10.12</v>
      </c>
    </row>
    <row r="2117" customHeight="1" spans="1:10">
      <c r="A2117" s="3">
        <v>2195</v>
      </c>
      <c r="B2117" s="1" t="s">
        <v>727</v>
      </c>
      <c r="C2117" s="1" t="s">
        <v>669</v>
      </c>
      <c r="D2117" s="1" t="s">
        <v>421</v>
      </c>
      <c r="E2117" s="1" t="s">
        <v>309</v>
      </c>
      <c r="F2117" s="1">
        <v>0.45</v>
      </c>
      <c r="G2117" s="1">
        <v>380</v>
      </c>
      <c r="H2117" s="3">
        <f t="shared" si="36"/>
        <v>171</v>
      </c>
      <c r="J2117" s="1">
        <v>10.12</v>
      </c>
    </row>
    <row r="2118" customHeight="1" spans="1:10">
      <c r="A2118" s="3">
        <v>2196</v>
      </c>
      <c r="B2118" s="1" t="s">
        <v>732</v>
      </c>
      <c r="C2118" s="1" t="s">
        <v>669</v>
      </c>
      <c r="D2118" s="1" t="s">
        <v>421</v>
      </c>
      <c r="E2118" s="1" t="s">
        <v>309</v>
      </c>
      <c r="F2118" s="1">
        <v>0.15</v>
      </c>
      <c r="G2118" s="1">
        <v>380</v>
      </c>
      <c r="H2118" s="3">
        <f t="shared" si="36"/>
        <v>57</v>
      </c>
      <c r="J2118" s="1">
        <v>10.12</v>
      </c>
    </row>
    <row r="2119" customHeight="1" spans="1:10">
      <c r="A2119" s="3">
        <v>2197</v>
      </c>
      <c r="B2119" s="1" t="s">
        <v>698</v>
      </c>
      <c r="C2119" s="1" t="s">
        <v>669</v>
      </c>
      <c r="D2119" s="1" t="s">
        <v>421</v>
      </c>
      <c r="E2119" s="1" t="s">
        <v>309</v>
      </c>
      <c r="F2119" s="1">
        <v>0.7</v>
      </c>
      <c r="G2119" s="1">
        <v>380</v>
      </c>
      <c r="H2119" s="3">
        <f t="shared" si="36"/>
        <v>266</v>
      </c>
      <c r="J2119" s="1">
        <v>10.12</v>
      </c>
    </row>
    <row r="2120" customHeight="1" spans="1:10">
      <c r="A2120" s="3">
        <v>2198</v>
      </c>
      <c r="B2120" s="1" t="s">
        <v>730</v>
      </c>
      <c r="C2120" s="1" t="s">
        <v>669</v>
      </c>
      <c r="D2120" s="1" t="s">
        <v>421</v>
      </c>
      <c r="E2120" s="1" t="s">
        <v>309</v>
      </c>
      <c r="F2120" s="1">
        <v>0.35</v>
      </c>
      <c r="G2120" s="1">
        <v>380</v>
      </c>
      <c r="H2120" s="3">
        <f t="shared" si="36"/>
        <v>133</v>
      </c>
      <c r="J2120" s="1">
        <v>10.12</v>
      </c>
    </row>
    <row r="2121" customHeight="1" spans="1:10">
      <c r="A2121" s="3">
        <v>2199</v>
      </c>
      <c r="B2121" s="1" t="s">
        <v>730</v>
      </c>
      <c r="C2121" s="1" t="s">
        <v>669</v>
      </c>
      <c r="D2121" s="1" t="s">
        <v>788</v>
      </c>
      <c r="E2121" s="1" t="s">
        <v>309</v>
      </c>
      <c r="F2121" s="1">
        <v>0.45</v>
      </c>
      <c r="G2121" s="1">
        <v>380</v>
      </c>
      <c r="H2121" s="3">
        <f t="shared" si="36"/>
        <v>171</v>
      </c>
      <c r="J2121" s="1">
        <v>10.12</v>
      </c>
    </row>
    <row r="2122" customHeight="1" spans="1:10">
      <c r="A2122" s="3">
        <v>2200</v>
      </c>
      <c r="B2122" s="1" t="s">
        <v>698</v>
      </c>
      <c r="C2122" s="1" t="s">
        <v>669</v>
      </c>
      <c r="D2122" s="1" t="s">
        <v>429</v>
      </c>
      <c r="E2122" s="1" t="s">
        <v>309</v>
      </c>
      <c r="F2122" s="1">
        <v>2.1</v>
      </c>
      <c r="G2122" s="1">
        <v>380</v>
      </c>
      <c r="H2122" s="3">
        <f t="shared" si="36"/>
        <v>798</v>
      </c>
      <c r="J2122" s="1">
        <v>10.12</v>
      </c>
    </row>
    <row r="2123" customHeight="1" spans="1:10">
      <c r="A2123" s="3">
        <v>2201</v>
      </c>
      <c r="B2123" s="1" t="s">
        <v>702</v>
      </c>
      <c r="C2123" s="1" t="s">
        <v>669</v>
      </c>
      <c r="D2123" s="1" t="s">
        <v>789</v>
      </c>
      <c r="E2123" s="1" t="s">
        <v>309</v>
      </c>
      <c r="F2123" s="1">
        <v>1.13</v>
      </c>
      <c r="G2123" s="1">
        <v>380</v>
      </c>
      <c r="H2123" s="3">
        <f t="shared" si="36"/>
        <v>429.4</v>
      </c>
      <c r="J2123" s="1">
        <v>10.12</v>
      </c>
    </row>
    <row r="2124" customHeight="1" spans="1:10">
      <c r="A2124" s="3">
        <v>2202</v>
      </c>
      <c r="B2124" s="1" t="s">
        <v>724</v>
      </c>
      <c r="C2124" s="1" t="s">
        <v>669</v>
      </c>
      <c r="D2124" s="1" t="s">
        <v>789</v>
      </c>
      <c r="E2124" s="1" t="s">
        <v>309</v>
      </c>
      <c r="F2124" s="1">
        <v>0.8</v>
      </c>
      <c r="G2124" s="1">
        <v>380</v>
      </c>
      <c r="H2124" s="3">
        <f t="shared" si="36"/>
        <v>304</v>
      </c>
      <c r="J2124" s="1">
        <v>10.12</v>
      </c>
    </row>
    <row r="2125" customHeight="1" spans="1:10">
      <c r="A2125" s="3">
        <v>2203</v>
      </c>
      <c r="B2125" s="1" t="s">
        <v>715</v>
      </c>
      <c r="C2125" s="1" t="s">
        <v>669</v>
      </c>
      <c r="D2125" s="1" t="s">
        <v>789</v>
      </c>
      <c r="E2125" s="1" t="s">
        <v>309</v>
      </c>
      <c r="F2125" s="1">
        <v>0.2</v>
      </c>
      <c r="G2125" s="1">
        <v>380</v>
      </c>
      <c r="H2125" s="3">
        <f t="shared" si="36"/>
        <v>76</v>
      </c>
      <c r="J2125" s="1">
        <v>10.12</v>
      </c>
    </row>
    <row r="2126" customHeight="1" spans="1:10">
      <c r="A2126" s="3">
        <v>2204</v>
      </c>
      <c r="B2126" s="1" t="s">
        <v>747</v>
      </c>
      <c r="C2126" s="1" t="s">
        <v>669</v>
      </c>
      <c r="D2126" s="1" t="s">
        <v>789</v>
      </c>
      <c r="E2126" s="1" t="s">
        <v>309</v>
      </c>
      <c r="F2126" s="1">
        <v>0.2</v>
      </c>
      <c r="G2126" s="1">
        <v>380</v>
      </c>
      <c r="H2126" s="3">
        <f t="shared" si="36"/>
        <v>76</v>
      </c>
      <c r="J2126" s="1">
        <v>10.12</v>
      </c>
    </row>
    <row r="2127" customHeight="1" spans="1:10">
      <c r="A2127" s="3">
        <v>2205</v>
      </c>
      <c r="B2127" s="1" t="s">
        <v>748</v>
      </c>
      <c r="C2127" s="1" t="s">
        <v>669</v>
      </c>
      <c r="D2127" s="1" t="s">
        <v>789</v>
      </c>
      <c r="E2127" s="1" t="s">
        <v>309</v>
      </c>
      <c r="F2127" s="1">
        <v>0.2</v>
      </c>
      <c r="G2127" s="1">
        <v>380</v>
      </c>
      <c r="H2127" s="3">
        <f t="shared" si="36"/>
        <v>76</v>
      </c>
      <c r="J2127" s="1">
        <v>10.12</v>
      </c>
    </row>
    <row r="2128" customHeight="1" spans="1:10">
      <c r="A2128" s="3">
        <v>2206</v>
      </c>
      <c r="B2128" s="1" t="s">
        <v>746</v>
      </c>
      <c r="C2128" s="1" t="s">
        <v>669</v>
      </c>
      <c r="D2128" s="1" t="s">
        <v>789</v>
      </c>
      <c r="E2128" s="1" t="s">
        <v>309</v>
      </c>
      <c r="F2128" s="1">
        <v>0.2</v>
      </c>
      <c r="G2128" s="1">
        <v>380</v>
      </c>
      <c r="H2128" s="3">
        <f t="shared" si="36"/>
        <v>76</v>
      </c>
      <c r="J2128" s="1">
        <v>10.12</v>
      </c>
    </row>
    <row r="2129" customHeight="1" spans="1:11">
      <c r="A2129" s="3">
        <v>2207</v>
      </c>
      <c r="B2129" s="1" t="s">
        <v>718</v>
      </c>
      <c r="C2129" s="1" t="s">
        <v>669</v>
      </c>
      <c r="D2129" s="1" t="s">
        <v>789</v>
      </c>
      <c r="E2129" s="1" t="s">
        <v>309</v>
      </c>
      <c r="F2129" s="1">
        <v>0.3</v>
      </c>
      <c r="G2129" s="1">
        <v>380</v>
      </c>
      <c r="H2129" s="3">
        <f t="shared" si="36"/>
        <v>114</v>
      </c>
      <c r="J2129" s="1">
        <v>10.12</v>
      </c>
    </row>
    <row r="2130" customHeight="1" spans="1:11">
      <c r="A2130" s="3">
        <v>2208</v>
      </c>
      <c r="B2130" s="1" t="s">
        <v>724</v>
      </c>
      <c r="C2130" s="1" t="s">
        <v>669</v>
      </c>
      <c r="D2130" s="1" t="s">
        <v>789</v>
      </c>
      <c r="E2130" s="1" t="s">
        <v>309</v>
      </c>
      <c r="F2130" s="1">
        <v>0.3</v>
      </c>
      <c r="G2130" s="1">
        <v>380</v>
      </c>
      <c r="H2130" s="3">
        <f t="shared" si="36"/>
        <v>114</v>
      </c>
      <c r="J2130" s="1">
        <v>10.12</v>
      </c>
    </row>
    <row r="2131" customHeight="1" spans="1:11">
      <c r="A2131" s="3">
        <v>886</v>
      </c>
      <c r="B2131" s="1" t="s">
        <v>790</v>
      </c>
      <c r="C2131" s="3" t="s">
        <v>21</v>
      </c>
      <c r="D2131" s="1" t="s">
        <v>318</v>
      </c>
      <c r="E2131" s="1" t="s">
        <v>515</v>
      </c>
      <c r="F2131" s="1">
        <v>1.29</v>
      </c>
      <c r="K2131" s="1" t="s">
        <v>25</v>
      </c>
    </row>
    <row r="2132" customHeight="1" spans="1:11">
      <c r="A2132" s="3">
        <v>886</v>
      </c>
      <c r="B2132" s="1" t="s">
        <v>34</v>
      </c>
      <c r="C2132" s="3" t="s">
        <v>21</v>
      </c>
      <c r="D2132" s="1" t="s">
        <v>318</v>
      </c>
      <c r="E2132" s="1" t="s">
        <v>515</v>
      </c>
      <c r="F2132" s="1">
        <v>1.2</v>
      </c>
      <c r="K2132" s="1" t="s">
        <v>25</v>
      </c>
    </row>
    <row r="2133" customHeight="1" spans="1:11">
      <c r="A2133" s="3">
        <v>886</v>
      </c>
      <c r="B2133" s="1" t="s">
        <v>42</v>
      </c>
      <c r="C2133" s="3" t="s">
        <v>21</v>
      </c>
      <c r="D2133" s="1" t="s">
        <v>318</v>
      </c>
      <c r="E2133" s="1" t="s">
        <v>515</v>
      </c>
      <c r="F2133" s="1">
        <v>0.44</v>
      </c>
      <c r="K2133" s="1" t="s">
        <v>25</v>
      </c>
    </row>
    <row r="2134" customHeight="1" spans="1:11">
      <c r="A2134" s="3">
        <v>886</v>
      </c>
      <c r="B2134" s="1" t="s">
        <v>53</v>
      </c>
      <c r="C2134" s="3" t="s">
        <v>21</v>
      </c>
      <c r="D2134" s="1" t="s">
        <v>791</v>
      </c>
      <c r="E2134" s="3" t="s">
        <v>13</v>
      </c>
      <c r="F2134" s="1">
        <v>0.35</v>
      </c>
      <c r="K2134" s="1" t="s">
        <v>25</v>
      </c>
    </row>
    <row r="2135" customHeight="1" spans="1:11">
      <c r="A2135" s="3">
        <v>886</v>
      </c>
      <c r="B2135" s="1" t="s">
        <v>792</v>
      </c>
      <c r="C2135" s="3" t="s">
        <v>21</v>
      </c>
      <c r="D2135" s="1" t="s">
        <v>791</v>
      </c>
      <c r="E2135" s="3" t="s">
        <v>13</v>
      </c>
      <c r="F2135" s="1">
        <v>0.15</v>
      </c>
    </row>
    <row r="2136" customHeight="1" spans="1:11">
      <c r="A2136" s="3">
        <v>886</v>
      </c>
      <c r="B2136" s="1" t="s">
        <v>53</v>
      </c>
      <c r="C2136" s="3" t="s">
        <v>21</v>
      </c>
      <c r="D2136" s="1" t="s">
        <v>793</v>
      </c>
      <c r="E2136" s="1" t="s">
        <v>22</v>
      </c>
      <c r="F2136" s="1">
        <v>0.82</v>
      </c>
      <c r="K2136" s="1" t="s">
        <v>25</v>
      </c>
    </row>
    <row r="2137" customHeight="1" spans="1:11">
      <c r="A2137" s="3">
        <v>886</v>
      </c>
      <c r="B2137" s="1" t="s">
        <v>53</v>
      </c>
      <c r="C2137" s="3" t="s">
        <v>21</v>
      </c>
      <c r="D2137" s="1" t="s">
        <v>791</v>
      </c>
      <c r="E2137" s="3" t="s">
        <v>13</v>
      </c>
      <c r="F2137" s="1">
        <v>0.2</v>
      </c>
      <c r="K2137" s="1" t="s">
        <v>25</v>
      </c>
    </row>
    <row r="2138" customHeight="1" spans="1:11">
      <c r="B2138" s="3" t="s">
        <v>32</v>
      </c>
      <c r="C2138" s="3" t="s">
        <v>21</v>
      </c>
      <c r="D2138" s="1" t="s">
        <v>163</v>
      </c>
      <c r="E2138" s="3" t="s">
        <v>13</v>
      </c>
      <c r="F2138" s="1">
        <v>0.36</v>
      </c>
      <c r="G2138" s="3">
        <v>380</v>
      </c>
      <c r="H2138" s="1">
        <f>G2138*F2138</f>
        <v>136.8</v>
      </c>
      <c r="K2138" s="1" t="s">
        <v>25</v>
      </c>
    </row>
    <row r="2139" customHeight="1" spans="1:11">
      <c r="B2139" s="3" t="s">
        <v>32</v>
      </c>
      <c r="C2139" s="3" t="s">
        <v>21</v>
      </c>
      <c r="D2139" s="1" t="s">
        <v>146</v>
      </c>
      <c r="E2139" s="3" t="s">
        <v>13</v>
      </c>
      <c r="F2139" s="1">
        <v>0.84</v>
      </c>
      <c r="G2139" s="3">
        <v>380</v>
      </c>
      <c r="H2139" s="1">
        <f>G2139*F2139</f>
        <v>319.2</v>
      </c>
      <c r="K2139" s="1" t="s">
        <v>25</v>
      </c>
    </row>
    <row r="2140" customHeight="1" spans="1:11">
      <c r="B2140" s="3" t="s">
        <v>39</v>
      </c>
      <c r="C2140" s="3" t="s">
        <v>21</v>
      </c>
      <c r="D2140" s="3" t="s">
        <v>146</v>
      </c>
      <c r="E2140" s="3" t="s">
        <v>13</v>
      </c>
      <c r="F2140" s="1">
        <v>0.07</v>
      </c>
      <c r="G2140" s="1">
        <v>380</v>
      </c>
      <c r="H2140" s="1">
        <f>G2140*F2140</f>
        <v>26.6</v>
      </c>
      <c r="J2140" s="1" t="s">
        <v>794</v>
      </c>
      <c r="K2140" s="1" t="s">
        <v>25</v>
      </c>
    </row>
    <row r="2141" customHeight="1" spans="1:11">
      <c r="B2141" s="3" t="s">
        <v>45</v>
      </c>
      <c r="C2141" s="1" t="s">
        <v>21</v>
      </c>
      <c r="E2141" s="3" t="s">
        <v>22</v>
      </c>
      <c r="F2141" s="1">
        <v>0.06</v>
      </c>
      <c r="G2141" s="3">
        <v>480</v>
      </c>
      <c r="K2141" s="1" t="s">
        <v>25</v>
      </c>
    </row>
    <row r="2142" customHeight="1" spans="1:11">
      <c r="B2142" s="1" t="s">
        <v>35</v>
      </c>
      <c r="C2142" s="1" t="s">
        <v>21</v>
      </c>
      <c r="D2142" s="3" t="s">
        <v>723</v>
      </c>
      <c r="E2142" s="1" t="s">
        <v>13</v>
      </c>
      <c r="F2142" s="1">
        <v>3</v>
      </c>
      <c r="G2142" s="3">
        <v>380</v>
      </c>
    </row>
    <row r="2143" customHeight="1" spans="1:11">
      <c r="B2143" s="1" t="s">
        <v>51</v>
      </c>
      <c r="C2143" s="1" t="s">
        <v>21</v>
      </c>
      <c r="D2143" s="1" t="s">
        <v>795</v>
      </c>
      <c r="E2143" s="1" t="s">
        <v>13</v>
      </c>
      <c r="F2143" s="1">
        <v>0.03</v>
      </c>
      <c r="K2143" s="1" t="s">
        <v>25</v>
      </c>
    </row>
    <row r="2144" customHeight="1" spans="1:11">
      <c r="B2144" s="1" t="s">
        <v>30</v>
      </c>
      <c r="C2144" s="1" t="s">
        <v>21</v>
      </c>
      <c r="D2144" s="1" t="s">
        <v>795</v>
      </c>
      <c r="E2144" s="1" t="s">
        <v>22</v>
      </c>
      <c r="F2144" s="1">
        <v>0.15</v>
      </c>
      <c r="K2144" s="1" t="s">
        <v>25</v>
      </c>
    </row>
    <row r="2145" customHeight="1" spans="2:11">
      <c r="B2145" s="1" t="s">
        <v>49</v>
      </c>
      <c r="C2145" s="1" t="s">
        <v>21</v>
      </c>
      <c r="D2145" s="1" t="s">
        <v>795</v>
      </c>
      <c r="E2145" s="1" t="s">
        <v>22</v>
      </c>
      <c r="F2145" s="1">
        <v>0.04</v>
      </c>
    </row>
    <row r="2146" customHeight="1" spans="2:11">
      <c r="B2146" s="1" t="s">
        <v>93</v>
      </c>
      <c r="C2146" s="1" t="s">
        <v>21</v>
      </c>
      <c r="D2146" s="1" t="s">
        <v>412</v>
      </c>
      <c r="E2146" s="1" t="s">
        <v>13</v>
      </c>
      <c r="F2146" s="1">
        <v>0.11</v>
      </c>
    </row>
    <row r="2147" customHeight="1" spans="2:11">
      <c r="B2147" s="1" t="s">
        <v>75</v>
      </c>
      <c r="C2147" s="1" t="s">
        <v>21</v>
      </c>
      <c r="D2147" s="1" t="s">
        <v>412</v>
      </c>
      <c r="E2147" s="1" t="s">
        <v>13</v>
      </c>
      <c r="F2147" s="1">
        <v>0.15</v>
      </c>
    </row>
    <row r="2148" customHeight="1" spans="2:11">
      <c r="B2148" s="1" t="s">
        <v>83</v>
      </c>
      <c r="C2148" s="1" t="s">
        <v>21</v>
      </c>
      <c r="D2148" s="1" t="s">
        <v>412</v>
      </c>
      <c r="E2148" s="1" t="s">
        <v>13</v>
      </c>
      <c r="F2148" s="1">
        <v>0.02</v>
      </c>
    </row>
    <row r="2149" customHeight="1" spans="2:11">
      <c r="B2149" s="1" t="s">
        <v>27</v>
      </c>
      <c r="C2149" s="1" t="s">
        <v>21</v>
      </c>
      <c r="E2149" s="1" t="s">
        <v>22</v>
      </c>
      <c r="F2149" s="1">
        <v>0.06</v>
      </c>
    </row>
    <row r="2150" customHeight="1" spans="2:11">
      <c r="B2150" s="1" t="s">
        <v>57</v>
      </c>
      <c r="C2150" s="1" t="s">
        <v>21</v>
      </c>
      <c r="E2150" s="1" t="s">
        <v>13</v>
      </c>
      <c r="F2150" s="1">
        <v>0.18</v>
      </c>
      <c r="K2150" s="1" t="s">
        <v>25</v>
      </c>
    </row>
    <row r="2151" customHeight="1" spans="2:11">
      <c r="C2151" s="3"/>
    </row>
    <row r="2152" customHeight="1" spans="2:11">
      <c r="B2152" s="3" t="s">
        <v>36</v>
      </c>
      <c r="C2152" s="3" t="s">
        <v>21</v>
      </c>
      <c r="D2152" s="3" t="s">
        <v>163</v>
      </c>
      <c r="F2152" s="1">
        <v>1.43</v>
      </c>
      <c r="G2152" s="3">
        <v>380</v>
      </c>
    </row>
    <row r="2153" customHeight="1" spans="2:11">
      <c r="B2153" s="3" t="s">
        <v>36</v>
      </c>
      <c r="C2153" s="3" t="s">
        <v>21</v>
      </c>
      <c r="D2153" s="1" t="s">
        <v>796</v>
      </c>
      <c r="F2153" s="1">
        <v>0.1</v>
      </c>
    </row>
    <row r="2154" customHeight="1" spans="2:11">
      <c r="B2154" s="3"/>
      <c r="C2154" s="3"/>
      <c r="D2154" s="1" t="s">
        <v>797</v>
      </c>
    </row>
  </sheetData>
  <mergeCells count="3">
    <mergeCell ref="A1:J1"/>
    <mergeCell ref="F1503:F1505"/>
    <mergeCell ref="F1606:F160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396"/>
  <sheetViews>
    <sheetView workbookViewId="0">
      <selection activeCell="P368" sqref="P368"/>
    </sheetView>
  </sheetViews>
  <sheetFormatPr defaultColWidth="9" defaultRowHeight="40.95" customHeight="1"/>
  <cols>
    <col min="2" max="2" width="11.0462962962963" style="14" customWidth="1"/>
    <col min="5" max="5" width="9" style="14"/>
    <col min="7" max="7" width="11.5462962962963" customWidth="1"/>
    <col min="8" max="8" width="9.17592592592593" customWidth="1"/>
    <col min="9" max="9" width="9.5462962962963" customWidth="1"/>
    <col min="10" max="10" width="16.287037037037" customWidth="1"/>
  </cols>
  <sheetData>
    <row r="1" ht="76.95" customHeight="1" spans="1:11">
      <c r="A1" s="2" t="s">
        <v>798</v>
      </c>
      <c r="B1" s="2"/>
      <c r="C1" s="2"/>
      <c r="D1" s="2"/>
      <c r="E1" s="2"/>
      <c r="F1" s="2"/>
      <c r="G1" s="2"/>
      <c r="H1" s="2"/>
      <c r="I1" s="2"/>
      <c r="J1" s="2"/>
      <c r="K1" s="1"/>
    </row>
    <row r="2" hidden="1" customHeight="1" spans="1:11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1"/>
    </row>
    <row r="3" hidden="1" customHeight="1" spans="1:11">
      <c r="A3" s="15">
        <v>1</v>
      </c>
      <c r="B3" s="16" t="s">
        <v>668</v>
      </c>
      <c r="C3" s="16" t="s">
        <v>669</v>
      </c>
      <c r="D3" s="16" t="s">
        <v>551</v>
      </c>
      <c r="E3" s="15" t="s">
        <v>22</v>
      </c>
      <c r="F3" s="16">
        <v>1.43</v>
      </c>
      <c r="G3" s="15">
        <v>480</v>
      </c>
      <c r="H3" s="15">
        <v>686.4</v>
      </c>
      <c r="I3" s="16"/>
      <c r="J3" s="16">
        <v>9.29</v>
      </c>
      <c r="K3" s="16" t="s">
        <v>25</v>
      </c>
    </row>
    <row r="4" hidden="1" customHeight="1" spans="1:11">
      <c r="A4" s="3">
        <v>2</v>
      </c>
      <c r="B4" s="1" t="s">
        <v>670</v>
      </c>
      <c r="C4" s="1" t="s">
        <v>669</v>
      </c>
      <c r="D4" s="1" t="s">
        <v>551</v>
      </c>
      <c r="E4" s="3" t="s">
        <v>22</v>
      </c>
      <c r="F4" s="1">
        <v>0.81</v>
      </c>
      <c r="G4" s="3">
        <v>480</v>
      </c>
      <c r="H4" s="3">
        <v>388.8</v>
      </c>
      <c r="I4" s="1"/>
      <c r="J4" s="1">
        <v>9.29</v>
      </c>
      <c r="K4" s="1" t="s">
        <v>25</v>
      </c>
    </row>
    <row r="5" hidden="1" customHeight="1" spans="1:11">
      <c r="A5" s="3">
        <v>3</v>
      </c>
      <c r="B5" s="1" t="s">
        <v>671</v>
      </c>
      <c r="C5" s="1" t="s">
        <v>669</v>
      </c>
      <c r="D5" s="1" t="s">
        <v>672</v>
      </c>
      <c r="E5" s="3" t="s">
        <v>22</v>
      </c>
      <c r="F5" s="1">
        <v>1.26</v>
      </c>
      <c r="G5" s="3">
        <v>480</v>
      </c>
      <c r="H5" s="3">
        <v>604.8</v>
      </c>
      <c r="I5" s="1"/>
      <c r="J5" s="1">
        <v>9.29</v>
      </c>
      <c r="K5" s="1"/>
    </row>
    <row r="6" hidden="1" customHeight="1" spans="1:11">
      <c r="A6" s="3">
        <v>4</v>
      </c>
      <c r="B6" s="1" t="s">
        <v>670</v>
      </c>
      <c r="C6" s="1" t="s">
        <v>669</v>
      </c>
      <c r="D6" s="1" t="s">
        <v>672</v>
      </c>
      <c r="E6" s="3" t="s">
        <v>22</v>
      </c>
      <c r="F6" s="1">
        <v>0.58</v>
      </c>
      <c r="G6" s="3">
        <v>480</v>
      </c>
      <c r="H6" s="3">
        <v>278.4</v>
      </c>
      <c r="I6" s="1"/>
      <c r="J6" s="1">
        <v>9.29</v>
      </c>
      <c r="K6" s="1" t="s">
        <v>25</v>
      </c>
    </row>
    <row r="7" hidden="1" customHeight="1" spans="1:11">
      <c r="A7" s="3">
        <v>5</v>
      </c>
      <c r="B7" s="1" t="s">
        <v>673</v>
      </c>
      <c r="C7" s="1" t="s">
        <v>669</v>
      </c>
      <c r="D7" s="1" t="s">
        <v>672</v>
      </c>
      <c r="E7" s="3" t="s">
        <v>22</v>
      </c>
      <c r="F7" s="1">
        <v>0.79</v>
      </c>
      <c r="G7" s="3">
        <v>480</v>
      </c>
      <c r="H7" s="3">
        <v>379.2</v>
      </c>
      <c r="I7" s="1"/>
      <c r="J7" s="1">
        <v>9.29</v>
      </c>
      <c r="K7" s="1"/>
    </row>
    <row r="8" hidden="1" customHeight="1" spans="1:11">
      <c r="A8" s="3">
        <v>6</v>
      </c>
      <c r="B8" s="1" t="s">
        <v>674</v>
      </c>
      <c r="C8" s="1" t="s">
        <v>669</v>
      </c>
      <c r="D8" s="1" t="s">
        <v>672</v>
      </c>
      <c r="E8" s="3" t="s">
        <v>22</v>
      </c>
      <c r="F8" s="1">
        <v>1.58</v>
      </c>
      <c r="G8" s="3">
        <v>480</v>
      </c>
      <c r="H8" s="3">
        <v>758.4</v>
      </c>
      <c r="I8" s="1"/>
      <c r="J8" s="1">
        <v>9.29</v>
      </c>
      <c r="K8" s="1" t="s">
        <v>25</v>
      </c>
    </row>
    <row r="9" hidden="1" customHeight="1" spans="1:11">
      <c r="A9" s="3">
        <v>7</v>
      </c>
      <c r="B9" s="1" t="s">
        <v>675</v>
      </c>
      <c r="C9" s="1" t="s">
        <v>669</v>
      </c>
      <c r="D9" s="1" t="s">
        <v>676</v>
      </c>
      <c r="E9" s="3" t="s">
        <v>22</v>
      </c>
      <c r="F9" s="1">
        <v>0.19</v>
      </c>
      <c r="G9" s="3">
        <v>480</v>
      </c>
      <c r="H9" s="3">
        <v>91.2</v>
      </c>
      <c r="I9" s="1"/>
      <c r="J9" s="1">
        <v>9.29</v>
      </c>
      <c r="K9" s="1" t="s">
        <v>25</v>
      </c>
    </row>
    <row r="10" hidden="1" customHeight="1" spans="1:11">
      <c r="A10" s="15">
        <v>8</v>
      </c>
      <c r="B10" s="17" t="s">
        <v>799</v>
      </c>
      <c r="C10" s="16" t="s">
        <v>669</v>
      </c>
      <c r="D10" s="16" t="s">
        <v>678</v>
      </c>
      <c r="E10" s="15" t="s">
        <v>22</v>
      </c>
      <c r="F10" s="16">
        <v>0.69</v>
      </c>
      <c r="G10" s="15">
        <v>480</v>
      </c>
      <c r="H10" s="15">
        <v>331.2</v>
      </c>
      <c r="I10" s="16"/>
      <c r="J10" s="16">
        <v>9.29</v>
      </c>
      <c r="K10" s="16" t="s">
        <v>25</v>
      </c>
    </row>
    <row r="11" hidden="1" customHeight="1" spans="1:11">
      <c r="A11" s="3">
        <v>9</v>
      </c>
      <c r="B11" s="1" t="s">
        <v>679</v>
      </c>
      <c r="C11" s="1" t="s">
        <v>669</v>
      </c>
      <c r="D11" s="1" t="s">
        <v>680</v>
      </c>
      <c r="E11" s="3" t="s">
        <v>22</v>
      </c>
      <c r="F11" s="1">
        <v>0.42</v>
      </c>
      <c r="G11" s="3">
        <v>480</v>
      </c>
      <c r="H11" s="3">
        <v>201.6</v>
      </c>
      <c r="I11" s="1"/>
      <c r="J11" s="1">
        <v>9.29</v>
      </c>
      <c r="K11" s="1" t="s">
        <v>25</v>
      </c>
    </row>
    <row r="12" hidden="1" customHeight="1" spans="1:11">
      <c r="A12" s="3">
        <v>10</v>
      </c>
      <c r="B12" s="1" t="s">
        <v>673</v>
      </c>
      <c r="C12" s="1" t="s">
        <v>669</v>
      </c>
      <c r="D12" s="1" t="s">
        <v>680</v>
      </c>
      <c r="E12" s="3" t="s">
        <v>22</v>
      </c>
      <c r="F12" s="1">
        <v>0.28</v>
      </c>
      <c r="G12" s="3">
        <v>480</v>
      </c>
      <c r="H12" s="3">
        <v>134.4</v>
      </c>
      <c r="I12" s="1"/>
      <c r="J12" s="1">
        <v>9.29</v>
      </c>
      <c r="K12" s="1"/>
    </row>
    <row r="13" customHeight="1" spans="1:11">
      <c r="A13" s="15">
        <v>11</v>
      </c>
      <c r="B13" s="16" t="s">
        <v>800</v>
      </c>
      <c r="C13" s="16" t="s">
        <v>669</v>
      </c>
      <c r="D13" s="16" t="s">
        <v>551</v>
      </c>
      <c r="E13" s="15" t="s">
        <v>22</v>
      </c>
      <c r="F13" s="16">
        <v>0.47</v>
      </c>
      <c r="G13" s="15">
        <v>480</v>
      </c>
      <c r="H13" s="15">
        <v>225.6</v>
      </c>
      <c r="I13" s="16"/>
      <c r="J13" s="16">
        <v>9.29</v>
      </c>
      <c r="K13" s="16" t="s">
        <v>25</v>
      </c>
    </row>
    <row r="14" customHeight="1" spans="1:11">
      <c r="A14" s="15">
        <v>12</v>
      </c>
      <c r="B14" s="16" t="s">
        <v>800</v>
      </c>
      <c r="C14" s="16" t="s">
        <v>669</v>
      </c>
      <c r="D14" s="16" t="s">
        <v>682</v>
      </c>
      <c r="E14" s="15" t="s">
        <v>22</v>
      </c>
      <c r="F14" s="16">
        <v>0.5</v>
      </c>
      <c r="G14" s="15">
        <v>480</v>
      </c>
      <c r="H14" s="15">
        <v>240</v>
      </c>
      <c r="I14" s="16"/>
      <c r="J14" s="16">
        <v>9.29</v>
      </c>
      <c r="K14" s="16" t="s">
        <v>25</v>
      </c>
    </row>
    <row r="15" hidden="1" customHeight="1" spans="1:11">
      <c r="A15" s="3">
        <v>13</v>
      </c>
      <c r="B15" s="1" t="s">
        <v>679</v>
      </c>
      <c r="C15" s="1" t="s">
        <v>669</v>
      </c>
      <c r="D15" s="1" t="s">
        <v>683</v>
      </c>
      <c r="E15" s="3" t="s">
        <v>22</v>
      </c>
      <c r="F15" s="1">
        <v>0.78</v>
      </c>
      <c r="G15" s="3">
        <v>480</v>
      </c>
      <c r="H15" s="3">
        <v>374.4</v>
      </c>
      <c r="I15" s="1"/>
      <c r="J15" s="1">
        <v>9.29</v>
      </c>
      <c r="K15" s="1" t="s">
        <v>25</v>
      </c>
    </row>
    <row r="16" hidden="1" customHeight="1" spans="1:11">
      <c r="A16" s="3">
        <v>14</v>
      </c>
      <c r="B16" s="1" t="s">
        <v>675</v>
      </c>
      <c r="C16" s="1" t="s">
        <v>669</v>
      </c>
      <c r="D16" s="1" t="s">
        <v>683</v>
      </c>
      <c r="E16" s="3" t="s">
        <v>22</v>
      </c>
      <c r="F16" s="1">
        <v>0.75</v>
      </c>
      <c r="G16" s="3">
        <v>480</v>
      </c>
      <c r="H16" s="3">
        <v>360</v>
      </c>
      <c r="I16" s="1"/>
      <c r="J16" s="1">
        <v>9.29</v>
      </c>
      <c r="K16" s="1" t="s">
        <v>25</v>
      </c>
    </row>
    <row r="17" hidden="1" customHeight="1" spans="1:11">
      <c r="A17" s="3">
        <v>15</v>
      </c>
      <c r="B17" s="1" t="s">
        <v>675</v>
      </c>
      <c r="C17" s="1" t="s">
        <v>669</v>
      </c>
      <c r="D17" s="1" t="s">
        <v>683</v>
      </c>
      <c r="E17" s="3" t="s">
        <v>22</v>
      </c>
      <c r="F17" s="1">
        <v>0.28</v>
      </c>
      <c r="G17" s="3">
        <v>480</v>
      </c>
      <c r="H17" s="3">
        <v>134.4</v>
      </c>
      <c r="I17" s="1"/>
      <c r="J17" s="1">
        <v>9.29</v>
      </c>
      <c r="K17" s="1" t="s">
        <v>25</v>
      </c>
    </row>
    <row r="18" hidden="1" customHeight="1" spans="1:11">
      <c r="A18" s="15">
        <v>16</v>
      </c>
      <c r="B18" s="16" t="s">
        <v>668</v>
      </c>
      <c r="C18" s="16" t="s">
        <v>669</v>
      </c>
      <c r="D18" s="16" t="s">
        <v>683</v>
      </c>
      <c r="E18" s="15" t="s">
        <v>22</v>
      </c>
      <c r="F18" s="16">
        <v>0.31</v>
      </c>
      <c r="G18" s="15">
        <v>480</v>
      </c>
      <c r="H18" s="15">
        <v>148.8</v>
      </c>
      <c r="I18" s="16"/>
      <c r="J18" s="16">
        <v>9.29</v>
      </c>
      <c r="K18" s="16" t="s">
        <v>25</v>
      </c>
    </row>
    <row r="19" hidden="1" customHeight="1" spans="1:11">
      <c r="A19" s="15">
        <v>17</v>
      </c>
      <c r="B19" s="16" t="s">
        <v>684</v>
      </c>
      <c r="C19" s="16" t="s">
        <v>669</v>
      </c>
      <c r="D19" s="16" t="s">
        <v>685</v>
      </c>
      <c r="E19" s="15" t="s">
        <v>22</v>
      </c>
      <c r="F19" s="16">
        <v>0.82</v>
      </c>
      <c r="G19" s="15">
        <v>480</v>
      </c>
      <c r="H19" s="15">
        <v>316.8</v>
      </c>
      <c r="I19" s="16"/>
      <c r="J19" s="16">
        <v>9.29</v>
      </c>
      <c r="K19" s="16" t="s">
        <v>25</v>
      </c>
    </row>
    <row r="20" customHeight="1" spans="1:11">
      <c r="A20" s="15">
        <v>18</v>
      </c>
      <c r="B20" s="16" t="s">
        <v>800</v>
      </c>
      <c r="C20" s="16" t="s">
        <v>669</v>
      </c>
      <c r="D20" s="16" t="s">
        <v>685</v>
      </c>
      <c r="E20" s="15" t="s">
        <v>22</v>
      </c>
      <c r="F20" s="16">
        <v>0.3</v>
      </c>
      <c r="G20" s="15">
        <v>480</v>
      </c>
      <c r="H20" s="15">
        <v>144</v>
      </c>
      <c r="I20" s="16"/>
      <c r="J20" s="16">
        <v>9.29</v>
      </c>
      <c r="K20" s="16" t="s">
        <v>25</v>
      </c>
    </row>
    <row r="21" hidden="1" customHeight="1" spans="1:11">
      <c r="A21" s="15">
        <v>19</v>
      </c>
      <c r="B21" s="16" t="s">
        <v>668</v>
      </c>
      <c r="C21" s="16" t="s">
        <v>669</v>
      </c>
      <c r="D21" s="16" t="s">
        <v>686</v>
      </c>
      <c r="E21" s="15" t="s">
        <v>22</v>
      </c>
      <c r="F21" s="16">
        <v>0.45</v>
      </c>
      <c r="G21" s="15">
        <v>480</v>
      </c>
      <c r="H21" s="15">
        <v>216</v>
      </c>
      <c r="I21" s="16"/>
      <c r="J21" s="16">
        <v>9.29</v>
      </c>
      <c r="K21" s="16" t="s">
        <v>25</v>
      </c>
    </row>
    <row r="22" hidden="1" customHeight="1" spans="1:11">
      <c r="A22" s="3">
        <v>20</v>
      </c>
      <c r="B22" s="1" t="s">
        <v>687</v>
      </c>
      <c r="C22" s="1" t="s">
        <v>669</v>
      </c>
      <c r="D22" s="1" t="s">
        <v>254</v>
      </c>
      <c r="E22" s="3" t="s">
        <v>22</v>
      </c>
      <c r="F22" s="1">
        <v>0.49</v>
      </c>
      <c r="G22" s="3">
        <v>480</v>
      </c>
      <c r="H22" s="3">
        <v>235.2</v>
      </c>
      <c r="I22" s="1"/>
      <c r="J22" s="1">
        <v>9.29</v>
      </c>
      <c r="K22" s="1" t="s">
        <v>25</v>
      </c>
    </row>
    <row r="23" hidden="1" customHeight="1" spans="1:11">
      <c r="A23" s="3">
        <v>21</v>
      </c>
      <c r="B23" s="1" t="s">
        <v>671</v>
      </c>
      <c r="C23" s="1" t="s">
        <v>669</v>
      </c>
      <c r="D23" s="1" t="s">
        <v>254</v>
      </c>
      <c r="E23" s="3" t="s">
        <v>22</v>
      </c>
      <c r="F23" s="1">
        <v>0.53</v>
      </c>
      <c r="G23" s="3">
        <v>480</v>
      </c>
      <c r="H23" s="3">
        <v>254.4</v>
      </c>
      <c r="I23" s="1"/>
      <c r="J23" s="1">
        <v>9.29</v>
      </c>
      <c r="K23" s="1"/>
    </row>
    <row r="24" hidden="1" customHeight="1" spans="1:11">
      <c r="A24" s="15">
        <v>22</v>
      </c>
      <c r="B24" s="17" t="s">
        <v>799</v>
      </c>
      <c r="C24" s="16" t="s">
        <v>669</v>
      </c>
      <c r="D24" s="16" t="s">
        <v>254</v>
      </c>
      <c r="E24" s="15" t="s">
        <v>22</v>
      </c>
      <c r="F24" s="16">
        <v>0.36</v>
      </c>
      <c r="G24" s="15">
        <v>480</v>
      </c>
      <c r="H24" s="15">
        <v>172.8</v>
      </c>
      <c r="I24" s="16"/>
      <c r="J24" s="16">
        <v>9.29</v>
      </c>
      <c r="K24" s="16" t="s">
        <v>25</v>
      </c>
    </row>
    <row r="25" customHeight="1" spans="1:11">
      <c r="A25" s="15">
        <v>23</v>
      </c>
      <c r="B25" s="16" t="s">
        <v>800</v>
      </c>
      <c r="C25" s="16" t="s">
        <v>669</v>
      </c>
      <c r="D25" s="16" t="s">
        <v>254</v>
      </c>
      <c r="E25" s="15" t="s">
        <v>22</v>
      </c>
      <c r="F25" s="16">
        <v>0.36</v>
      </c>
      <c r="G25" s="15">
        <v>480</v>
      </c>
      <c r="H25" s="15">
        <v>172.8</v>
      </c>
      <c r="I25" s="16"/>
      <c r="J25" s="16">
        <v>9.29</v>
      </c>
      <c r="K25" s="16" t="s">
        <v>25</v>
      </c>
    </row>
    <row r="26" hidden="1" customHeight="1" spans="1:11">
      <c r="A26" s="3">
        <v>25</v>
      </c>
      <c r="B26" s="1" t="s">
        <v>268</v>
      </c>
      <c r="C26" s="1" t="s">
        <v>669</v>
      </c>
      <c r="D26" s="1" t="s">
        <v>688</v>
      </c>
      <c r="E26" s="1" t="s">
        <v>13</v>
      </c>
      <c r="F26" s="1">
        <v>0.35</v>
      </c>
      <c r="G26" s="1">
        <v>380</v>
      </c>
      <c r="H26" s="3">
        <v>133</v>
      </c>
      <c r="I26" s="1"/>
      <c r="J26" s="1">
        <v>9.29</v>
      </c>
      <c r="K26" s="1" t="s">
        <v>25</v>
      </c>
    </row>
    <row r="27" hidden="1" customHeight="1" spans="1:11">
      <c r="A27" s="3">
        <v>26</v>
      </c>
      <c r="B27" s="1" t="s">
        <v>674</v>
      </c>
      <c r="C27" s="1" t="s">
        <v>669</v>
      </c>
      <c r="D27" s="1" t="s">
        <v>688</v>
      </c>
      <c r="E27" s="1" t="s">
        <v>13</v>
      </c>
      <c r="F27" s="1">
        <v>0.17</v>
      </c>
      <c r="G27" s="1">
        <v>380</v>
      </c>
      <c r="H27" s="3">
        <v>64.6</v>
      </c>
      <c r="I27" s="1"/>
      <c r="J27" s="1">
        <v>9.29</v>
      </c>
      <c r="K27" s="1" t="s">
        <v>25</v>
      </c>
    </row>
    <row r="28" hidden="1" customHeight="1" spans="1:11">
      <c r="A28" s="15">
        <v>27</v>
      </c>
      <c r="B28" s="16" t="s">
        <v>668</v>
      </c>
      <c r="C28" s="16" t="s">
        <v>669</v>
      </c>
      <c r="D28" s="16" t="s">
        <v>435</v>
      </c>
      <c r="E28" s="16" t="s">
        <v>13</v>
      </c>
      <c r="F28" s="16">
        <v>0.82</v>
      </c>
      <c r="G28" s="16">
        <v>380</v>
      </c>
      <c r="H28" s="15">
        <v>311.6</v>
      </c>
      <c r="I28" s="16"/>
      <c r="J28" s="16">
        <v>9.29</v>
      </c>
      <c r="K28" s="16" t="s">
        <v>25</v>
      </c>
    </row>
    <row r="29" hidden="1" customHeight="1" spans="1:11">
      <c r="A29" s="3">
        <v>28</v>
      </c>
      <c r="B29" s="1" t="s">
        <v>674</v>
      </c>
      <c r="C29" s="1" t="s">
        <v>669</v>
      </c>
      <c r="D29" s="1" t="s">
        <v>689</v>
      </c>
      <c r="E29" s="1" t="s">
        <v>13</v>
      </c>
      <c r="F29" s="1">
        <v>0.5</v>
      </c>
      <c r="G29" s="1">
        <v>380</v>
      </c>
      <c r="H29" s="3">
        <v>190</v>
      </c>
      <c r="I29" s="1"/>
      <c r="J29" s="1">
        <v>9.29</v>
      </c>
      <c r="K29" s="1" t="s">
        <v>25</v>
      </c>
    </row>
    <row r="30" hidden="1" customHeight="1" spans="1:11">
      <c r="A30" s="15">
        <v>29</v>
      </c>
      <c r="B30" s="17" t="s">
        <v>799</v>
      </c>
      <c r="C30" s="16" t="s">
        <v>669</v>
      </c>
      <c r="D30" s="16" t="s">
        <v>689</v>
      </c>
      <c r="E30" s="16" t="s">
        <v>13</v>
      </c>
      <c r="F30" s="16">
        <v>0.24</v>
      </c>
      <c r="G30" s="16">
        <v>380</v>
      </c>
      <c r="H30" s="15">
        <v>91.2</v>
      </c>
      <c r="I30" s="16"/>
      <c r="J30" s="16">
        <v>9.29</v>
      </c>
      <c r="K30" s="16" t="s">
        <v>25</v>
      </c>
    </row>
    <row r="31" hidden="1" customHeight="1" spans="1:11">
      <c r="A31" s="3">
        <v>30</v>
      </c>
      <c r="B31" s="1" t="s">
        <v>673</v>
      </c>
      <c r="C31" s="1" t="s">
        <v>669</v>
      </c>
      <c r="D31" s="1" t="s">
        <v>689</v>
      </c>
      <c r="E31" s="1" t="s">
        <v>13</v>
      </c>
      <c r="F31" s="1">
        <v>0.94</v>
      </c>
      <c r="G31" s="1">
        <v>380</v>
      </c>
      <c r="H31" s="3">
        <v>357.2</v>
      </c>
      <c r="I31" s="1"/>
      <c r="J31" s="1">
        <v>9.29</v>
      </c>
      <c r="K31" s="1"/>
    </row>
    <row r="32" hidden="1" customHeight="1" spans="1:11">
      <c r="A32" s="3">
        <v>31</v>
      </c>
      <c r="B32" s="1" t="s">
        <v>679</v>
      </c>
      <c r="C32" s="1" t="s">
        <v>669</v>
      </c>
      <c r="D32" s="1" t="s">
        <v>435</v>
      </c>
      <c r="E32" s="1" t="s">
        <v>13</v>
      </c>
      <c r="F32" s="1">
        <v>0.2</v>
      </c>
      <c r="G32" s="1">
        <v>380</v>
      </c>
      <c r="H32" s="3">
        <v>76</v>
      </c>
      <c r="I32" s="1"/>
      <c r="J32" s="1">
        <v>9.29</v>
      </c>
      <c r="K32" s="1" t="s">
        <v>25</v>
      </c>
    </row>
    <row r="33" hidden="1" customHeight="1" spans="1:11">
      <c r="A33" s="3">
        <v>32</v>
      </c>
      <c r="B33" s="1" t="s">
        <v>691</v>
      </c>
      <c r="C33" s="1" t="s">
        <v>669</v>
      </c>
      <c r="D33" s="1" t="s">
        <v>689</v>
      </c>
      <c r="E33" s="1" t="s">
        <v>13</v>
      </c>
      <c r="F33" s="1">
        <v>0.42</v>
      </c>
      <c r="G33" s="1">
        <v>380</v>
      </c>
      <c r="H33" s="3">
        <v>159.6</v>
      </c>
      <c r="I33" s="1"/>
      <c r="J33" s="1">
        <v>9.29</v>
      </c>
      <c r="K33" s="1" t="s">
        <v>25</v>
      </c>
    </row>
    <row r="34" hidden="1" customHeight="1" spans="1:11">
      <c r="A34" s="3">
        <v>33</v>
      </c>
      <c r="B34" s="1" t="s">
        <v>671</v>
      </c>
      <c r="C34" s="1" t="s">
        <v>669</v>
      </c>
      <c r="D34" s="1" t="s">
        <v>689</v>
      </c>
      <c r="E34" s="1" t="s">
        <v>13</v>
      </c>
      <c r="F34" s="1">
        <v>0.85</v>
      </c>
      <c r="G34" s="1">
        <v>380</v>
      </c>
      <c r="H34" s="3">
        <v>323</v>
      </c>
      <c r="I34" s="1"/>
      <c r="J34" s="1">
        <v>9.29</v>
      </c>
      <c r="K34" s="1"/>
    </row>
    <row r="35" hidden="1" customHeight="1" spans="1:11">
      <c r="A35" s="3">
        <v>34</v>
      </c>
      <c r="B35" s="1" t="s">
        <v>675</v>
      </c>
      <c r="C35" s="1" t="s">
        <v>669</v>
      </c>
      <c r="D35" s="1" t="s">
        <v>551</v>
      </c>
      <c r="E35" s="1" t="s">
        <v>22</v>
      </c>
      <c r="F35" s="1">
        <v>0.97</v>
      </c>
      <c r="G35" s="1">
        <v>480</v>
      </c>
      <c r="H35" s="3">
        <v>465.6</v>
      </c>
      <c r="I35" s="1"/>
      <c r="J35" s="1">
        <v>9.29</v>
      </c>
      <c r="K35" s="1" t="s">
        <v>25</v>
      </c>
    </row>
    <row r="36" hidden="1" customHeight="1" spans="1:11">
      <c r="A36" s="3">
        <v>35</v>
      </c>
      <c r="B36" s="1" t="s">
        <v>687</v>
      </c>
      <c r="C36" s="1" t="s">
        <v>669</v>
      </c>
      <c r="D36" s="1" t="s">
        <v>672</v>
      </c>
      <c r="E36" s="1" t="s">
        <v>22</v>
      </c>
      <c r="F36" s="1">
        <v>1.16</v>
      </c>
      <c r="G36" s="1">
        <v>480</v>
      </c>
      <c r="H36" s="3">
        <v>556.8</v>
      </c>
      <c r="I36" s="1"/>
      <c r="J36" s="1">
        <v>9.29</v>
      </c>
      <c r="K36" s="1" t="s">
        <v>25</v>
      </c>
    </row>
    <row r="37" hidden="1" customHeight="1" spans="1:11">
      <c r="A37" s="3">
        <v>36</v>
      </c>
      <c r="B37" s="1" t="s">
        <v>691</v>
      </c>
      <c r="C37" s="1" t="s">
        <v>669</v>
      </c>
      <c r="D37" s="1" t="s">
        <v>672</v>
      </c>
      <c r="E37" s="1" t="s">
        <v>22</v>
      </c>
      <c r="F37" s="1">
        <v>0.92</v>
      </c>
      <c r="G37" s="1">
        <v>480</v>
      </c>
      <c r="H37" s="3">
        <v>441.6</v>
      </c>
      <c r="I37" s="1"/>
      <c r="J37" s="1">
        <v>9.29</v>
      </c>
      <c r="K37" s="1" t="s">
        <v>25</v>
      </c>
    </row>
    <row r="38" hidden="1" customHeight="1" spans="1:11">
      <c r="A38" s="3">
        <v>37</v>
      </c>
      <c r="B38" s="1" t="s">
        <v>692</v>
      </c>
      <c r="C38" s="1" t="s">
        <v>669</v>
      </c>
      <c r="D38" s="1" t="s">
        <v>676</v>
      </c>
      <c r="E38" s="1" t="s">
        <v>22</v>
      </c>
      <c r="F38" s="1">
        <v>0.79</v>
      </c>
      <c r="G38" s="1">
        <v>480</v>
      </c>
      <c r="H38" s="3">
        <v>379.2</v>
      </c>
      <c r="I38" s="1"/>
      <c r="J38" s="1">
        <v>9.29</v>
      </c>
      <c r="K38" s="1"/>
    </row>
    <row r="39" hidden="1" customHeight="1" spans="1:11">
      <c r="A39" s="3">
        <v>38</v>
      </c>
      <c r="B39" s="1" t="s">
        <v>130</v>
      </c>
      <c r="C39" s="1" t="s">
        <v>669</v>
      </c>
      <c r="D39" s="1" t="s">
        <v>682</v>
      </c>
      <c r="E39" s="1" t="s">
        <v>22</v>
      </c>
      <c r="F39" s="1">
        <v>0.33</v>
      </c>
      <c r="G39" s="1">
        <v>480</v>
      </c>
      <c r="H39" s="3">
        <v>158.4</v>
      </c>
      <c r="I39" s="1"/>
      <c r="J39" s="1">
        <v>9.29</v>
      </c>
      <c r="K39" s="1"/>
    </row>
    <row r="40" hidden="1" customHeight="1" spans="1:11">
      <c r="A40" s="3">
        <v>39</v>
      </c>
      <c r="B40" s="1" t="s">
        <v>693</v>
      </c>
      <c r="C40" s="1" t="s">
        <v>669</v>
      </c>
      <c r="D40" s="1" t="s">
        <v>682</v>
      </c>
      <c r="E40" s="1" t="s">
        <v>22</v>
      </c>
      <c r="F40" s="1">
        <v>1.6</v>
      </c>
      <c r="G40" s="1">
        <v>480</v>
      </c>
      <c r="H40" s="3">
        <v>768</v>
      </c>
      <c r="I40" s="1"/>
      <c r="J40" s="1">
        <v>9.29</v>
      </c>
      <c r="K40" s="1"/>
    </row>
    <row r="41" hidden="1" customHeight="1" spans="1:11">
      <c r="A41" s="3">
        <v>41</v>
      </c>
      <c r="B41" s="1" t="s">
        <v>508</v>
      </c>
      <c r="C41" s="1" t="s">
        <v>669</v>
      </c>
      <c r="D41" s="1" t="s">
        <v>682</v>
      </c>
      <c r="E41" s="1" t="s">
        <v>22</v>
      </c>
      <c r="F41" s="1">
        <v>0.6</v>
      </c>
      <c r="G41" s="1">
        <v>480</v>
      </c>
      <c r="H41" s="3">
        <v>288</v>
      </c>
      <c r="I41" s="1"/>
      <c r="J41" s="1">
        <v>9.29</v>
      </c>
      <c r="K41" s="1" t="s">
        <v>25</v>
      </c>
    </row>
    <row r="42" hidden="1" customHeight="1" spans="1:11">
      <c r="A42" s="3">
        <v>42</v>
      </c>
      <c r="B42" s="1" t="s">
        <v>687</v>
      </c>
      <c r="C42" s="1" t="s">
        <v>669</v>
      </c>
      <c r="D42" s="1" t="s">
        <v>683</v>
      </c>
      <c r="E42" s="1" t="s">
        <v>22</v>
      </c>
      <c r="F42" s="1">
        <v>0.74</v>
      </c>
      <c r="G42" s="1">
        <v>480</v>
      </c>
      <c r="H42" s="3">
        <v>355.2</v>
      </c>
      <c r="I42" s="1"/>
      <c r="J42" s="1">
        <v>9.29</v>
      </c>
      <c r="K42" s="1" t="s">
        <v>25</v>
      </c>
    </row>
    <row r="43" hidden="1" customHeight="1" spans="1:11">
      <c r="A43" s="3">
        <v>43</v>
      </c>
      <c r="B43" s="1" t="s">
        <v>674</v>
      </c>
      <c r="C43" s="1" t="s">
        <v>669</v>
      </c>
      <c r="D43" s="1" t="s">
        <v>683</v>
      </c>
      <c r="E43" s="1" t="s">
        <v>22</v>
      </c>
      <c r="F43" s="1">
        <v>0.66</v>
      </c>
      <c r="G43" s="1">
        <v>480</v>
      </c>
      <c r="H43" s="3">
        <v>316.8</v>
      </c>
      <c r="I43" s="1"/>
      <c r="J43" s="1">
        <v>9.29</v>
      </c>
      <c r="K43" s="1" t="s">
        <v>25</v>
      </c>
    </row>
    <row r="44" hidden="1" customHeight="1" spans="1:11">
      <c r="A44" s="3">
        <v>44</v>
      </c>
      <c r="B44" s="1" t="s">
        <v>674</v>
      </c>
      <c r="C44" s="1" t="s">
        <v>669</v>
      </c>
      <c r="D44" s="1" t="s">
        <v>443</v>
      </c>
      <c r="E44" s="1" t="s">
        <v>22</v>
      </c>
      <c r="F44" s="1">
        <v>0.65</v>
      </c>
      <c r="G44" s="1">
        <v>480</v>
      </c>
      <c r="H44" s="3">
        <v>312</v>
      </c>
      <c r="I44" s="1"/>
      <c r="J44" s="1">
        <v>9.29</v>
      </c>
      <c r="K44" s="1" t="s">
        <v>25</v>
      </c>
    </row>
    <row r="45" hidden="1" customHeight="1" spans="1:11">
      <c r="A45" s="3">
        <v>45</v>
      </c>
      <c r="B45" s="1" t="s">
        <v>692</v>
      </c>
      <c r="C45" s="1" t="s">
        <v>669</v>
      </c>
      <c r="D45" s="1" t="s">
        <v>694</v>
      </c>
      <c r="E45" s="1" t="s">
        <v>22</v>
      </c>
      <c r="F45" s="1">
        <v>0.5</v>
      </c>
      <c r="G45" s="1">
        <v>480</v>
      </c>
      <c r="H45" s="3">
        <v>240</v>
      </c>
      <c r="I45" s="1"/>
      <c r="J45" s="1">
        <v>9.29</v>
      </c>
      <c r="K45" s="1"/>
    </row>
    <row r="46" hidden="1" customHeight="1" spans="1:11">
      <c r="A46" s="3">
        <v>46</v>
      </c>
      <c r="B46" s="1" t="s">
        <v>670</v>
      </c>
      <c r="C46" s="1" t="s">
        <v>669</v>
      </c>
      <c r="D46" s="1" t="s">
        <v>217</v>
      </c>
      <c r="E46" s="1" t="s">
        <v>22</v>
      </c>
      <c r="F46" s="1">
        <v>0.35</v>
      </c>
      <c r="G46" s="1">
        <v>480</v>
      </c>
      <c r="H46" s="3">
        <v>168</v>
      </c>
      <c r="I46" s="1"/>
      <c r="J46" s="1">
        <v>9.29</v>
      </c>
      <c r="K46" s="1" t="s">
        <v>25</v>
      </c>
    </row>
    <row r="47" hidden="1" customHeight="1" spans="1:11">
      <c r="A47" s="3">
        <v>47</v>
      </c>
      <c r="B47" s="1" t="s">
        <v>691</v>
      </c>
      <c r="C47" s="1" t="s">
        <v>669</v>
      </c>
      <c r="D47" s="1" t="s">
        <v>217</v>
      </c>
      <c r="E47" s="1" t="s">
        <v>22</v>
      </c>
      <c r="F47" s="1">
        <v>0.13</v>
      </c>
      <c r="G47" s="1">
        <v>480</v>
      </c>
      <c r="H47" s="3">
        <v>62.4</v>
      </c>
      <c r="I47" s="1"/>
      <c r="J47" s="1">
        <v>9.29</v>
      </c>
      <c r="K47" s="1" t="s">
        <v>25</v>
      </c>
    </row>
    <row r="48" hidden="1" customHeight="1" spans="1:11">
      <c r="A48" s="3">
        <v>48</v>
      </c>
      <c r="B48" s="1" t="s">
        <v>674</v>
      </c>
      <c r="C48" s="1" t="s">
        <v>669</v>
      </c>
      <c r="D48" s="1" t="s">
        <v>450</v>
      </c>
      <c r="E48" s="1" t="s">
        <v>13</v>
      </c>
      <c r="F48" s="1">
        <v>1.15</v>
      </c>
      <c r="G48" s="1">
        <v>380</v>
      </c>
      <c r="H48" s="3">
        <v>437</v>
      </c>
      <c r="I48" s="1"/>
      <c r="J48" s="1">
        <v>9.29</v>
      </c>
      <c r="K48" s="1" t="s">
        <v>25</v>
      </c>
    </row>
    <row r="49" hidden="1" customHeight="1" spans="1:11">
      <c r="A49" s="3">
        <v>49</v>
      </c>
      <c r="B49" s="1" t="s">
        <v>687</v>
      </c>
      <c r="C49" s="1" t="s">
        <v>669</v>
      </c>
      <c r="D49" s="1" t="s">
        <v>695</v>
      </c>
      <c r="E49" s="1" t="s">
        <v>13</v>
      </c>
      <c r="F49" s="1">
        <v>0.11</v>
      </c>
      <c r="G49" s="1">
        <v>380</v>
      </c>
      <c r="H49" s="3">
        <v>41.8</v>
      </c>
      <c r="I49" s="1"/>
      <c r="J49" s="1">
        <v>9.29</v>
      </c>
      <c r="K49" s="1" t="s">
        <v>25</v>
      </c>
    </row>
    <row r="50" hidden="1" customHeight="1" spans="1:11">
      <c r="A50" s="3">
        <v>50</v>
      </c>
      <c r="B50" s="1" t="s">
        <v>679</v>
      </c>
      <c r="C50" s="1" t="s">
        <v>669</v>
      </c>
      <c r="D50" s="1" t="s">
        <v>450</v>
      </c>
      <c r="E50" s="1" t="s">
        <v>13</v>
      </c>
      <c r="F50" s="1">
        <v>0.48</v>
      </c>
      <c r="G50" s="1">
        <v>380</v>
      </c>
      <c r="H50" s="3">
        <v>182.4</v>
      </c>
      <c r="I50" s="1"/>
      <c r="J50" s="1">
        <v>9.29</v>
      </c>
      <c r="K50" s="1" t="s">
        <v>25</v>
      </c>
    </row>
    <row r="51" hidden="1" customHeight="1" spans="1:11">
      <c r="A51" s="3">
        <v>51</v>
      </c>
      <c r="B51" s="1" t="s">
        <v>692</v>
      </c>
      <c r="C51" s="1" t="s">
        <v>669</v>
      </c>
      <c r="D51" s="1" t="s">
        <v>450</v>
      </c>
      <c r="E51" s="1" t="s">
        <v>13</v>
      </c>
      <c r="F51" s="1">
        <v>0.82</v>
      </c>
      <c r="G51" s="1">
        <v>380</v>
      </c>
      <c r="H51" s="3">
        <v>311.6</v>
      </c>
      <c r="I51" s="1"/>
      <c r="J51" s="1">
        <v>9.29</v>
      </c>
      <c r="K51" s="1"/>
    </row>
    <row r="52" hidden="1" customHeight="1" spans="1:11">
      <c r="A52" s="3">
        <v>52</v>
      </c>
      <c r="B52" s="1" t="s">
        <v>675</v>
      </c>
      <c r="C52" s="1" t="s">
        <v>669</v>
      </c>
      <c r="D52" s="1" t="s">
        <v>450</v>
      </c>
      <c r="E52" s="1" t="s">
        <v>13</v>
      </c>
      <c r="F52" s="1">
        <v>0.22</v>
      </c>
      <c r="G52" s="1">
        <v>380</v>
      </c>
      <c r="H52" s="3">
        <v>83.6</v>
      </c>
      <c r="I52" s="1"/>
      <c r="J52" s="1">
        <v>9.29</v>
      </c>
      <c r="K52" s="1" t="s">
        <v>25</v>
      </c>
    </row>
    <row r="53" hidden="1" customHeight="1" spans="1:11">
      <c r="A53" s="3">
        <v>53</v>
      </c>
      <c r="B53" s="1" t="s">
        <v>696</v>
      </c>
      <c r="C53" s="1" t="s">
        <v>669</v>
      </c>
      <c r="D53" s="1" t="s">
        <v>697</v>
      </c>
      <c r="E53" s="1" t="s">
        <v>22</v>
      </c>
      <c r="F53" s="1">
        <v>0.1</v>
      </c>
      <c r="G53" s="3">
        <v>480</v>
      </c>
      <c r="H53" s="3">
        <v>48</v>
      </c>
      <c r="I53" s="1"/>
      <c r="J53" s="1">
        <v>10.11</v>
      </c>
      <c r="K53" s="1" t="s">
        <v>25</v>
      </c>
    </row>
    <row r="54" hidden="1" customHeight="1" spans="1:11">
      <c r="A54" s="3">
        <v>54</v>
      </c>
      <c r="B54" s="1" t="s">
        <v>698</v>
      </c>
      <c r="C54" s="1" t="s">
        <v>669</v>
      </c>
      <c r="D54" s="1" t="s">
        <v>697</v>
      </c>
      <c r="E54" s="1" t="s">
        <v>22</v>
      </c>
      <c r="F54" s="1">
        <v>0.05</v>
      </c>
      <c r="G54" s="3">
        <v>480</v>
      </c>
      <c r="H54" s="3">
        <v>24</v>
      </c>
      <c r="I54" s="1"/>
      <c r="J54" s="1">
        <v>10.11</v>
      </c>
      <c r="K54" s="1" t="s">
        <v>25</v>
      </c>
    </row>
    <row r="55" hidden="1" customHeight="1" spans="1:11">
      <c r="A55" s="3">
        <v>55</v>
      </c>
      <c r="B55" s="1" t="s">
        <v>699</v>
      </c>
      <c r="C55" s="1" t="s">
        <v>669</v>
      </c>
      <c r="D55" s="1" t="s">
        <v>697</v>
      </c>
      <c r="E55" s="1" t="s">
        <v>22</v>
      </c>
      <c r="F55" s="1">
        <v>0.12</v>
      </c>
      <c r="G55" s="3">
        <v>480</v>
      </c>
      <c r="H55" s="3">
        <v>57.6</v>
      </c>
      <c r="I55" s="1"/>
      <c r="J55" s="1">
        <v>10.11</v>
      </c>
      <c r="K55" s="1" t="s">
        <v>25</v>
      </c>
    </row>
    <row r="56" hidden="1" customHeight="1" spans="1:11">
      <c r="A56" s="3">
        <v>56</v>
      </c>
      <c r="B56" s="1" t="s">
        <v>700</v>
      </c>
      <c r="C56" s="1" t="s">
        <v>669</v>
      </c>
      <c r="D56" s="1" t="s">
        <v>701</v>
      </c>
      <c r="E56" s="1" t="s">
        <v>22</v>
      </c>
      <c r="F56" s="1">
        <v>0.2</v>
      </c>
      <c r="G56" s="3">
        <v>480</v>
      </c>
      <c r="H56" s="3">
        <v>96</v>
      </c>
      <c r="I56" s="1"/>
      <c r="J56" s="1">
        <v>10.11</v>
      </c>
      <c r="K56" s="1" t="s">
        <v>25</v>
      </c>
    </row>
    <row r="57" hidden="1" customHeight="1" spans="1:11">
      <c r="A57" s="3">
        <v>57</v>
      </c>
      <c r="B57" s="1" t="s">
        <v>801</v>
      </c>
      <c r="C57" s="1" t="s">
        <v>669</v>
      </c>
      <c r="D57" s="1" t="s">
        <v>701</v>
      </c>
      <c r="E57" s="1" t="s">
        <v>22</v>
      </c>
      <c r="F57" s="1">
        <v>0.17</v>
      </c>
      <c r="G57" s="3">
        <v>480</v>
      </c>
      <c r="H57" s="3">
        <v>81.6</v>
      </c>
      <c r="I57" s="1"/>
      <c r="J57" s="1">
        <v>10.11</v>
      </c>
      <c r="K57" s="1"/>
    </row>
    <row r="58" hidden="1" customHeight="1" spans="1:11">
      <c r="A58" s="3">
        <v>58</v>
      </c>
      <c r="B58" s="1" t="s">
        <v>698</v>
      </c>
      <c r="C58" s="1" t="s">
        <v>669</v>
      </c>
      <c r="D58" s="1" t="s">
        <v>701</v>
      </c>
      <c r="E58" s="1" t="s">
        <v>22</v>
      </c>
      <c r="F58" s="1">
        <v>0.64</v>
      </c>
      <c r="G58" s="3">
        <v>480</v>
      </c>
      <c r="H58" s="3">
        <v>307.2</v>
      </c>
      <c r="I58" s="1"/>
      <c r="J58" s="1">
        <v>10.11</v>
      </c>
      <c r="K58" s="1" t="s">
        <v>25</v>
      </c>
    </row>
    <row r="59" hidden="1" customHeight="1" spans="1:11">
      <c r="A59" s="3">
        <v>59</v>
      </c>
      <c r="B59" s="1" t="s">
        <v>703</v>
      </c>
      <c r="C59" s="1" t="s">
        <v>669</v>
      </c>
      <c r="D59" s="1" t="s">
        <v>701</v>
      </c>
      <c r="E59" s="1" t="s">
        <v>22</v>
      </c>
      <c r="F59" s="1">
        <v>0.6</v>
      </c>
      <c r="G59" s="3">
        <v>480</v>
      </c>
      <c r="H59" s="3">
        <v>288</v>
      </c>
      <c r="I59" s="1"/>
      <c r="J59" s="1">
        <v>10.11</v>
      </c>
      <c r="K59" s="1" t="s">
        <v>25</v>
      </c>
    </row>
    <row r="60" hidden="1" customHeight="1" spans="1:11">
      <c r="A60" s="3">
        <v>60</v>
      </c>
      <c r="B60" s="1" t="s">
        <v>698</v>
      </c>
      <c r="C60" s="1" t="s">
        <v>669</v>
      </c>
      <c r="D60" s="1" t="s">
        <v>450</v>
      </c>
      <c r="E60" s="1" t="s">
        <v>22</v>
      </c>
      <c r="F60" s="1">
        <v>0.15</v>
      </c>
      <c r="G60" s="3">
        <v>480</v>
      </c>
      <c r="H60" s="3">
        <v>72</v>
      </c>
      <c r="I60" s="1"/>
      <c r="J60" s="1">
        <v>10.11</v>
      </c>
      <c r="K60" s="1" t="s">
        <v>25</v>
      </c>
    </row>
    <row r="61" hidden="1" customHeight="1" spans="1:11">
      <c r="A61" s="3">
        <v>61</v>
      </c>
      <c r="B61" s="1" t="s">
        <v>696</v>
      </c>
      <c r="C61" s="1" t="s">
        <v>669</v>
      </c>
      <c r="D61" s="1" t="s">
        <v>704</v>
      </c>
      <c r="E61" s="1" t="s">
        <v>13</v>
      </c>
      <c r="F61" s="1">
        <v>0.85</v>
      </c>
      <c r="G61" s="1">
        <v>380</v>
      </c>
      <c r="H61" s="3">
        <v>323</v>
      </c>
      <c r="I61" s="1"/>
      <c r="J61" s="1">
        <v>10.11</v>
      </c>
      <c r="K61" s="1" t="s">
        <v>25</v>
      </c>
    </row>
    <row r="62" hidden="1" customHeight="1" spans="1:11">
      <c r="A62" s="3">
        <v>62</v>
      </c>
      <c r="B62" s="1" t="s">
        <v>699</v>
      </c>
      <c r="C62" s="1" t="s">
        <v>669</v>
      </c>
      <c r="D62" s="1" t="s">
        <v>704</v>
      </c>
      <c r="E62" s="1" t="s">
        <v>13</v>
      </c>
      <c r="F62" s="1">
        <v>1.2</v>
      </c>
      <c r="G62" s="1">
        <v>380</v>
      </c>
      <c r="H62" s="3">
        <v>456</v>
      </c>
      <c r="I62" s="1"/>
      <c r="J62" s="1">
        <v>10.11</v>
      </c>
      <c r="K62" s="1" t="s">
        <v>25</v>
      </c>
    </row>
    <row r="63" hidden="1" customHeight="1" spans="1:11">
      <c r="A63" s="3">
        <v>63</v>
      </c>
      <c r="B63" s="1" t="s">
        <v>705</v>
      </c>
      <c r="C63" s="1" t="s">
        <v>669</v>
      </c>
      <c r="D63" s="1" t="s">
        <v>706</v>
      </c>
      <c r="E63" s="1" t="s">
        <v>13</v>
      </c>
      <c r="F63" s="1">
        <v>0.64</v>
      </c>
      <c r="G63" s="1">
        <v>380</v>
      </c>
      <c r="H63" s="3">
        <v>243.2</v>
      </c>
      <c r="I63" s="1"/>
      <c r="J63" s="1">
        <v>10.11</v>
      </c>
      <c r="K63" s="1" t="s">
        <v>25</v>
      </c>
    </row>
    <row r="64" hidden="1" customHeight="1" spans="1:11">
      <c r="A64" s="3">
        <v>64</v>
      </c>
      <c r="B64" s="1" t="s">
        <v>757</v>
      </c>
      <c r="C64" s="1" t="s">
        <v>669</v>
      </c>
      <c r="D64" s="1" t="s">
        <v>708</v>
      </c>
      <c r="E64" s="1" t="s">
        <v>13</v>
      </c>
      <c r="F64" s="1">
        <v>0.55</v>
      </c>
      <c r="G64" s="1">
        <v>380</v>
      </c>
      <c r="H64" s="3">
        <v>209</v>
      </c>
      <c r="I64" s="1"/>
      <c r="J64" s="1">
        <v>10.11</v>
      </c>
      <c r="K64" s="1" t="s">
        <v>25</v>
      </c>
    </row>
    <row r="65" hidden="1" customHeight="1" spans="1:11">
      <c r="A65" s="3">
        <v>65</v>
      </c>
      <c r="B65" s="1" t="s">
        <v>709</v>
      </c>
      <c r="C65" s="1" t="s">
        <v>669</v>
      </c>
      <c r="D65" s="1" t="s">
        <v>710</v>
      </c>
      <c r="E65" s="1" t="s">
        <v>13</v>
      </c>
      <c r="F65" s="1">
        <v>0.3</v>
      </c>
      <c r="G65" s="1">
        <v>380</v>
      </c>
      <c r="H65" s="3">
        <v>114</v>
      </c>
      <c r="I65" s="1"/>
      <c r="J65" s="1">
        <v>10.11</v>
      </c>
      <c r="K65" s="1"/>
    </row>
    <row r="66" hidden="1" customHeight="1" spans="1:11">
      <c r="A66" s="3">
        <v>66</v>
      </c>
      <c r="B66" s="1" t="s">
        <v>757</v>
      </c>
      <c r="C66" s="1" t="s">
        <v>669</v>
      </c>
      <c r="D66" s="1" t="s">
        <v>711</v>
      </c>
      <c r="E66" s="1" t="s">
        <v>22</v>
      </c>
      <c r="F66" s="1">
        <v>0.15</v>
      </c>
      <c r="G66" s="1">
        <v>480</v>
      </c>
      <c r="H66" s="3">
        <v>72</v>
      </c>
      <c r="I66" s="1"/>
      <c r="J66" s="1">
        <v>10.11</v>
      </c>
      <c r="K66" s="1" t="s">
        <v>25</v>
      </c>
    </row>
    <row r="67" hidden="1" customHeight="1" spans="1:11">
      <c r="A67" s="3">
        <v>67</v>
      </c>
      <c r="B67" s="1" t="s">
        <v>709</v>
      </c>
      <c r="C67" s="1" t="s">
        <v>669</v>
      </c>
      <c r="D67" s="1" t="s">
        <v>711</v>
      </c>
      <c r="E67" s="1" t="s">
        <v>22</v>
      </c>
      <c r="F67" s="1">
        <v>0.25</v>
      </c>
      <c r="G67" s="1">
        <v>480</v>
      </c>
      <c r="H67" s="3">
        <v>120</v>
      </c>
      <c r="I67" s="1"/>
      <c r="J67" s="1">
        <v>10.11</v>
      </c>
      <c r="K67" s="1"/>
    </row>
    <row r="68" hidden="1" customHeight="1" spans="1:11">
      <c r="A68" s="3">
        <v>68</v>
      </c>
      <c r="B68" s="1" t="s">
        <v>705</v>
      </c>
      <c r="C68" s="1" t="s">
        <v>669</v>
      </c>
      <c r="D68" s="1" t="s">
        <v>711</v>
      </c>
      <c r="E68" s="1" t="s">
        <v>22</v>
      </c>
      <c r="F68" s="1">
        <v>0.25</v>
      </c>
      <c r="G68" s="1">
        <v>480</v>
      </c>
      <c r="H68" s="3">
        <v>120</v>
      </c>
      <c r="I68" s="1"/>
      <c r="J68" s="1">
        <v>10.11</v>
      </c>
      <c r="K68" s="1" t="s">
        <v>25</v>
      </c>
    </row>
    <row r="69" hidden="1" customHeight="1" spans="1:11">
      <c r="A69" s="3">
        <v>69</v>
      </c>
      <c r="B69" s="1" t="s">
        <v>712</v>
      </c>
      <c r="C69" s="1" t="s">
        <v>669</v>
      </c>
      <c r="D69" s="1" t="s">
        <v>713</v>
      </c>
      <c r="E69" s="1" t="s">
        <v>22</v>
      </c>
      <c r="F69" s="1">
        <v>0.45</v>
      </c>
      <c r="G69" s="1">
        <v>480</v>
      </c>
      <c r="H69" s="3">
        <v>216</v>
      </c>
      <c r="I69" s="1"/>
      <c r="J69" s="1">
        <v>10.11</v>
      </c>
      <c r="K69" s="1" t="s">
        <v>25</v>
      </c>
    </row>
    <row r="70" hidden="1" customHeight="1" spans="1:11">
      <c r="A70" s="3">
        <v>70</v>
      </c>
      <c r="B70" s="1" t="s">
        <v>714</v>
      </c>
      <c r="C70" s="1" t="s">
        <v>669</v>
      </c>
      <c r="D70" s="1" t="s">
        <v>713</v>
      </c>
      <c r="E70" s="1" t="s">
        <v>22</v>
      </c>
      <c r="F70" s="1">
        <v>1.46</v>
      </c>
      <c r="G70" s="1">
        <v>480</v>
      </c>
      <c r="H70" s="3">
        <v>700.8</v>
      </c>
      <c r="I70" s="1"/>
      <c r="J70" s="1">
        <v>10.11</v>
      </c>
      <c r="K70" s="1" t="s">
        <v>25</v>
      </c>
    </row>
    <row r="71" hidden="1" customHeight="1" spans="1:11">
      <c r="A71" s="3">
        <v>71</v>
      </c>
      <c r="B71" s="1" t="s">
        <v>715</v>
      </c>
      <c r="C71" s="1" t="s">
        <v>669</v>
      </c>
      <c r="D71" s="1" t="s">
        <v>713</v>
      </c>
      <c r="E71" s="1" t="s">
        <v>22</v>
      </c>
      <c r="F71" s="1">
        <v>0.3</v>
      </c>
      <c r="G71" s="1">
        <v>480</v>
      </c>
      <c r="H71" s="3">
        <v>144</v>
      </c>
      <c r="I71" s="1"/>
      <c r="J71" s="1">
        <v>10.11</v>
      </c>
      <c r="K71" s="1" t="s">
        <v>25</v>
      </c>
    </row>
    <row r="72" hidden="1" customHeight="1" spans="1:11">
      <c r="A72" s="3">
        <v>72</v>
      </c>
      <c r="B72" s="1" t="s">
        <v>705</v>
      </c>
      <c r="C72" s="1" t="s">
        <v>669</v>
      </c>
      <c r="D72" s="1" t="s">
        <v>443</v>
      </c>
      <c r="E72" s="1" t="s">
        <v>22</v>
      </c>
      <c r="F72" s="1">
        <v>0.2</v>
      </c>
      <c r="G72" s="1">
        <v>480</v>
      </c>
      <c r="H72" s="3">
        <v>96</v>
      </c>
      <c r="I72" s="1"/>
      <c r="J72" s="1">
        <v>10.11</v>
      </c>
      <c r="K72" s="1" t="s">
        <v>25</v>
      </c>
    </row>
    <row r="73" hidden="1" customHeight="1" spans="1:11">
      <c r="A73" s="3">
        <v>73</v>
      </c>
      <c r="B73" s="1" t="s">
        <v>801</v>
      </c>
      <c r="C73" s="1" t="s">
        <v>669</v>
      </c>
      <c r="D73" s="1" t="s">
        <v>443</v>
      </c>
      <c r="E73" s="1" t="s">
        <v>22</v>
      </c>
      <c r="F73" s="1">
        <v>0.13</v>
      </c>
      <c r="G73" s="1">
        <v>480</v>
      </c>
      <c r="H73" s="3">
        <v>62.4</v>
      </c>
      <c r="I73" s="1"/>
      <c r="J73" s="1">
        <v>10.11</v>
      </c>
      <c r="K73" s="1"/>
    </row>
    <row r="74" hidden="1" customHeight="1" spans="1:11">
      <c r="A74" s="3">
        <v>74</v>
      </c>
      <c r="B74" s="1" t="s">
        <v>716</v>
      </c>
      <c r="C74" s="1" t="s">
        <v>669</v>
      </c>
      <c r="D74" s="1" t="s">
        <v>443</v>
      </c>
      <c r="E74" s="1" t="s">
        <v>22</v>
      </c>
      <c r="F74" s="1">
        <v>0.22</v>
      </c>
      <c r="G74" s="1">
        <v>480</v>
      </c>
      <c r="H74" s="3">
        <v>105.6</v>
      </c>
      <c r="I74" s="1"/>
      <c r="J74" s="1">
        <v>10.11</v>
      </c>
      <c r="K74" s="1" t="s">
        <v>25</v>
      </c>
    </row>
    <row r="75" hidden="1" customHeight="1" spans="1:11">
      <c r="A75" s="3">
        <v>75</v>
      </c>
      <c r="B75" s="1" t="s">
        <v>709</v>
      </c>
      <c r="C75" s="1" t="s">
        <v>669</v>
      </c>
      <c r="D75" s="1" t="s">
        <v>717</v>
      </c>
      <c r="E75" s="1" t="s">
        <v>22</v>
      </c>
      <c r="F75" s="1">
        <v>0.8</v>
      </c>
      <c r="G75" s="1">
        <v>480</v>
      </c>
      <c r="H75" s="3">
        <v>384</v>
      </c>
      <c r="I75" s="1"/>
      <c r="J75" s="1">
        <v>10.11</v>
      </c>
      <c r="K75" s="1"/>
    </row>
    <row r="76" hidden="1" customHeight="1" spans="1:11">
      <c r="A76" s="3">
        <v>76</v>
      </c>
      <c r="B76" s="1" t="s">
        <v>718</v>
      </c>
      <c r="C76" s="1" t="s">
        <v>669</v>
      </c>
      <c r="D76" s="1" t="s">
        <v>226</v>
      </c>
      <c r="E76" s="1" t="s">
        <v>22</v>
      </c>
      <c r="F76" s="1">
        <v>0.26</v>
      </c>
      <c r="G76" s="1">
        <v>480</v>
      </c>
      <c r="H76" s="3">
        <v>124.8</v>
      </c>
      <c r="I76" s="1"/>
      <c r="J76" s="1">
        <v>10.11</v>
      </c>
      <c r="K76" s="1" t="s">
        <v>25</v>
      </c>
    </row>
    <row r="77" hidden="1" customHeight="1" spans="1:11">
      <c r="A77" s="3">
        <v>77</v>
      </c>
      <c r="B77" s="1" t="s">
        <v>719</v>
      </c>
      <c r="C77" s="1" t="s">
        <v>669</v>
      </c>
      <c r="D77" s="1" t="s">
        <v>720</v>
      </c>
      <c r="E77" s="1" t="s">
        <v>22</v>
      </c>
      <c r="F77" s="1">
        <v>0.32</v>
      </c>
      <c r="G77" s="1">
        <v>480</v>
      </c>
      <c r="H77" s="3">
        <v>153.6</v>
      </c>
      <c r="I77" s="1"/>
      <c r="J77" s="1">
        <v>10.11</v>
      </c>
      <c r="K77" s="1" t="s">
        <v>25</v>
      </c>
    </row>
    <row r="78" hidden="1" customHeight="1" spans="1:11">
      <c r="A78" s="3">
        <v>78</v>
      </c>
      <c r="B78" s="1" t="s">
        <v>721</v>
      </c>
      <c r="C78" s="1" t="s">
        <v>669</v>
      </c>
      <c r="D78" s="1" t="s">
        <v>720</v>
      </c>
      <c r="E78" s="1" t="s">
        <v>22</v>
      </c>
      <c r="F78" s="1">
        <v>0.58</v>
      </c>
      <c r="G78" s="1">
        <v>480</v>
      </c>
      <c r="H78" s="3">
        <v>278.4</v>
      </c>
      <c r="I78" s="1"/>
      <c r="J78" s="1">
        <v>10.11</v>
      </c>
      <c r="K78" s="1"/>
    </row>
    <row r="79" hidden="1" customHeight="1" spans="1:11">
      <c r="A79" s="3">
        <v>79</v>
      </c>
      <c r="B79" s="1" t="s">
        <v>747</v>
      </c>
      <c r="C79" s="1" t="s">
        <v>669</v>
      </c>
      <c r="D79" s="1" t="s">
        <v>630</v>
      </c>
      <c r="E79" s="1" t="s">
        <v>22</v>
      </c>
      <c r="F79" s="1">
        <v>0.22</v>
      </c>
      <c r="G79" s="1">
        <v>480</v>
      </c>
      <c r="H79" s="3">
        <v>105.6</v>
      </c>
      <c r="I79" s="1"/>
      <c r="J79" s="1">
        <v>10.11</v>
      </c>
      <c r="K79" s="1" t="s">
        <v>25</v>
      </c>
    </row>
    <row r="80" hidden="1" customHeight="1" spans="1:11">
      <c r="A80" s="3">
        <v>80</v>
      </c>
      <c r="B80" s="1" t="s">
        <v>718</v>
      </c>
      <c r="C80" s="1" t="s">
        <v>669</v>
      </c>
      <c r="D80" s="1" t="s">
        <v>226</v>
      </c>
      <c r="E80" s="1" t="s">
        <v>22</v>
      </c>
      <c r="F80" s="1">
        <v>0.12</v>
      </c>
      <c r="G80" s="1">
        <v>480</v>
      </c>
      <c r="H80" s="3">
        <v>57.6</v>
      </c>
      <c r="I80" s="1"/>
      <c r="J80" s="1">
        <v>10.11</v>
      </c>
      <c r="K80" s="1" t="s">
        <v>25</v>
      </c>
    </row>
    <row r="81" hidden="1" customHeight="1" spans="1:11">
      <c r="A81" s="3">
        <v>81</v>
      </c>
      <c r="B81" s="1" t="s">
        <v>757</v>
      </c>
      <c r="C81" s="1" t="s">
        <v>669</v>
      </c>
      <c r="D81" s="1" t="s">
        <v>226</v>
      </c>
      <c r="E81" s="1" t="s">
        <v>22</v>
      </c>
      <c r="F81" s="1">
        <v>0.4</v>
      </c>
      <c r="G81" s="1">
        <v>480</v>
      </c>
      <c r="H81" s="3">
        <v>192</v>
      </c>
      <c r="I81" s="1"/>
      <c r="J81" s="1">
        <v>10.11</v>
      </c>
      <c r="K81" s="1" t="s">
        <v>25</v>
      </c>
    </row>
    <row r="82" hidden="1" customHeight="1" spans="1:11">
      <c r="A82" s="3">
        <v>82</v>
      </c>
      <c r="B82" s="1" t="s">
        <v>719</v>
      </c>
      <c r="C82" s="1" t="s">
        <v>669</v>
      </c>
      <c r="D82" s="1" t="s">
        <v>723</v>
      </c>
      <c r="E82" s="1" t="s">
        <v>22</v>
      </c>
      <c r="F82" s="1">
        <v>1.16</v>
      </c>
      <c r="G82" s="1">
        <v>480</v>
      </c>
      <c r="H82" s="3">
        <v>556.8</v>
      </c>
      <c r="I82" s="1"/>
      <c r="J82" s="1">
        <v>10.11</v>
      </c>
      <c r="K82" s="1" t="s">
        <v>25</v>
      </c>
    </row>
    <row r="83" hidden="1" customHeight="1" spans="1:11">
      <c r="A83" s="3">
        <v>83</v>
      </c>
      <c r="B83" s="1" t="s">
        <v>698</v>
      </c>
      <c r="C83" s="1" t="s">
        <v>669</v>
      </c>
      <c r="D83" s="1" t="s">
        <v>720</v>
      </c>
      <c r="E83" s="1" t="s">
        <v>22</v>
      </c>
      <c r="F83" s="1">
        <v>0.18</v>
      </c>
      <c r="G83" s="1">
        <v>480</v>
      </c>
      <c r="H83" s="3">
        <v>86.4</v>
      </c>
      <c r="I83" s="1"/>
      <c r="J83" s="1">
        <v>10.11</v>
      </c>
      <c r="K83" s="1" t="s">
        <v>25</v>
      </c>
    </row>
    <row r="84" hidden="1" customHeight="1" spans="1:11">
      <c r="A84" s="3">
        <v>84</v>
      </c>
      <c r="B84" s="1" t="s">
        <v>724</v>
      </c>
      <c r="C84" s="1" t="s">
        <v>669</v>
      </c>
      <c r="D84" s="1" t="s">
        <v>246</v>
      </c>
      <c r="E84" s="1" t="s">
        <v>22</v>
      </c>
      <c r="F84" s="1">
        <v>0.51</v>
      </c>
      <c r="G84" s="1">
        <v>480</v>
      </c>
      <c r="H84" s="3">
        <v>244.8</v>
      </c>
      <c r="I84" s="1"/>
      <c r="J84" s="1">
        <v>10.11</v>
      </c>
      <c r="K84" s="1" t="s">
        <v>25</v>
      </c>
    </row>
    <row r="85" hidden="1" customHeight="1" spans="1:11">
      <c r="A85" s="3">
        <v>85</v>
      </c>
      <c r="B85" s="1" t="s">
        <v>719</v>
      </c>
      <c r="C85" s="1" t="s">
        <v>669</v>
      </c>
      <c r="D85" s="1" t="s">
        <v>246</v>
      </c>
      <c r="E85" s="1" t="s">
        <v>22</v>
      </c>
      <c r="F85" s="1">
        <v>1.35</v>
      </c>
      <c r="G85" s="1">
        <v>480</v>
      </c>
      <c r="H85" s="3">
        <v>648</v>
      </c>
      <c r="I85" s="1"/>
      <c r="J85" s="1">
        <v>10.11</v>
      </c>
      <c r="K85" s="1" t="s">
        <v>25</v>
      </c>
    </row>
    <row r="86" hidden="1" customHeight="1" spans="1:11">
      <c r="A86" s="3">
        <v>86</v>
      </c>
      <c r="B86" s="1" t="s">
        <v>703</v>
      </c>
      <c r="C86" s="1" t="s">
        <v>669</v>
      </c>
      <c r="D86" s="1" t="s">
        <v>246</v>
      </c>
      <c r="E86" s="1" t="s">
        <v>22</v>
      </c>
      <c r="F86" s="1">
        <v>0.3</v>
      </c>
      <c r="G86" s="1">
        <v>480</v>
      </c>
      <c r="H86" s="3">
        <v>144</v>
      </c>
      <c r="I86" s="1"/>
      <c r="J86" s="1">
        <v>10.11</v>
      </c>
      <c r="K86" s="1" t="s">
        <v>25</v>
      </c>
    </row>
    <row r="87" hidden="1" customHeight="1" spans="1:11">
      <c r="A87" s="3">
        <v>87</v>
      </c>
      <c r="B87" s="1" t="s">
        <v>725</v>
      </c>
      <c r="C87" s="1" t="s">
        <v>669</v>
      </c>
      <c r="D87" s="1" t="s">
        <v>726</v>
      </c>
      <c r="E87" s="1" t="s">
        <v>22</v>
      </c>
      <c r="F87" s="1">
        <v>0.93</v>
      </c>
      <c r="G87" s="1">
        <v>480</v>
      </c>
      <c r="H87" s="3">
        <v>446.4</v>
      </c>
      <c r="I87" s="1"/>
      <c r="J87" s="1">
        <v>10.11</v>
      </c>
      <c r="K87" s="1" t="s">
        <v>25</v>
      </c>
    </row>
    <row r="88" hidden="1" customHeight="1" spans="1:11">
      <c r="A88" s="3">
        <v>88</v>
      </c>
      <c r="B88" s="1" t="s">
        <v>727</v>
      </c>
      <c r="C88" s="1" t="s">
        <v>669</v>
      </c>
      <c r="D88" s="1" t="s">
        <v>726</v>
      </c>
      <c r="E88" s="1" t="s">
        <v>22</v>
      </c>
      <c r="F88" s="1">
        <v>0.67</v>
      </c>
      <c r="G88" s="1">
        <v>480</v>
      </c>
      <c r="H88" s="3">
        <v>321.6</v>
      </c>
      <c r="I88" s="1"/>
      <c r="J88" s="1">
        <v>10.11</v>
      </c>
      <c r="K88" s="1" t="s">
        <v>25</v>
      </c>
    </row>
    <row r="89" hidden="1" customHeight="1" spans="1:11">
      <c r="A89" s="3">
        <v>89</v>
      </c>
      <c r="B89" s="1" t="s">
        <v>728</v>
      </c>
      <c r="C89" s="1" t="s">
        <v>669</v>
      </c>
      <c r="D89" s="1" t="s">
        <v>726</v>
      </c>
      <c r="E89" s="1" t="s">
        <v>22</v>
      </c>
      <c r="F89" s="1">
        <v>0.49</v>
      </c>
      <c r="G89" s="1">
        <v>480</v>
      </c>
      <c r="H89" s="3">
        <v>235.2</v>
      </c>
      <c r="I89" s="1"/>
      <c r="J89" s="1">
        <v>10.11</v>
      </c>
      <c r="K89" s="1" t="s">
        <v>25</v>
      </c>
    </row>
    <row r="90" hidden="1" customHeight="1" spans="1:11">
      <c r="A90" s="3">
        <v>90</v>
      </c>
      <c r="B90" s="1" t="s">
        <v>705</v>
      </c>
      <c r="C90" s="1" t="s">
        <v>669</v>
      </c>
      <c r="D90" s="1" t="s">
        <v>726</v>
      </c>
      <c r="E90" s="1" t="s">
        <v>22</v>
      </c>
      <c r="F90" s="1"/>
      <c r="G90" s="1">
        <v>480</v>
      </c>
      <c r="H90" s="3">
        <v>0</v>
      </c>
      <c r="I90" s="1" t="s">
        <v>729</v>
      </c>
      <c r="J90" s="1">
        <v>10.11</v>
      </c>
      <c r="K90" s="1" t="s">
        <v>25</v>
      </c>
    </row>
    <row r="91" hidden="1" customHeight="1" spans="1:11">
      <c r="A91" s="3">
        <v>91</v>
      </c>
      <c r="B91" s="1" t="s">
        <v>724</v>
      </c>
      <c r="C91" s="1" t="s">
        <v>669</v>
      </c>
      <c r="D91" s="1" t="s">
        <v>726</v>
      </c>
      <c r="E91" s="1" t="s">
        <v>22</v>
      </c>
      <c r="F91" s="1"/>
      <c r="G91" s="1">
        <v>480</v>
      </c>
      <c r="H91" s="3">
        <v>0</v>
      </c>
      <c r="I91" s="1" t="s">
        <v>729</v>
      </c>
      <c r="J91" s="1">
        <v>10.11</v>
      </c>
      <c r="K91" s="1" t="s">
        <v>25</v>
      </c>
    </row>
    <row r="92" hidden="1" customHeight="1" spans="1:11">
      <c r="A92" s="3">
        <v>92</v>
      </c>
      <c r="B92" s="1" t="s">
        <v>730</v>
      </c>
      <c r="C92" s="1" t="s">
        <v>669</v>
      </c>
      <c r="D92" s="1" t="s">
        <v>226</v>
      </c>
      <c r="E92" s="1" t="s">
        <v>22</v>
      </c>
      <c r="F92" s="1">
        <v>0.22</v>
      </c>
      <c r="G92" s="1">
        <v>480</v>
      </c>
      <c r="H92" s="3">
        <v>105.6</v>
      </c>
      <c r="I92" s="1"/>
      <c r="J92" s="1">
        <v>10.11</v>
      </c>
      <c r="K92" s="1" t="s">
        <v>25</v>
      </c>
    </row>
    <row r="93" hidden="1" customHeight="1" spans="1:11">
      <c r="A93" s="3">
        <v>93</v>
      </c>
      <c r="B93" s="1" t="s">
        <v>728</v>
      </c>
      <c r="C93" s="1" t="s">
        <v>669</v>
      </c>
      <c r="D93" s="1" t="s">
        <v>697</v>
      </c>
      <c r="E93" s="1" t="s">
        <v>22</v>
      </c>
      <c r="F93" s="1">
        <v>0.39</v>
      </c>
      <c r="G93" s="1">
        <v>480</v>
      </c>
      <c r="H93" s="3">
        <v>187.2</v>
      </c>
      <c r="I93" s="1"/>
      <c r="J93" s="1">
        <v>10.11</v>
      </c>
      <c r="K93" s="1" t="s">
        <v>25</v>
      </c>
    </row>
    <row r="94" hidden="1" customHeight="1" spans="1:11">
      <c r="A94" s="3">
        <v>94</v>
      </c>
      <c r="B94" s="1" t="s">
        <v>703</v>
      </c>
      <c r="C94" s="1" t="s">
        <v>669</v>
      </c>
      <c r="D94" s="1" t="s">
        <v>697</v>
      </c>
      <c r="E94" s="1" t="s">
        <v>22</v>
      </c>
      <c r="F94" s="1">
        <v>0.19</v>
      </c>
      <c r="G94" s="1">
        <v>480</v>
      </c>
      <c r="H94" s="3">
        <v>91.2</v>
      </c>
      <c r="I94" s="1"/>
      <c r="J94" s="1">
        <v>10.11</v>
      </c>
      <c r="K94" s="1" t="s">
        <v>25</v>
      </c>
    </row>
    <row r="95" hidden="1" customHeight="1" spans="1:11">
      <c r="A95" s="3">
        <v>95</v>
      </c>
      <c r="B95" s="1" t="s">
        <v>731</v>
      </c>
      <c r="C95" s="1" t="s">
        <v>669</v>
      </c>
      <c r="D95" s="1" t="s">
        <v>697</v>
      </c>
      <c r="E95" s="1" t="s">
        <v>22</v>
      </c>
      <c r="F95" s="1">
        <v>0.54</v>
      </c>
      <c r="G95" s="1">
        <v>480</v>
      </c>
      <c r="H95" s="3">
        <v>259.2</v>
      </c>
      <c r="I95" s="1"/>
      <c r="J95" s="1">
        <v>10.11</v>
      </c>
      <c r="K95" s="1" t="s">
        <v>25</v>
      </c>
    </row>
    <row r="96" hidden="1" customHeight="1" spans="1:11">
      <c r="A96" s="3">
        <v>96</v>
      </c>
      <c r="B96" s="1" t="s">
        <v>715</v>
      </c>
      <c r="C96" s="1" t="s">
        <v>669</v>
      </c>
      <c r="D96" s="1" t="s">
        <v>328</v>
      </c>
      <c r="E96" s="1" t="s">
        <v>22</v>
      </c>
      <c r="F96" s="1">
        <v>0.24</v>
      </c>
      <c r="G96" s="1">
        <v>480</v>
      </c>
      <c r="H96" s="3">
        <v>115.2</v>
      </c>
      <c r="I96" s="1"/>
      <c r="J96" s="1">
        <v>10.11</v>
      </c>
      <c r="K96" s="1" t="s">
        <v>25</v>
      </c>
    </row>
    <row r="97" hidden="1" customHeight="1" spans="1:11">
      <c r="A97" s="3">
        <v>97</v>
      </c>
      <c r="B97" s="1" t="s">
        <v>732</v>
      </c>
      <c r="C97" s="1" t="s">
        <v>669</v>
      </c>
      <c r="D97" s="1" t="s">
        <v>733</v>
      </c>
      <c r="E97" s="1" t="s">
        <v>22</v>
      </c>
      <c r="F97" s="1">
        <v>0.36</v>
      </c>
      <c r="G97" s="1">
        <v>480</v>
      </c>
      <c r="H97" s="3">
        <v>172.8</v>
      </c>
      <c r="I97" s="1"/>
      <c r="J97" s="1">
        <v>10.11</v>
      </c>
      <c r="K97" s="1" t="s">
        <v>25</v>
      </c>
    </row>
    <row r="98" hidden="1" customHeight="1" spans="1:11">
      <c r="A98" s="3">
        <v>98</v>
      </c>
      <c r="B98" s="1" t="s">
        <v>709</v>
      </c>
      <c r="C98" s="1" t="s">
        <v>669</v>
      </c>
      <c r="D98" s="1" t="s">
        <v>733</v>
      </c>
      <c r="E98" s="1" t="s">
        <v>22</v>
      </c>
      <c r="F98" s="1">
        <v>0.03</v>
      </c>
      <c r="G98" s="1">
        <v>480</v>
      </c>
      <c r="H98" s="3">
        <v>14.4</v>
      </c>
      <c r="I98" s="1"/>
      <c r="J98" s="1">
        <v>10.11</v>
      </c>
      <c r="K98" s="1"/>
    </row>
    <row r="99" hidden="1" customHeight="1" spans="1:11">
      <c r="A99" s="3">
        <v>99</v>
      </c>
      <c r="B99" s="1" t="s">
        <v>727</v>
      </c>
      <c r="C99" s="1" t="s">
        <v>669</v>
      </c>
      <c r="D99" s="1" t="s">
        <v>733</v>
      </c>
      <c r="E99" s="1" t="s">
        <v>22</v>
      </c>
      <c r="F99" s="1">
        <v>0.12</v>
      </c>
      <c r="G99" s="1">
        <v>480</v>
      </c>
      <c r="H99" s="3">
        <v>57.6</v>
      </c>
      <c r="I99" s="1"/>
      <c r="J99" s="1">
        <v>10.11</v>
      </c>
      <c r="K99" s="1" t="s">
        <v>25</v>
      </c>
    </row>
    <row r="100" hidden="1" customHeight="1" spans="1:11">
      <c r="A100" s="3">
        <v>100</v>
      </c>
      <c r="B100" s="1" t="s">
        <v>719</v>
      </c>
      <c r="C100" s="1" t="s">
        <v>669</v>
      </c>
      <c r="D100" s="1" t="s">
        <v>659</v>
      </c>
      <c r="E100" s="1" t="s">
        <v>22</v>
      </c>
      <c r="F100" s="1">
        <v>0.3</v>
      </c>
      <c r="G100" s="1">
        <v>480</v>
      </c>
      <c r="H100" s="3">
        <v>144</v>
      </c>
      <c r="I100" s="1"/>
      <c r="J100" s="1">
        <v>10.11</v>
      </c>
      <c r="K100" s="1" t="s">
        <v>25</v>
      </c>
    </row>
    <row r="101" hidden="1" customHeight="1" spans="1:11">
      <c r="A101" s="3">
        <v>101</v>
      </c>
      <c r="B101" s="1" t="s">
        <v>801</v>
      </c>
      <c r="C101" s="1" t="s">
        <v>669</v>
      </c>
      <c r="D101" s="1" t="s">
        <v>659</v>
      </c>
      <c r="E101" s="1" t="s">
        <v>22</v>
      </c>
      <c r="F101" s="1">
        <v>0.62</v>
      </c>
      <c r="G101" s="1">
        <v>480</v>
      </c>
      <c r="H101" s="3">
        <v>297.6</v>
      </c>
      <c r="I101" s="1"/>
      <c r="J101" s="1">
        <v>10.11</v>
      </c>
      <c r="K101" s="1"/>
    </row>
    <row r="102" hidden="1" customHeight="1" spans="1:11">
      <c r="A102" s="3">
        <v>102</v>
      </c>
      <c r="B102" s="1" t="s">
        <v>727</v>
      </c>
      <c r="C102" s="1" t="s">
        <v>669</v>
      </c>
      <c r="D102" s="1" t="s">
        <v>734</v>
      </c>
      <c r="E102" s="1" t="s">
        <v>22</v>
      </c>
      <c r="F102" s="1">
        <v>0.09</v>
      </c>
      <c r="G102" s="1">
        <v>480</v>
      </c>
      <c r="H102" s="3">
        <v>43.2</v>
      </c>
      <c r="I102" s="1"/>
      <c r="J102" s="1">
        <v>10.11</v>
      </c>
      <c r="K102" s="1" t="s">
        <v>25</v>
      </c>
    </row>
    <row r="103" hidden="1" customHeight="1" spans="1:11">
      <c r="A103" s="3">
        <v>103</v>
      </c>
      <c r="B103" s="1" t="s">
        <v>801</v>
      </c>
      <c r="C103" s="1" t="s">
        <v>669</v>
      </c>
      <c r="D103" s="1" t="s">
        <v>194</v>
      </c>
      <c r="E103" s="1" t="s">
        <v>22</v>
      </c>
      <c r="F103" s="1">
        <v>0.31</v>
      </c>
      <c r="G103" s="1">
        <v>480</v>
      </c>
      <c r="H103" s="3">
        <v>148.8</v>
      </c>
      <c r="I103" s="1"/>
      <c r="J103" s="1">
        <v>10.11</v>
      </c>
      <c r="K103" s="1"/>
    </row>
    <row r="104" hidden="1" customHeight="1" spans="1:11">
      <c r="A104" s="3">
        <v>104</v>
      </c>
      <c r="B104" s="1" t="s">
        <v>719</v>
      </c>
      <c r="C104" s="1" t="s">
        <v>669</v>
      </c>
      <c r="D104" s="1" t="s">
        <v>194</v>
      </c>
      <c r="E104" s="1" t="s">
        <v>22</v>
      </c>
      <c r="F104" s="1">
        <v>0.26</v>
      </c>
      <c r="G104" s="1">
        <v>480</v>
      </c>
      <c r="H104" s="3">
        <v>124.8</v>
      </c>
      <c r="I104" s="1"/>
      <c r="J104" s="1">
        <v>10.11</v>
      </c>
      <c r="K104" s="1" t="s">
        <v>25</v>
      </c>
    </row>
    <row r="105" hidden="1" customHeight="1" spans="1:11">
      <c r="A105" s="3">
        <v>105</v>
      </c>
      <c r="B105" s="1" t="s">
        <v>727</v>
      </c>
      <c r="C105" s="1" t="s">
        <v>669</v>
      </c>
      <c r="D105" s="1" t="s">
        <v>194</v>
      </c>
      <c r="E105" s="1" t="s">
        <v>22</v>
      </c>
      <c r="F105" s="1">
        <v>0.15</v>
      </c>
      <c r="G105" s="1">
        <v>480</v>
      </c>
      <c r="H105" s="3">
        <v>72</v>
      </c>
      <c r="I105" s="1"/>
      <c r="J105" s="1">
        <v>10.11</v>
      </c>
      <c r="K105" s="1" t="s">
        <v>25</v>
      </c>
    </row>
    <row r="106" hidden="1" customHeight="1" spans="1:11">
      <c r="A106" s="3">
        <v>106</v>
      </c>
      <c r="B106" s="1" t="s">
        <v>699</v>
      </c>
      <c r="C106" s="1" t="s">
        <v>669</v>
      </c>
      <c r="D106" s="1" t="s">
        <v>194</v>
      </c>
      <c r="E106" s="1" t="s">
        <v>22</v>
      </c>
      <c r="F106" s="1">
        <v>0.02</v>
      </c>
      <c r="G106" s="1">
        <v>480</v>
      </c>
      <c r="H106" s="3">
        <v>9.6</v>
      </c>
      <c r="I106" s="1"/>
      <c r="J106" s="1">
        <v>10.11</v>
      </c>
      <c r="K106" s="1" t="s">
        <v>25</v>
      </c>
    </row>
    <row r="107" hidden="1" customHeight="1" spans="1:11">
      <c r="A107" s="3">
        <v>107</v>
      </c>
      <c r="B107" s="1" t="s">
        <v>731</v>
      </c>
      <c r="C107" s="1" t="s">
        <v>669</v>
      </c>
      <c r="D107" s="1" t="s">
        <v>283</v>
      </c>
      <c r="E107" s="1" t="s">
        <v>22</v>
      </c>
      <c r="F107" s="1">
        <v>0.3</v>
      </c>
      <c r="G107" s="1">
        <v>480</v>
      </c>
      <c r="H107" s="3">
        <v>144</v>
      </c>
      <c r="I107" s="1"/>
      <c r="J107" s="1">
        <v>10.11</v>
      </c>
      <c r="K107" s="1" t="s">
        <v>25</v>
      </c>
    </row>
    <row r="108" hidden="1" customHeight="1" spans="1:11">
      <c r="A108" s="3">
        <v>108</v>
      </c>
      <c r="B108" s="1" t="s">
        <v>732</v>
      </c>
      <c r="C108" s="1" t="s">
        <v>669</v>
      </c>
      <c r="D108" s="1" t="s">
        <v>283</v>
      </c>
      <c r="E108" s="1" t="s">
        <v>22</v>
      </c>
      <c r="F108" s="1">
        <v>0.37</v>
      </c>
      <c r="G108" s="1">
        <v>480</v>
      </c>
      <c r="H108" s="3">
        <v>177.6</v>
      </c>
      <c r="I108" s="1"/>
      <c r="J108" s="1">
        <v>10.11</v>
      </c>
      <c r="K108" s="1" t="s">
        <v>25</v>
      </c>
    </row>
    <row r="109" hidden="1" customHeight="1" spans="1:11">
      <c r="A109" s="3">
        <v>109</v>
      </c>
      <c r="B109" s="1" t="s">
        <v>698</v>
      </c>
      <c r="C109" s="1" t="s">
        <v>669</v>
      </c>
      <c r="D109" s="1" t="s">
        <v>283</v>
      </c>
      <c r="E109" s="1" t="s">
        <v>22</v>
      </c>
      <c r="F109" s="1">
        <v>0.89</v>
      </c>
      <c r="G109" s="1">
        <v>480</v>
      </c>
      <c r="H109" s="3">
        <v>427.2</v>
      </c>
      <c r="I109" s="1"/>
      <c r="J109" s="1">
        <v>10.11</v>
      </c>
      <c r="K109" s="1" t="s">
        <v>25</v>
      </c>
    </row>
    <row r="110" hidden="1" customHeight="1" spans="1:11">
      <c r="A110" s="3">
        <v>110</v>
      </c>
      <c r="B110" s="1" t="s">
        <v>736</v>
      </c>
      <c r="C110" s="1" t="s">
        <v>669</v>
      </c>
      <c r="D110" s="1" t="s">
        <v>178</v>
      </c>
      <c r="E110" s="1" t="s">
        <v>22</v>
      </c>
      <c r="F110" s="1">
        <v>0.24</v>
      </c>
      <c r="G110" s="1">
        <v>480</v>
      </c>
      <c r="H110" s="3">
        <v>115.2</v>
      </c>
      <c r="I110" s="1"/>
      <c r="J110" s="1">
        <v>10.11</v>
      </c>
      <c r="K110" s="1" t="s">
        <v>25</v>
      </c>
    </row>
    <row r="111" hidden="1" customHeight="1" spans="1:11">
      <c r="A111" s="3">
        <v>111</v>
      </c>
      <c r="B111" s="1" t="s">
        <v>785</v>
      </c>
      <c r="C111" s="1" t="s">
        <v>669</v>
      </c>
      <c r="D111" s="1" t="s">
        <v>283</v>
      </c>
      <c r="E111" s="1" t="s">
        <v>22</v>
      </c>
      <c r="F111" s="1">
        <v>0.5</v>
      </c>
      <c r="G111" s="1">
        <v>480</v>
      </c>
      <c r="H111" s="3">
        <v>240</v>
      </c>
      <c r="I111" s="1"/>
      <c r="J111" s="1">
        <v>10.11</v>
      </c>
      <c r="K111" s="1" t="s">
        <v>25</v>
      </c>
    </row>
    <row r="112" hidden="1" customHeight="1" spans="1:11">
      <c r="A112" s="3">
        <v>112</v>
      </c>
      <c r="B112" s="1" t="s">
        <v>724</v>
      </c>
      <c r="C112" s="1" t="s">
        <v>669</v>
      </c>
      <c r="D112" s="1" t="s">
        <v>283</v>
      </c>
      <c r="E112" s="1" t="s">
        <v>22</v>
      </c>
      <c r="F112" s="1">
        <v>0.39</v>
      </c>
      <c r="G112" s="1">
        <v>480</v>
      </c>
      <c r="H112" s="3">
        <v>187.2</v>
      </c>
      <c r="I112" s="1"/>
      <c r="J112" s="1">
        <v>10.11</v>
      </c>
      <c r="K112" s="1" t="s">
        <v>25</v>
      </c>
    </row>
    <row r="113" hidden="1" customHeight="1" spans="1:11">
      <c r="A113" s="3">
        <v>113</v>
      </c>
      <c r="B113" s="1" t="s">
        <v>757</v>
      </c>
      <c r="C113" s="1" t="s">
        <v>669</v>
      </c>
      <c r="D113" s="1" t="s">
        <v>738</v>
      </c>
      <c r="E113" s="1" t="s">
        <v>22</v>
      </c>
      <c r="F113" s="1">
        <v>0.27</v>
      </c>
      <c r="G113" s="1">
        <v>480</v>
      </c>
      <c r="H113" s="3">
        <v>129.6</v>
      </c>
      <c r="I113" s="1"/>
      <c r="J113" s="1">
        <v>10.11</v>
      </c>
      <c r="K113" s="1" t="s">
        <v>25</v>
      </c>
    </row>
    <row r="114" hidden="1" customHeight="1" spans="1:11">
      <c r="A114" s="3">
        <v>114</v>
      </c>
      <c r="B114" s="1" t="s">
        <v>727</v>
      </c>
      <c r="C114" s="1" t="s">
        <v>669</v>
      </c>
      <c r="D114" s="1" t="s">
        <v>185</v>
      </c>
      <c r="E114" s="1" t="s">
        <v>22</v>
      </c>
      <c r="F114" s="1">
        <v>0.62</v>
      </c>
      <c r="G114" s="1">
        <v>480</v>
      </c>
      <c r="H114" s="3">
        <v>297.6</v>
      </c>
      <c r="I114" s="1"/>
      <c r="J114" s="1">
        <v>10.11</v>
      </c>
      <c r="K114" s="1" t="s">
        <v>25</v>
      </c>
    </row>
    <row r="115" hidden="1" customHeight="1" spans="1:11">
      <c r="A115" s="3">
        <v>115</v>
      </c>
      <c r="B115" s="1" t="s">
        <v>724</v>
      </c>
      <c r="C115" s="1" t="s">
        <v>669</v>
      </c>
      <c r="D115" s="1" t="s">
        <v>739</v>
      </c>
      <c r="E115" s="1" t="s">
        <v>22</v>
      </c>
      <c r="F115" s="1">
        <v>0.41</v>
      </c>
      <c r="G115" s="1">
        <v>480</v>
      </c>
      <c r="H115" s="3">
        <v>196.8</v>
      </c>
      <c r="I115" s="1"/>
      <c r="J115" s="1">
        <v>10.11</v>
      </c>
      <c r="K115" s="1" t="s">
        <v>25</v>
      </c>
    </row>
    <row r="116" hidden="1" customHeight="1" spans="1:11">
      <c r="A116" s="3">
        <v>116</v>
      </c>
      <c r="B116" s="1" t="s">
        <v>740</v>
      </c>
      <c r="C116" s="1" t="s">
        <v>669</v>
      </c>
      <c r="D116" s="1" t="s">
        <v>739</v>
      </c>
      <c r="E116" s="1" t="s">
        <v>22</v>
      </c>
      <c r="F116" s="1">
        <v>0.14</v>
      </c>
      <c r="G116" s="1">
        <v>480</v>
      </c>
      <c r="H116" s="3">
        <v>67.2</v>
      </c>
      <c r="I116" s="1"/>
      <c r="J116" s="1">
        <v>10.11</v>
      </c>
      <c r="K116" s="1" t="s">
        <v>25</v>
      </c>
    </row>
    <row r="117" hidden="1" customHeight="1" spans="1:11">
      <c r="A117" s="3">
        <v>117</v>
      </c>
      <c r="B117" s="1" t="s">
        <v>728</v>
      </c>
      <c r="C117" s="1" t="s">
        <v>669</v>
      </c>
      <c r="D117" s="1" t="s">
        <v>739</v>
      </c>
      <c r="E117" s="1" t="s">
        <v>22</v>
      </c>
      <c r="F117" s="1">
        <v>0.45</v>
      </c>
      <c r="G117" s="1">
        <v>480</v>
      </c>
      <c r="H117" s="3">
        <v>216</v>
      </c>
      <c r="I117" s="1"/>
      <c r="J117" s="1">
        <v>10.11</v>
      </c>
      <c r="K117" s="1" t="s">
        <v>25</v>
      </c>
    </row>
    <row r="118" hidden="1" customHeight="1" spans="1:11">
      <c r="A118" s="3">
        <v>118</v>
      </c>
      <c r="B118" s="1" t="s">
        <v>736</v>
      </c>
      <c r="C118" s="1" t="s">
        <v>669</v>
      </c>
      <c r="D118" s="1" t="s">
        <v>717</v>
      </c>
      <c r="E118" s="1" t="s">
        <v>22</v>
      </c>
      <c r="F118" s="1">
        <v>0.31</v>
      </c>
      <c r="G118" s="1">
        <v>480</v>
      </c>
      <c r="H118" s="3">
        <v>148.8</v>
      </c>
      <c r="I118" s="1"/>
      <c r="J118" s="1">
        <v>10.11</v>
      </c>
      <c r="K118" s="1" t="s">
        <v>25</v>
      </c>
    </row>
    <row r="119" hidden="1" customHeight="1" spans="1:11">
      <c r="A119" s="3">
        <v>119</v>
      </c>
      <c r="B119" s="1" t="s">
        <v>741</v>
      </c>
      <c r="C119" s="1" t="s">
        <v>669</v>
      </c>
      <c r="D119" s="1" t="s">
        <v>717</v>
      </c>
      <c r="E119" s="1" t="s">
        <v>22</v>
      </c>
      <c r="F119" s="1">
        <v>0.66</v>
      </c>
      <c r="G119" s="1">
        <v>480</v>
      </c>
      <c r="H119" s="3">
        <v>316.8</v>
      </c>
      <c r="I119" s="1"/>
      <c r="J119" s="1">
        <v>10.11</v>
      </c>
      <c r="K119" s="1" t="s">
        <v>25</v>
      </c>
    </row>
    <row r="120" hidden="1" customHeight="1" spans="1:11">
      <c r="A120" s="3">
        <v>120</v>
      </c>
      <c r="B120" s="1" t="s">
        <v>699</v>
      </c>
      <c r="C120" s="1" t="s">
        <v>669</v>
      </c>
      <c r="D120" s="1" t="s">
        <v>717</v>
      </c>
      <c r="E120" s="1" t="s">
        <v>22</v>
      </c>
      <c r="F120" s="1">
        <v>0.6</v>
      </c>
      <c r="G120" s="1">
        <v>480</v>
      </c>
      <c r="H120" s="3">
        <v>288</v>
      </c>
      <c r="I120" s="1"/>
      <c r="J120" s="1">
        <v>10.11</v>
      </c>
      <c r="K120" s="1" t="s">
        <v>25</v>
      </c>
    </row>
    <row r="121" hidden="1" customHeight="1" spans="1:11">
      <c r="A121" s="3">
        <v>121</v>
      </c>
      <c r="B121" s="1" t="s">
        <v>730</v>
      </c>
      <c r="C121" s="1" t="s">
        <v>669</v>
      </c>
      <c r="D121" s="1" t="s">
        <v>742</v>
      </c>
      <c r="E121" s="1" t="s">
        <v>13</v>
      </c>
      <c r="F121" s="1">
        <v>0.07</v>
      </c>
      <c r="G121" s="1">
        <v>380</v>
      </c>
      <c r="H121" s="3">
        <v>26.6</v>
      </c>
      <c r="I121" s="1"/>
      <c r="J121" s="1">
        <v>10.11</v>
      </c>
      <c r="K121" s="1" t="s">
        <v>25</v>
      </c>
    </row>
    <row r="122" hidden="1" customHeight="1" spans="1:11">
      <c r="A122" s="3">
        <v>122</v>
      </c>
      <c r="B122" s="1" t="s">
        <v>757</v>
      </c>
      <c r="C122" s="1" t="s">
        <v>669</v>
      </c>
      <c r="D122" s="1" t="s">
        <v>742</v>
      </c>
      <c r="E122" s="1" t="s">
        <v>13</v>
      </c>
      <c r="F122" s="1">
        <v>0.1</v>
      </c>
      <c r="G122" s="1">
        <v>380</v>
      </c>
      <c r="H122" s="3">
        <v>38</v>
      </c>
      <c r="I122" s="1"/>
      <c r="J122" s="1">
        <v>10.11</v>
      </c>
      <c r="K122" s="1" t="s">
        <v>25</v>
      </c>
    </row>
    <row r="123" hidden="1" customHeight="1" spans="1:11">
      <c r="A123" s="3">
        <v>123</v>
      </c>
      <c r="B123" s="1" t="s">
        <v>714</v>
      </c>
      <c r="C123" s="1" t="s">
        <v>669</v>
      </c>
      <c r="D123" s="1" t="s">
        <v>742</v>
      </c>
      <c r="E123" s="1" t="s">
        <v>13</v>
      </c>
      <c r="F123" s="1">
        <v>0.65</v>
      </c>
      <c r="G123" s="1">
        <v>380</v>
      </c>
      <c r="H123" s="3">
        <v>247</v>
      </c>
      <c r="I123" s="1"/>
      <c r="J123" s="1">
        <v>10.11</v>
      </c>
      <c r="K123" s="1" t="s">
        <v>25</v>
      </c>
    </row>
    <row r="124" hidden="1" customHeight="1" spans="1:11">
      <c r="A124" s="3">
        <v>124</v>
      </c>
      <c r="B124" s="1" t="s">
        <v>730</v>
      </c>
      <c r="C124" s="1" t="s">
        <v>669</v>
      </c>
      <c r="D124" s="1" t="s">
        <v>742</v>
      </c>
      <c r="E124" s="1" t="s">
        <v>13</v>
      </c>
      <c r="F124" s="1">
        <v>0.59</v>
      </c>
      <c r="G124" s="1">
        <v>380</v>
      </c>
      <c r="H124" s="3">
        <v>224.2</v>
      </c>
      <c r="I124" s="1"/>
      <c r="J124" s="1">
        <v>10.11</v>
      </c>
      <c r="K124" s="1" t="s">
        <v>25</v>
      </c>
    </row>
    <row r="125" hidden="1" customHeight="1" spans="1:11">
      <c r="A125" s="3">
        <v>125</v>
      </c>
      <c r="B125" s="1" t="s">
        <v>724</v>
      </c>
      <c r="C125" s="1" t="s">
        <v>669</v>
      </c>
      <c r="D125" s="1" t="s">
        <v>742</v>
      </c>
      <c r="E125" s="1" t="s">
        <v>13</v>
      </c>
      <c r="F125" s="1">
        <v>0.46</v>
      </c>
      <c r="G125" s="1">
        <v>380</v>
      </c>
      <c r="H125" s="3">
        <v>174.8</v>
      </c>
      <c r="I125" s="1"/>
      <c r="J125" s="1">
        <v>10.11</v>
      </c>
      <c r="K125" s="1" t="s">
        <v>25</v>
      </c>
    </row>
    <row r="126" hidden="1" customHeight="1" spans="1:11">
      <c r="A126" s="3">
        <v>126</v>
      </c>
      <c r="B126" s="1" t="s">
        <v>714</v>
      </c>
      <c r="C126" s="1" t="s">
        <v>669</v>
      </c>
      <c r="D126" s="1" t="s">
        <v>742</v>
      </c>
      <c r="E126" s="1" t="s">
        <v>13</v>
      </c>
      <c r="F126" s="1">
        <v>0.51</v>
      </c>
      <c r="G126" s="1">
        <v>380</v>
      </c>
      <c r="H126" s="3">
        <v>193.8</v>
      </c>
      <c r="I126" s="1"/>
      <c r="J126" s="1">
        <v>10.11</v>
      </c>
      <c r="K126" s="1" t="s">
        <v>25</v>
      </c>
    </row>
    <row r="127" hidden="1" customHeight="1" spans="1:11">
      <c r="A127" s="3">
        <v>127</v>
      </c>
      <c r="B127" s="1" t="s">
        <v>714</v>
      </c>
      <c r="C127" s="1" t="s">
        <v>669</v>
      </c>
      <c r="D127" s="1" t="s">
        <v>742</v>
      </c>
      <c r="E127" s="1" t="s">
        <v>13</v>
      </c>
      <c r="F127" s="1">
        <v>0.2</v>
      </c>
      <c r="G127" s="1">
        <v>380</v>
      </c>
      <c r="H127" s="3">
        <v>76</v>
      </c>
      <c r="I127" s="1"/>
      <c r="J127" s="1">
        <v>10.11</v>
      </c>
      <c r="K127" s="1" t="s">
        <v>25</v>
      </c>
    </row>
    <row r="128" hidden="1" customHeight="1" spans="1:11">
      <c r="A128" s="3">
        <v>128</v>
      </c>
      <c r="B128" s="1" t="s">
        <v>698</v>
      </c>
      <c r="C128" s="1" t="s">
        <v>669</v>
      </c>
      <c r="D128" s="1" t="s">
        <v>742</v>
      </c>
      <c r="E128" s="1" t="s">
        <v>13</v>
      </c>
      <c r="F128" s="1">
        <v>0.3</v>
      </c>
      <c r="G128" s="1">
        <v>380</v>
      </c>
      <c r="H128" s="3">
        <v>114</v>
      </c>
      <c r="I128" s="1"/>
      <c r="J128" s="1">
        <v>10.11</v>
      </c>
      <c r="K128" s="1" t="s">
        <v>25</v>
      </c>
    </row>
    <row r="129" hidden="1" customHeight="1" spans="1:11">
      <c r="A129" s="3">
        <v>129</v>
      </c>
      <c r="B129" s="1" t="s">
        <v>725</v>
      </c>
      <c r="C129" s="1" t="s">
        <v>669</v>
      </c>
      <c r="D129" s="1" t="s">
        <v>742</v>
      </c>
      <c r="E129" s="1" t="s">
        <v>13</v>
      </c>
      <c r="F129" s="1">
        <v>0.12</v>
      </c>
      <c r="G129" s="1">
        <v>380</v>
      </c>
      <c r="H129" s="3">
        <v>45.6</v>
      </c>
      <c r="I129" s="1"/>
      <c r="J129" s="1">
        <v>10.11</v>
      </c>
      <c r="K129" s="1" t="s">
        <v>25</v>
      </c>
    </row>
    <row r="130" hidden="1" customHeight="1" spans="1:11">
      <c r="A130" s="3">
        <v>130</v>
      </c>
      <c r="B130" s="1" t="s">
        <v>719</v>
      </c>
      <c r="C130" s="1" t="s">
        <v>669</v>
      </c>
      <c r="D130" s="1" t="s">
        <v>742</v>
      </c>
      <c r="E130" s="1" t="s">
        <v>13</v>
      </c>
      <c r="F130" s="1">
        <v>0.77</v>
      </c>
      <c r="G130" s="1">
        <v>380</v>
      </c>
      <c r="H130" s="3">
        <v>292.6</v>
      </c>
      <c r="I130" s="1"/>
      <c r="J130" s="1">
        <v>10.11</v>
      </c>
      <c r="K130" s="1" t="s">
        <v>25</v>
      </c>
    </row>
    <row r="131" hidden="1" customHeight="1" spans="1:11">
      <c r="A131" s="3">
        <v>131</v>
      </c>
      <c r="B131" s="1" t="s">
        <v>698</v>
      </c>
      <c r="C131" s="1" t="s">
        <v>669</v>
      </c>
      <c r="D131" s="1" t="s">
        <v>217</v>
      </c>
      <c r="E131" s="1" t="s">
        <v>22</v>
      </c>
      <c r="F131" s="1">
        <v>0.2</v>
      </c>
      <c r="G131" s="1">
        <v>480</v>
      </c>
      <c r="H131" s="3">
        <v>96</v>
      </c>
      <c r="I131" s="1"/>
      <c r="J131" s="1">
        <v>10.11</v>
      </c>
      <c r="K131" s="1" t="s">
        <v>25</v>
      </c>
    </row>
    <row r="132" hidden="1" customHeight="1" spans="1:11">
      <c r="A132" s="3">
        <v>132</v>
      </c>
      <c r="B132" s="1" t="s">
        <v>740</v>
      </c>
      <c r="C132" s="1" t="s">
        <v>669</v>
      </c>
      <c r="D132" s="1" t="s">
        <v>217</v>
      </c>
      <c r="E132" s="1" t="s">
        <v>22</v>
      </c>
      <c r="F132" s="1">
        <v>0.56</v>
      </c>
      <c r="G132" s="1">
        <v>480</v>
      </c>
      <c r="H132" s="3">
        <v>268.8</v>
      </c>
      <c r="I132" s="1"/>
      <c r="J132" s="1">
        <v>10.11</v>
      </c>
      <c r="K132" s="1" t="s">
        <v>25</v>
      </c>
    </row>
    <row r="133" hidden="1" customHeight="1" spans="1:11">
      <c r="A133" s="3">
        <v>133</v>
      </c>
      <c r="B133" s="1" t="s">
        <v>743</v>
      </c>
      <c r="C133" s="1" t="s">
        <v>669</v>
      </c>
      <c r="D133" s="1" t="s">
        <v>217</v>
      </c>
      <c r="E133" s="1" t="s">
        <v>22</v>
      </c>
      <c r="F133" s="1">
        <v>0.1</v>
      </c>
      <c r="G133" s="1">
        <v>480</v>
      </c>
      <c r="H133" s="3">
        <v>48</v>
      </c>
      <c r="I133" s="1"/>
      <c r="J133" s="1">
        <v>10.11</v>
      </c>
      <c r="K133" s="1" t="s">
        <v>25</v>
      </c>
    </row>
    <row r="134" hidden="1" customHeight="1" spans="1:11">
      <c r="A134" s="3">
        <v>134</v>
      </c>
      <c r="B134" s="1" t="s">
        <v>732</v>
      </c>
      <c r="C134" s="1" t="s">
        <v>669</v>
      </c>
      <c r="D134" s="1" t="s">
        <v>217</v>
      </c>
      <c r="E134" s="1" t="s">
        <v>22</v>
      </c>
      <c r="F134" s="1">
        <v>0.2</v>
      </c>
      <c r="G134" s="1">
        <v>480</v>
      </c>
      <c r="H134" s="3">
        <v>96</v>
      </c>
      <c r="I134" s="1"/>
      <c r="J134" s="1">
        <v>10.11</v>
      </c>
      <c r="K134" s="1" t="s">
        <v>25</v>
      </c>
    </row>
    <row r="135" hidden="1" customHeight="1" spans="1:11">
      <c r="A135" s="3">
        <v>135</v>
      </c>
      <c r="B135" s="1" t="s">
        <v>736</v>
      </c>
      <c r="C135" s="1" t="s">
        <v>669</v>
      </c>
      <c r="D135" s="1" t="s">
        <v>217</v>
      </c>
      <c r="E135" s="1" t="s">
        <v>22</v>
      </c>
      <c r="F135" s="1">
        <v>0.2</v>
      </c>
      <c r="G135" s="1">
        <v>480</v>
      </c>
      <c r="H135" s="3">
        <v>96</v>
      </c>
      <c r="I135" s="1"/>
      <c r="J135" s="1">
        <v>10.11</v>
      </c>
      <c r="K135" s="1" t="s">
        <v>25</v>
      </c>
    </row>
    <row r="136" hidden="1" customHeight="1" spans="1:11">
      <c r="A136" s="3">
        <v>136</v>
      </c>
      <c r="B136" s="1" t="s">
        <v>725</v>
      </c>
      <c r="C136" s="1" t="s">
        <v>669</v>
      </c>
      <c r="D136" s="1" t="s">
        <v>217</v>
      </c>
      <c r="E136" s="1" t="s">
        <v>22</v>
      </c>
      <c r="F136" s="1">
        <v>0.25</v>
      </c>
      <c r="G136" s="1">
        <v>480</v>
      </c>
      <c r="H136" s="3">
        <v>120</v>
      </c>
      <c r="I136" s="1"/>
      <c r="J136" s="1">
        <v>10.11</v>
      </c>
      <c r="K136" s="1" t="s">
        <v>25</v>
      </c>
    </row>
    <row r="137" hidden="1" customHeight="1" spans="1:11">
      <c r="A137" s="3">
        <v>137</v>
      </c>
      <c r="B137" s="1" t="s">
        <v>741</v>
      </c>
      <c r="C137" s="1" t="s">
        <v>669</v>
      </c>
      <c r="D137" s="1" t="s">
        <v>217</v>
      </c>
      <c r="E137" s="1" t="s">
        <v>22</v>
      </c>
      <c r="F137" s="1">
        <v>0.58</v>
      </c>
      <c r="G137" s="1">
        <v>480</v>
      </c>
      <c r="H137" s="3">
        <v>278.4</v>
      </c>
      <c r="I137" s="1"/>
      <c r="J137" s="1">
        <v>10.11</v>
      </c>
      <c r="K137" s="1" t="s">
        <v>25</v>
      </c>
    </row>
    <row r="138" hidden="1" customHeight="1" spans="1:11">
      <c r="A138" s="15">
        <v>138</v>
      </c>
      <c r="B138" s="17" t="s">
        <v>799</v>
      </c>
      <c r="C138" s="16" t="s">
        <v>669</v>
      </c>
      <c r="D138" s="16" t="s">
        <v>217</v>
      </c>
      <c r="E138" s="16" t="s">
        <v>22</v>
      </c>
      <c r="F138" s="16">
        <v>0.35</v>
      </c>
      <c r="G138" s="16">
        <v>480</v>
      </c>
      <c r="H138" s="15">
        <v>168</v>
      </c>
      <c r="I138" s="16"/>
      <c r="J138" s="16">
        <v>10.11</v>
      </c>
      <c r="K138" s="16" t="s">
        <v>25</v>
      </c>
    </row>
    <row r="139" hidden="1" customHeight="1" spans="1:11">
      <c r="A139" s="3">
        <v>139</v>
      </c>
      <c r="B139" s="1" t="s">
        <v>725</v>
      </c>
      <c r="C139" s="1" t="s">
        <v>669</v>
      </c>
      <c r="D139" s="1" t="s">
        <v>745</v>
      </c>
      <c r="E139" s="1" t="s">
        <v>22</v>
      </c>
      <c r="F139" s="1">
        <v>0.63</v>
      </c>
      <c r="G139" s="1">
        <v>480</v>
      </c>
      <c r="H139" s="3">
        <v>302.4</v>
      </c>
      <c r="I139" s="1"/>
      <c r="J139" s="1">
        <v>10.11</v>
      </c>
      <c r="K139" s="1" t="s">
        <v>25</v>
      </c>
    </row>
    <row r="140" hidden="1" customHeight="1" spans="1:11">
      <c r="A140" s="3">
        <v>140</v>
      </c>
      <c r="B140" s="1" t="s">
        <v>715</v>
      </c>
      <c r="C140" s="1" t="s">
        <v>669</v>
      </c>
      <c r="D140" s="1" t="s">
        <v>745</v>
      </c>
      <c r="E140" s="1" t="s">
        <v>22</v>
      </c>
      <c r="F140" s="1">
        <v>0.4</v>
      </c>
      <c r="G140" s="1">
        <v>480</v>
      </c>
      <c r="H140" s="3">
        <v>192</v>
      </c>
      <c r="I140" s="1"/>
      <c r="J140" s="1">
        <v>10.11</v>
      </c>
      <c r="K140" s="1" t="s">
        <v>25</v>
      </c>
    </row>
    <row r="141" hidden="1" customHeight="1" spans="1:11">
      <c r="A141" s="3">
        <v>141</v>
      </c>
      <c r="B141" s="1" t="s">
        <v>746</v>
      </c>
      <c r="C141" s="1" t="s">
        <v>669</v>
      </c>
      <c r="D141" s="1" t="s">
        <v>745</v>
      </c>
      <c r="E141" s="1" t="s">
        <v>22</v>
      </c>
      <c r="F141" s="1">
        <v>0.4</v>
      </c>
      <c r="G141" s="1">
        <v>480</v>
      </c>
      <c r="H141" s="3">
        <v>192</v>
      </c>
      <c r="I141" s="1"/>
      <c r="J141" s="1">
        <v>10.11</v>
      </c>
      <c r="K141" s="1" t="s">
        <v>25</v>
      </c>
    </row>
    <row r="142" hidden="1" customHeight="1" spans="1:11">
      <c r="A142" s="3">
        <v>142</v>
      </c>
      <c r="B142" s="1" t="s">
        <v>747</v>
      </c>
      <c r="C142" s="1" t="s">
        <v>669</v>
      </c>
      <c r="D142" s="1" t="s">
        <v>745</v>
      </c>
      <c r="E142" s="1" t="s">
        <v>22</v>
      </c>
      <c r="F142" s="1">
        <v>0.4</v>
      </c>
      <c r="G142" s="1">
        <v>480</v>
      </c>
      <c r="H142" s="3">
        <v>192</v>
      </c>
      <c r="I142" s="1"/>
      <c r="J142" s="1">
        <v>10.11</v>
      </c>
      <c r="K142" s="1" t="s">
        <v>25</v>
      </c>
    </row>
    <row r="143" hidden="1" customHeight="1" spans="1:11">
      <c r="A143" s="3">
        <v>143</v>
      </c>
      <c r="B143" s="1" t="s">
        <v>748</v>
      </c>
      <c r="C143" s="1" t="s">
        <v>669</v>
      </c>
      <c r="D143" s="1" t="s">
        <v>745</v>
      </c>
      <c r="E143" s="1" t="s">
        <v>22</v>
      </c>
      <c r="F143" s="1">
        <v>0.4</v>
      </c>
      <c r="G143" s="1">
        <v>480</v>
      </c>
      <c r="H143" s="3">
        <v>192</v>
      </c>
      <c r="I143" s="1"/>
      <c r="J143" s="1">
        <v>10.11</v>
      </c>
      <c r="K143" s="1" t="s">
        <v>25</v>
      </c>
    </row>
    <row r="144" hidden="1" customHeight="1" spans="1:11">
      <c r="A144" s="3">
        <v>144</v>
      </c>
      <c r="B144" s="1" t="s">
        <v>715</v>
      </c>
      <c r="C144" s="1" t="s">
        <v>669</v>
      </c>
      <c r="D144" s="1" t="s">
        <v>749</v>
      </c>
      <c r="E144" s="1" t="s">
        <v>22</v>
      </c>
      <c r="F144" s="1">
        <v>0.15</v>
      </c>
      <c r="G144" s="1">
        <v>480</v>
      </c>
      <c r="H144" s="3">
        <v>72</v>
      </c>
      <c r="I144" s="1"/>
      <c r="J144" s="1">
        <v>10.11</v>
      </c>
      <c r="K144" s="1" t="s">
        <v>25</v>
      </c>
    </row>
    <row r="145" hidden="1" customHeight="1" spans="1:11">
      <c r="A145" s="3">
        <v>145</v>
      </c>
      <c r="B145" s="1" t="s">
        <v>746</v>
      </c>
      <c r="C145" s="1" t="s">
        <v>669</v>
      </c>
      <c r="D145" s="1" t="s">
        <v>749</v>
      </c>
      <c r="E145" s="1" t="s">
        <v>22</v>
      </c>
      <c r="F145" s="1">
        <v>0.15</v>
      </c>
      <c r="G145" s="1">
        <v>480</v>
      </c>
      <c r="H145" s="3">
        <v>72</v>
      </c>
      <c r="I145" s="1"/>
      <c r="J145" s="1">
        <v>10.11</v>
      </c>
      <c r="K145" s="1" t="s">
        <v>25</v>
      </c>
    </row>
    <row r="146" hidden="1" customHeight="1" spans="1:11">
      <c r="A146" s="3">
        <v>146</v>
      </c>
      <c r="B146" s="1" t="s">
        <v>747</v>
      </c>
      <c r="C146" s="1" t="s">
        <v>669</v>
      </c>
      <c r="D146" s="1" t="s">
        <v>749</v>
      </c>
      <c r="E146" s="1" t="s">
        <v>22</v>
      </c>
      <c r="F146" s="1">
        <v>0.15</v>
      </c>
      <c r="G146" s="1">
        <v>480</v>
      </c>
      <c r="H146" s="3">
        <v>72</v>
      </c>
      <c r="I146" s="1"/>
      <c r="J146" s="1">
        <v>10.11</v>
      </c>
      <c r="K146" s="1" t="s">
        <v>25</v>
      </c>
    </row>
    <row r="147" hidden="1" customHeight="1" spans="1:11">
      <c r="A147" s="3">
        <v>147</v>
      </c>
      <c r="B147" s="1" t="s">
        <v>748</v>
      </c>
      <c r="C147" s="1" t="s">
        <v>669</v>
      </c>
      <c r="D147" s="1" t="s">
        <v>749</v>
      </c>
      <c r="E147" s="1" t="s">
        <v>22</v>
      </c>
      <c r="F147" s="1">
        <v>0.15</v>
      </c>
      <c r="G147" s="1">
        <v>480</v>
      </c>
      <c r="H147" s="3">
        <v>72</v>
      </c>
      <c r="I147" s="1"/>
      <c r="J147" s="1">
        <v>10.11</v>
      </c>
      <c r="K147" s="1" t="s">
        <v>25</v>
      </c>
    </row>
    <row r="148" hidden="1" customHeight="1" spans="1:11">
      <c r="A148" s="3">
        <v>148</v>
      </c>
      <c r="B148" s="1" t="s">
        <v>715</v>
      </c>
      <c r="C148" s="1" t="s">
        <v>669</v>
      </c>
      <c r="D148" s="1" t="s">
        <v>749</v>
      </c>
      <c r="E148" s="1" t="s">
        <v>22</v>
      </c>
      <c r="F148" s="1">
        <v>0.13</v>
      </c>
      <c r="G148" s="1">
        <v>480</v>
      </c>
      <c r="H148" s="3">
        <v>62.4</v>
      </c>
      <c r="I148" s="1"/>
      <c r="J148" s="1">
        <v>10.11</v>
      </c>
      <c r="K148" s="1" t="s">
        <v>25</v>
      </c>
    </row>
    <row r="149" hidden="1" customHeight="1" spans="1:11">
      <c r="A149" s="3">
        <v>149</v>
      </c>
      <c r="B149" s="1" t="s">
        <v>740</v>
      </c>
      <c r="C149" s="1" t="s">
        <v>669</v>
      </c>
      <c r="D149" s="1" t="s">
        <v>215</v>
      </c>
      <c r="E149" s="1" t="s">
        <v>22</v>
      </c>
      <c r="F149" s="1">
        <v>0.02</v>
      </c>
      <c r="G149" s="1">
        <v>480</v>
      </c>
      <c r="H149" s="3">
        <v>9.6</v>
      </c>
      <c r="I149" s="1"/>
      <c r="J149" s="1">
        <v>10.11</v>
      </c>
      <c r="K149" s="1" t="s">
        <v>25</v>
      </c>
    </row>
    <row r="150" hidden="1" customHeight="1" spans="1:11">
      <c r="A150" s="3">
        <v>150</v>
      </c>
      <c r="B150" s="1" t="s">
        <v>715</v>
      </c>
      <c r="C150" s="1" t="s">
        <v>669</v>
      </c>
      <c r="D150" s="1" t="s">
        <v>415</v>
      </c>
      <c r="E150" s="1" t="s">
        <v>22</v>
      </c>
      <c r="F150" s="1">
        <v>0.1</v>
      </c>
      <c r="G150" s="1">
        <v>480</v>
      </c>
      <c r="H150" s="3">
        <v>48</v>
      </c>
      <c r="I150" s="1"/>
      <c r="J150" s="1">
        <v>10.11</v>
      </c>
      <c r="K150" s="1" t="s">
        <v>25</v>
      </c>
    </row>
    <row r="151" hidden="1" customHeight="1" spans="1:11">
      <c r="A151" s="3">
        <v>151</v>
      </c>
      <c r="B151" s="1" t="s">
        <v>748</v>
      </c>
      <c r="C151" s="1" t="s">
        <v>669</v>
      </c>
      <c r="D151" s="1" t="s">
        <v>415</v>
      </c>
      <c r="E151" s="1" t="s">
        <v>22</v>
      </c>
      <c r="F151" s="1">
        <v>0.1</v>
      </c>
      <c r="G151" s="1">
        <v>480</v>
      </c>
      <c r="H151" s="3">
        <v>48</v>
      </c>
      <c r="I151" s="1"/>
      <c r="J151" s="1">
        <v>10.11</v>
      </c>
      <c r="K151" s="1" t="s">
        <v>25</v>
      </c>
    </row>
    <row r="152" hidden="1" customHeight="1" spans="1:11">
      <c r="A152" s="3">
        <v>152</v>
      </c>
      <c r="B152" s="1" t="s">
        <v>747</v>
      </c>
      <c r="C152" s="1" t="s">
        <v>669</v>
      </c>
      <c r="D152" s="1" t="s">
        <v>415</v>
      </c>
      <c r="E152" s="1" t="s">
        <v>22</v>
      </c>
      <c r="F152" s="1">
        <v>0.1</v>
      </c>
      <c r="G152" s="1">
        <v>480</v>
      </c>
      <c r="H152" s="3">
        <v>48</v>
      </c>
      <c r="I152" s="1"/>
      <c r="J152" s="1">
        <v>10.11</v>
      </c>
      <c r="K152" s="1" t="s">
        <v>25</v>
      </c>
    </row>
    <row r="153" hidden="1" customHeight="1" spans="1:11">
      <c r="A153" s="3">
        <v>153</v>
      </c>
      <c r="B153" s="1" t="s">
        <v>746</v>
      </c>
      <c r="C153" s="1" t="s">
        <v>669</v>
      </c>
      <c r="D153" s="1" t="s">
        <v>415</v>
      </c>
      <c r="E153" s="1" t="s">
        <v>22</v>
      </c>
      <c r="F153" s="1">
        <v>0.1</v>
      </c>
      <c r="G153" s="1">
        <v>480</v>
      </c>
      <c r="H153" s="3">
        <v>48</v>
      </c>
      <c r="I153" s="1"/>
      <c r="J153" s="1">
        <v>10.11</v>
      </c>
      <c r="K153" s="1" t="s">
        <v>25</v>
      </c>
    </row>
    <row r="154" hidden="1" customHeight="1" spans="1:11">
      <c r="A154" s="3">
        <v>154</v>
      </c>
      <c r="B154" s="1" t="s">
        <v>696</v>
      </c>
      <c r="C154" s="1" t="s">
        <v>669</v>
      </c>
      <c r="D154" s="1" t="s">
        <v>415</v>
      </c>
      <c r="E154" s="1" t="s">
        <v>22</v>
      </c>
      <c r="F154" s="1">
        <v>0.4</v>
      </c>
      <c r="G154" s="1">
        <v>480</v>
      </c>
      <c r="H154" s="3">
        <v>192</v>
      </c>
      <c r="I154" s="1"/>
      <c r="J154" s="1">
        <v>10.11</v>
      </c>
      <c r="K154" s="1" t="s">
        <v>25</v>
      </c>
    </row>
    <row r="155" hidden="1" customHeight="1" spans="1:11">
      <c r="A155" s="3">
        <v>155</v>
      </c>
      <c r="B155" s="1" t="s">
        <v>715</v>
      </c>
      <c r="C155" s="1" t="s">
        <v>669</v>
      </c>
      <c r="D155" s="1" t="s">
        <v>415</v>
      </c>
      <c r="E155" s="1" t="s">
        <v>22</v>
      </c>
      <c r="F155" s="1">
        <v>0.6</v>
      </c>
      <c r="G155" s="1">
        <v>480</v>
      </c>
      <c r="H155" s="3">
        <v>288</v>
      </c>
      <c r="I155" s="1"/>
      <c r="J155" s="1">
        <v>10.11</v>
      </c>
      <c r="K155" s="1" t="s">
        <v>25</v>
      </c>
    </row>
    <row r="156" hidden="1" customHeight="1" spans="1:11">
      <c r="A156" s="3">
        <v>156</v>
      </c>
      <c r="B156" s="1" t="s">
        <v>716</v>
      </c>
      <c r="C156" s="1" t="s">
        <v>669</v>
      </c>
      <c r="D156" s="1" t="s">
        <v>215</v>
      </c>
      <c r="E156" s="1" t="s">
        <v>22</v>
      </c>
      <c r="F156" s="1">
        <v>0.2</v>
      </c>
      <c r="G156" s="1">
        <v>480</v>
      </c>
      <c r="H156" s="3">
        <v>96</v>
      </c>
      <c r="I156" s="1"/>
      <c r="J156" s="1">
        <v>10.11</v>
      </c>
      <c r="K156" s="1" t="s">
        <v>25</v>
      </c>
    </row>
    <row r="157" hidden="1" customHeight="1" spans="1:11">
      <c r="A157" s="3">
        <v>157</v>
      </c>
      <c r="B157" s="1" t="s">
        <v>715</v>
      </c>
      <c r="C157" s="1" t="s">
        <v>669</v>
      </c>
      <c r="D157" s="1" t="s">
        <v>215</v>
      </c>
      <c r="E157" s="1" t="s">
        <v>22</v>
      </c>
      <c r="F157" s="1">
        <v>0.4</v>
      </c>
      <c r="G157" s="1">
        <v>480</v>
      </c>
      <c r="H157" s="3">
        <v>192</v>
      </c>
      <c r="I157" s="1"/>
      <c r="J157" s="1">
        <v>10.11</v>
      </c>
      <c r="K157" s="1" t="s">
        <v>25</v>
      </c>
    </row>
    <row r="158" hidden="1" customHeight="1" spans="1:11">
      <c r="A158" s="3">
        <v>158</v>
      </c>
      <c r="B158" s="1" t="s">
        <v>718</v>
      </c>
      <c r="C158" s="1" t="s">
        <v>669</v>
      </c>
      <c r="D158" s="1" t="s">
        <v>215</v>
      </c>
      <c r="E158" s="1" t="s">
        <v>22</v>
      </c>
      <c r="F158" s="1">
        <v>0.2</v>
      </c>
      <c r="G158" s="1">
        <v>480</v>
      </c>
      <c r="H158" s="3">
        <v>96</v>
      </c>
      <c r="I158" s="1"/>
      <c r="J158" s="1">
        <v>10.11</v>
      </c>
      <c r="K158" s="1" t="s">
        <v>25</v>
      </c>
    </row>
    <row r="159" hidden="1" customHeight="1" spans="1:11">
      <c r="A159" s="3">
        <v>159</v>
      </c>
      <c r="B159" s="1" t="s">
        <v>730</v>
      </c>
      <c r="C159" s="1" t="s">
        <v>669</v>
      </c>
      <c r="D159" s="1" t="s">
        <v>750</v>
      </c>
      <c r="E159" s="1" t="s">
        <v>22</v>
      </c>
      <c r="F159" s="1">
        <v>0.35</v>
      </c>
      <c r="G159" s="1">
        <v>480</v>
      </c>
      <c r="H159" s="3">
        <v>168</v>
      </c>
      <c r="I159" s="1"/>
      <c r="J159" s="1">
        <v>10.11</v>
      </c>
      <c r="K159" s="1" t="s">
        <v>25</v>
      </c>
    </row>
    <row r="160" hidden="1" customHeight="1" spans="1:11">
      <c r="A160" s="3">
        <v>160</v>
      </c>
      <c r="B160" s="1" t="s">
        <v>696</v>
      </c>
      <c r="C160" s="1" t="s">
        <v>669</v>
      </c>
      <c r="D160" s="1" t="s">
        <v>750</v>
      </c>
      <c r="E160" s="1" t="s">
        <v>22</v>
      </c>
      <c r="F160" s="1">
        <v>0.44</v>
      </c>
      <c r="G160" s="1">
        <v>480</v>
      </c>
      <c r="H160" s="3">
        <v>211.2</v>
      </c>
      <c r="I160" s="1"/>
      <c r="J160" s="1">
        <v>10.11</v>
      </c>
      <c r="K160" s="1" t="s">
        <v>25</v>
      </c>
    </row>
    <row r="161" hidden="1" customHeight="1" spans="1:11">
      <c r="A161" s="3">
        <v>161</v>
      </c>
      <c r="B161" s="1" t="s">
        <v>741</v>
      </c>
      <c r="C161" s="1" t="s">
        <v>669</v>
      </c>
      <c r="D161" s="1" t="s">
        <v>750</v>
      </c>
      <c r="E161" s="1" t="s">
        <v>22</v>
      </c>
      <c r="F161" s="1">
        <v>0.3</v>
      </c>
      <c r="G161" s="1">
        <v>480</v>
      </c>
      <c r="H161" s="3">
        <v>144</v>
      </c>
      <c r="I161" s="1"/>
      <c r="J161" s="1">
        <v>10.11</v>
      </c>
      <c r="K161" s="1" t="s">
        <v>25</v>
      </c>
    </row>
    <row r="162" hidden="1" customHeight="1" spans="1:11">
      <c r="A162" s="3">
        <v>162</v>
      </c>
      <c r="B162" s="1" t="s">
        <v>716</v>
      </c>
      <c r="C162" s="1" t="s">
        <v>669</v>
      </c>
      <c r="D162" s="1" t="s">
        <v>750</v>
      </c>
      <c r="E162" s="1" t="s">
        <v>22</v>
      </c>
      <c r="F162" s="1">
        <v>0.4</v>
      </c>
      <c r="G162" s="1">
        <v>480</v>
      </c>
      <c r="H162" s="3">
        <v>192</v>
      </c>
      <c r="I162" s="1"/>
      <c r="J162" s="1">
        <v>10.11</v>
      </c>
      <c r="K162" s="1" t="s">
        <v>25</v>
      </c>
    </row>
    <row r="163" hidden="1" customHeight="1" spans="1:11">
      <c r="A163" s="3">
        <v>163</v>
      </c>
      <c r="B163" s="1" t="s">
        <v>715</v>
      </c>
      <c r="C163" s="1" t="s">
        <v>669</v>
      </c>
      <c r="D163" s="1" t="s">
        <v>750</v>
      </c>
      <c r="E163" s="1" t="s">
        <v>22</v>
      </c>
      <c r="F163" s="1">
        <v>0.4</v>
      </c>
      <c r="G163" s="1">
        <v>480</v>
      </c>
      <c r="H163" s="3">
        <v>192</v>
      </c>
      <c r="I163" s="1"/>
      <c r="J163" s="1">
        <v>10.11</v>
      </c>
      <c r="K163" s="1" t="s">
        <v>25</v>
      </c>
    </row>
    <row r="164" hidden="1" customHeight="1" spans="1:11">
      <c r="A164" s="3">
        <v>164</v>
      </c>
      <c r="B164" s="1" t="s">
        <v>718</v>
      </c>
      <c r="C164" s="1" t="s">
        <v>669</v>
      </c>
      <c r="D164" s="1" t="s">
        <v>750</v>
      </c>
      <c r="E164" s="1" t="s">
        <v>22</v>
      </c>
      <c r="F164" s="1">
        <v>0.46</v>
      </c>
      <c r="G164" s="1">
        <v>480</v>
      </c>
      <c r="H164" s="3">
        <v>220.8</v>
      </c>
      <c r="I164" s="1"/>
      <c r="J164" s="1">
        <v>10.11</v>
      </c>
      <c r="K164" s="1" t="s">
        <v>25</v>
      </c>
    </row>
    <row r="165" hidden="1" customHeight="1" spans="1:11">
      <c r="A165" s="3">
        <v>165</v>
      </c>
      <c r="B165" s="1" t="s">
        <v>731</v>
      </c>
      <c r="C165" s="1" t="s">
        <v>669</v>
      </c>
      <c r="D165" s="1" t="s">
        <v>750</v>
      </c>
      <c r="E165" s="1" t="s">
        <v>22</v>
      </c>
      <c r="F165" s="1">
        <v>0.48</v>
      </c>
      <c r="G165" s="1">
        <v>480</v>
      </c>
      <c r="H165" s="3">
        <v>230.4</v>
      </c>
      <c r="I165" s="1"/>
      <c r="J165" s="1">
        <v>10.11</v>
      </c>
      <c r="K165" s="1" t="s">
        <v>25</v>
      </c>
    </row>
    <row r="166" hidden="1" customHeight="1" spans="1:11">
      <c r="A166" s="3">
        <v>166</v>
      </c>
      <c r="B166" s="1" t="s">
        <v>731</v>
      </c>
      <c r="C166" s="1" t="s">
        <v>669</v>
      </c>
      <c r="D166" s="1" t="s">
        <v>226</v>
      </c>
      <c r="E166" s="1" t="s">
        <v>22</v>
      </c>
      <c r="F166" s="1">
        <v>0.3</v>
      </c>
      <c r="G166" s="1">
        <v>480</v>
      </c>
      <c r="H166" s="3">
        <v>144</v>
      </c>
      <c r="I166" s="1"/>
      <c r="J166" s="1">
        <v>10.11</v>
      </c>
      <c r="K166" s="1" t="s">
        <v>25</v>
      </c>
    </row>
    <row r="167" hidden="1" customHeight="1" spans="1:11">
      <c r="A167" s="3">
        <v>167</v>
      </c>
      <c r="B167" s="1" t="s">
        <v>721</v>
      </c>
      <c r="C167" s="1" t="s">
        <v>669</v>
      </c>
      <c r="D167" s="1" t="s">
        <v>226</v>
      </c>
      <c r="E167" s="1" t="s">
        <v>22</v>
      </c>
      <c r="F167" s="1">
        <v>0.15</v>
      </c>
      <c r="G167" s="1">
        <v>480</v>
      </c>
      <c r="H167" s="3">
        <v>72</v>
      </c>
      <c r="I167" s="1"/>
      <c r="J167" s="1">
        <v>10.11</v>
      </c>
      <c r="K167" s="1"/>
    </row>
    <row r="168" hidden="1" customHeight="1" spans="1:11">
      <c r="A168" s="15">
        <v>168</v>
      </c>
      <c r="B168" s="16" t="s">
        <v>668</v>
      </c>
      <c r="C168" s="16" t="s">
        <v>669</v>
      </c>
      <c r="D168" s="16" t="s">
        <v>680</v>
      </c>
      <c r="E168" s="16" t="s">
        <v>22</v>
      </c>
      <c r="F168" s="16">
        <v>0.3</v>
      </c>
      <c r="G168" s="16">
        <v>480</v>
      </c>
      <c r="H168" s="15">
        <v>144</v>
      </c>
      <c r="I168" s="16"/>
      <c r="J168" s="16">
        <v>10.11</v>
      </c>
      <c r="K168" s="16" t="s">
        <v>25</v>
      </c>
    </row>
    <row r="169" hidden="1" customHeight="1" spans="1:11">
      <c r="A169" s="3">
        <v>169</v>
      </c>
      <c r="B169" s="1" t="s">
        <v>721</v>
      </c>
      <c r="C169" s="1" t="s">
        <v>669</v>
      </c>
      <c r="D169" s="1" t="s">
        <v>680</v>
      </c>
      <c r="E169" s="1" t="s">
        <v>22</v>
      </c>
      <c r="F169" s="1">
        <v>0.8</v>
      </c>
      <c r="G169" s="1">
        <v>480</v>
      </c>
      <c r="H169" s="3">
        <v>384</v>
      </c>
      <c r="I169" s="1"/>
      <c r="J169" s="1">
        <v>10.11</v>
      </c>
      <c r="K169" s="1"/>
    </row>
    <row r="170" hidden="1" customHeight="1" spans="1:11">
      <c r="A170" s="3">
        <v>170</v>
      </c>
      <c r="B170" s="1" t="s">
        <v>736</v>
      </c>
      <c r="C170" s="1" t="s">
        <v>669</v>
      </c>
      <c r="D170" s="1" t="s">
        <v>680</v>
      </c>
      <c r="E170" s="1" t="s">
        <v>22</v>
      </c>
      <c r="F170" s="1">
        <v>0.2</v>
      </c>
      <c r="G170" s="1">
        <v>480</v>
      </c>
      <c r="H170" s="3">
        <v>96</v>
      </c>
      <c r="I170" s="1"/>
      <c r="J170" s="1">
        <v>10.11</v>
      </c>
      <c r="K170" s="1" t="s">
        <v>25</v>
      </c>
    </row>
    <row r="171" hidden="1" customHeight="1" spans="1:11">
      <c r="A171" s="3">
        <v>171</v>
      </c>
      <c r="B171" s="1" t="s">
        <v>752</v>
      </c>
      <c r="C171" s="1" t="s">
        <v>669</v>
      </c>
      <c r="D171" s="1" t="s">
        <v>680</v>
      </c>
      <c r="E171" s="1" t="s">
        <v>22</v>
      </c>
      <c r="F171" s="1">
        <v>0.52</v>
      </c>
      <c r="G171" s="1">
        <v>480</v>
      </c>
      <c r="H171" s="3">
        <v>249.6</v>
      </c>
      <c r="I171" s="1"/>
      <c r="J171" s="1">
        <v>10.11</v>
      </c>
      <c r="K171" s="1"/>
    </row>
    <row r="172" hidden="1" customHeight="1" spans="1:11">
      <c r="A172" s="3">
        <v>172</v>
      </c>
      <c r="B172" s="1" t="s">
        <v>736</v>
      </c>
      <c r="C172" s="1" t="s">
        <v>669</v>
      </c>
      <c r="D172" s="1" t="s">
        <v>754</v>
      </c>
      <c r="E172" s="1" t="s">
        <v>22</v>
      </c>
      <c r="F172" s="1">
        <v>0.05</v>
      </c>
      <c r="G172" s="1">
        <v>480</v>
      </c>
      <c r="H172" s="3">
        <v>24</v>
      </c>
      <c r="I172" s="1"/>
      <c r="J172" s="1">
        <v>10.11</v>
      </c>
      <c r="K172" s="1" t="s">
        <v>25</v>
      </c>
    </row>
    <row r="173" hidden="1" customHeight="1" spans="1:11">
      <c r="A173" s="3">
        <v>173</v>
      </c>
      <c r="B173" s="1" t="s">
        <v>718</v>
      </c>
      <c r="C173" s="1" t="s">
        <v>669</v>
      </c>
      <c r="D173" s="1" t="s">
        <v>755</v>
      </c>
      <c r="E173" s="1" t="s">
        <v>22</v>
      </c>
      <c r="F173" s="1">
        <v>0.43</v>
      </c>
      <c r="G173" s="1">
        <v>480</v>
      </c>
      <c r="H173" s="3">
        <v>206.4</v>
      </c>
      <c r="I173" s="1"/>
      <c r="J173" s="1">
        <v>10.11</v>
      </c>
      <c r="K173" s="1" t="s">
        <v>25</v>
      </c>
    </row>
    <row r="174" hidden="1" customHeight="1" spans="1:11">
      <c r="A174" s="3">
        <v>174</v>
      </c>
      <c r="B174" s="1" t="s">
        <v>716</v>
      </c>
      <c r="C174" s="1" t="s">
        <v>669</v>
      </c>
      <c r="D174" s="1" t="s">
        <v>755</v>
      </c>
      <c r="E174" s="1" t="s">
        <v>22</v>
      </c>
      <c r="F174" s="1">
        <v>0.47</v>
      </c>
      <c r="G174" s="1">
        <v>480</v>
      </c>
      <c r="H174" s="3">
        <v>225.6</v>
      </c>
      <c r="I174" s="1"/>
      <c r="J174" s="1">
        <v>10.11</v>
      </c>
      <c r="K174" s="1" t="s">
        <v>25</v>
      </c>
    </row>
    <row r="175" hidden="1" customHeight="1" spans="1:11">
      <c r="A175" s="3">
        <v>175</v>
      </c>
      <c r="B175" s="1" t="s">
        <v>712</v>
      </c>
      <c r="C175" s="1" t="s">
        <v>669</v>
      </c>
      <c r="D175" s="1" t="s">
        <v>755</v>
      </c>
      <c r="E175" s="1" t="s">
        <v>22</v>
      </c>
      <c r="F175" s="1">
        <v>1</v>
      </c>
      <c r="G175" s="1">
        <v>480</v>
      </c>
      <c r="H175" s="3">
        <v>480</v>
      </c>
      <c r="I175" s="1"/>
      <c r="J175" s="1">
        <v>10.11</v>
      </c>
      <c r="K175" s="1" t="s">
        <v>25</v>
      </c>
    </row>
    <row r="176" hidden="1" customHeight="1" spans="1:11">
      <c r="A176" s="3">
        <v>176</v>
      </c>
      <c r="B176" s="1" t="s">
        <v>748</v>
      </c>
      <c r="C176" s="1" t="s">
        <v>669</v>
      </c>
      <c r="D176" s="1" t="s">
        <v>755</v>
      </c>
      <c r="E176" s="1" t="s">
        <v>22</v>
      </c>
      <c r="F176" s="1">
        <v>0.3</v>
      </c>
      <c r="G176" s="1">
        <v>480</v>
      </c>
      <c r="H176" s="3">
        <v>144</v>
      </c>
      <c r="I176" s="1"/>
      <c r="J176" s="1">
        <v>10.11</v>
      </c>
      <c r="K176" s="1" t="s">
        <v>25</v>
      </c>
    </row>
    <row r="177" hidden="1" customHeight="1" spans="1:11">
      <c r="A177" s="3">
        <v>177</v>
      </c>
      <c r="B177" s="1" t="s">
        <v>736</v>
      </c>
      <c r="C177" s="1" t="s">
        <v>669</v>
      </c>
      <c r="D177" s="1" t="s">
        <v>755</v>
      </c>
      <c r="E177" s="1" t="s">
        <v>22</v>
      </c>
      <c r="F177" s="1">
        <v>0.8</v>
      </c>
      <c r="G177" s="1">
        <v>480</v>
      </c>
      <c r="H177" s="3">
        <v>384</v>
      </c>
      <c r="I177" s="1"/>
      <c r="J177" s="1">
        <v>10.11</v>
      </c>
      <c r="K177" s="1" t="s">
        <v>25</v>
      </c>
    </row>
    <row r="178" hidden="1" customHeight="1" spans="1:11">
      <c r="A178" s="3">
        <v>178</v>
      </c>
      <c r="B178" s="1" t="s">
        <v>732</v>
      </c>
      <c r="C178" s="1" t="s">
        <v>669</v>
      </c>
      <c r="D178" s="1" t="s">
        <v>755</v>
      </c>
      <c r="E178" s="1" t="s">
        <v>22</v>
      </c>
      <c r="F178" s="1">
        <v>0.5</v>
      </c>
      <c r="G178" s="1">
        <v>480</v>
      </c>
      <c r="H178" s="3">
        <v>240</v>
      </c>
      <c r="I178" s="1"/>
      <c r="J178" s="1">
        <v>10.11</v>
      </c>
      <c r="K178" s="1" t="s">
        <v>25</v>
      </c>
    </row>
    <row r="179" hidden="1" customHeight="1" spans="1:11">
      <c r="A179" s="3">
        <v>179</v>
      </c>
      <c r="B179" s="1" t="s">
        <v>696</v>
      </c>
      <c r="C179" s="1" t="s">
        <v>669</v>
      </c>
      <c r="D179" s="1" t="s">
        <v>756</v>
      </c>
      <c r="E179" s="1" t="s">
        <v>22</v>
      </c>
      <c r="F179" s="1">
        <v>1.2</v>
      </c>
      <c r="G179" s="1">
        <v>480</v>
      </c>
      <c r="H179" s="3">
        <v>576</v>
      </c>
      <c r="I179" s="1"/>
      <c r="J179" s="1">
        <v>10.11</v>
      </c>
      <c r="K179" s="1" t="s">
        <v>25</v>
      </c>
    </row>
    <row r="180" hidden="1" customHeight="1" spans="1:11">
      <c r="A180" s="3">
        <v>180</v>
      </c>
      <c r="B180" s="1" t="s">
        <v>801</v>
      </c>
      <c r="C180" s="1" t="s">
        <v>669</v>
      </c>
      <c r="D180" s="1" t="s">
        <v>756</v>
      </c>
      <c r="E180" s="1" t="s">
        <v>22</v>
      </c>
      <c r="F180" s="1">
        <v>0.4</v>
      </c>
      <c r="G180" s="1">
        <v>480</v>
      </c>
      <c r="H180" s="3">
        <v>192</v>
      </c>
      <c r="I180" s="1"/>
      <c r="J180" s="1">
        <v>10.11</v>
      </c>
      <c r="K180" s="1"/>
    </row>
    <row r="181" hidden="1" customHeight="1" spans="1:11">
      <c r="A181" s="3">
        <v>181</v>
      </c>
      <c r="B181" s="1" t="s">
        <v>743</v>
      </c>
      <c r="C181" s="1" t="s">
        <v>669</v>
      </c>
      <c r="D181" s="1" t="s">
        <v>756</v>
      </c>
      <c r="E181" s="1" t="s">
        <v>22</v>
      </c>
      <c r="F181" s="18">
        <v>0.03</v>
      </c>
      <c r="G181" s="1">
        <v>480</v>
      </c>
      <c r="H181" s="3">
        <v>14.4</v>
      </c>
      <c r="I181" s="1"/>
      <c r="J181" s="1">
        <v>10.11</v>
      </c>
      <c r="K181" s="1" t="s">
        <v>25</v>
      </c>
    </row>
    <row r="182" hidden="1" customHeight="1" spans="1:11">
      <c r="A182" s="3">
        <v>182</v>
      </c>
      <c r="B182" s="1" t="s">
        <v>757</v>
      </c>
      <c r="C182" s="1" t="s">
        <v>669</v>
      </c>
      <c r="D182" s="1" t="s">
        <v>756</v>
      </c>
      <c r="E182" s="1" t="s">
        <v>22</v>
      </c>
      <c r="F182" s="1">
        <v>0.61</v>
      </c>
      <c r="G182" s="1">
        <v>480</v>
      </c>
      <c r="H182" s="3">
        <v>292.8</v>
      </c>
      <c r="I182" s="1"/>
      <c r="J182" s="1">
        <v>10.11</v>
      </c>
      <c r="K182" s="1" t="s">
        <v>25</v>
      </c>
    </row>
    <row r="183" hidden="1" customHeight="1" spans="1:11">
      <c r="A183" s="3">
        <v>183</v>
      </c>
      <c r="B183" s="1" t="s">
        <v>746</v>
      </c>
      <c r="C183" s="1" t="s">
        <v>669</v>
      </c>
      <c r="D183" s="1" t="s">
        <v>318</v>
      </c>
      <c r="E183" s="1" t="s">
        <v>22</v>
      </c>
      <c r="F183" s="1">
        <v>0.14</v>
      </c>
      <c r="G183" s="1">
        <v>480</v>
      </c>
      <c r="H183" s="3">
        <v>67.2</v>
      </c>
      <c r="I183" s="1"/>
      <c r="J183" s="1">
        <v>10.11</v>
      </c>
      <c r="K183" s="1" t="s">
        <v>25</v>
      </c>
    </row>
    <row r="184" hidden="1" customHeight="1" spans="1:11">
      <c r="A184" s="3">
        <v>184</v>
      </c>
      <c r="B184" s="1" t="s">
        <v>740</v>
      </c>
      <c r="C184" s="1" t="s">
        <v>669</v>
      </c>
      <c r="D184" s="1" t="s">
        <v>318</v>
      </c>
      <c r="E184" s="1" t="s">
        <v>22</v>
      </c>
      <c r="F184" s="1">
        <v>0.3</v>
      </c>
      <c r="G184" s="1">
        <v>480</v>
      </c>
      <c r="H184" s="3">
        <v>144</v>
      </c>
      <c r="I184" s="1"/>
      <c r="J184" s="1">
        <v>10.11</v>
      </c>
      <c r="K184" s="1" t="s">
        <v>25</v>
      </c>
    </row>
    <row r="185" hidden="1" customHeight="1" spans="1:11">
      <c r="A185" s="3">
        <v>185</v>
      </c>
      <c r="B185" s="1" t="s">
        <v>741</v>
      </c>
      <c r="C185" s="1" t="s">
        <v>669</v>
      </c>
      <c r="D185" s="1" t="s">
        <v>246</v>
      </c>
      <c r="E185" s="1" t="s">
        <v>22</v>
      </c>
      <c r="F185" s="1">
        <v>0.18</v>
      </c>
      <c r="G185" s="1">
        <v>480</v>
      </c>
      <c r="H185" s="3">
        <v>86.4</v>
      </c>
      <c r="I185" s="1"/>
      <c r="J185" s="1">
        <v>10.11</v>
      </c>
      <c r="K185" s="1" t="s">
        <v>25</v>
      </c>
    </row>
    <row r="186" hidden="1" customHeight="1" spans="1:11">
      <c r="A186" s="3">
        <v>186</v>
      </c>
      <c r="B186" s="1" t="s">
        <v>715</v>
      </c>
      <c r="C186" s="1" t="s">
        <v>669</v>
      </c>
      <c r="D186" s="1" t="s">
        <v>215</v>
      </c>
      <c r="E186" s="1" t="s">
        <v>22</v>
      </c>
      <c r="F186" s="1">
        <v>0.6</v>
      </c>
      <c r="G186" s="1">
        <v>480</v>
      </c>
      <c r="H186" s="3">
        <v>288</v>
      </c>
      <c r="I186" s="1"/>
      <c r="J186" s="1">
        <v>10.11</v>
      </c>
      <c r="K186" s="1" t="s">
        <v>25</v>
      </c>
    </row>
    <row r="187" hidden="1" customHeight="1" spans="1:11">
      <c r="A187" s="3">
        <v>187</v>
      </c>
      <c r="B187" s="1" t="s">
        <v>740</v>
      </c>
      <c r="C187" s="1" t="s">
        <v>669</v>
      </c>
      <c r="D187" s="1" t="s">
        <v>758</v>
      </c>
      <c r="E187" s="1" t="s">
        <v>22</v>
      </c>
      <c r="F187" s="1">
        <v>0.41</v>
      </c>
      <c r="G187" s="1">
        <v>480</v>
      </c>
      <c r="H187" s="3">
        <v>196.8</v>
      </c>
      <c r="I187" s="1"/>
      <c r="J187" s="1">
        <v>10.11</v>
      </c>
      <c r="K187" s="1" t="s">
        <v>25</v>
      </c>
    </row>
    <row r="188" hidden="1" customHeight="1" spans="1:11">
      <c r="A188" s="3">
        <v>188</v>
      </c>
      <c r="B188" s="1" t="s">
        <v>732</v>
      </c>
      <c r="C188" s="1" t="s">
        <v>669</v>
      </c>
      <c r="D188" s="1" t="s">
        <v>758</v>
      </c>
      <c r="E188" s="1" t="s">
        <v>22</v>
      </c>
      <c r="F188" s="1">
        <v>0.17</v>
      </c>
      <c r="G188" s="1">
        <v>480</v>
      </c>
      <c r="H188" s="3">
        <v>81.6</v>
      </c>
      <c r="I188" s="1"/>
      <c r="J188" s="1">
        <v>10.11</v>
      </c>
      <c r="K188" s="1" t="s">
        <v>25</v>
      </c>
    </row>
    <row r="189" hidden="1" customHeight="1" spans="1:11">
      <c r="A189" s="3">
        <v>189</v>
      </c>
      <c r="B189" s="1" t="s">
        <v>719</v>
      </c>
      <c r="C189" s="1" t="s">
        <v>669</v>
      </c>
      <c r="D189" s="1" t="s">
        <v>758</v>
      </c>
      <c r="E189" s="1" t="s">
        <v>22</v>
      </c>
      <c r="F189" s="1">
        <v>0.55</v>
      </c>
      <c r="G189" s="1">
        <v>480</v>
      </c>
      <c r="H189" s="3">
        <v>264</v>
      </c>
      <c r="I189" s="1"/>
      <c r="J189" s="1">
        <v>10.11</v>
      </c>
      <c r="K189" s="1" t="s">
        <v>25</v>
      </c>
    </row>
    <row r="190" hidden="1" customHeight="1" spans="1:11">
      <c r="A190" s="3">
        <v>190</v>
      </c>
      <c r="B190" s="1" t="s">
        <v>727</v>
      </c>
      <c r="C190" s="1" t="s">
        <v>669</v>
      </c>
      <c r="D190" s="1" t="s">
        <v>759</v>
      </c>
      <c r="E190" s="1" t="s">
        <v>22</v>
      </c>
      <c r="F190" s="1">
        <v>0.58</v>
      </c>
      <c r="G190" s="1">
        <v>480</v>
      </c>
      <c r="H190" s="3">
        <v>278.4</v>
      </c>
      <c r="I190" s="1"/>
      <c r="J190" s="1">
        <v>10.11</v>
      </c>
      <c r="K190" s="1" t="s">
        <v>25</v>
      </c>
    </row>
    <row r="191" hidden="1" customHeight="1" spans="1:11">
      <c r="A191" s="3">
        <v>191</v>
      </c>
      <c r="B191" s="1" t="s">
        <v>760</v>
      </c>
      <c r="C191" s="1" t="s">
        <v>669</v>
      </c>
      <c r="D191" s="1" t="s">
        <v>759</v>
      </c>
      <c r="E191" s="1" t="s">
        <v>22</v>
      </c>
      <c r="F191" s="1">
        <v>1.4</v>
      </c>
      <c r="G191" s="1">
        <v>480</v>
      </c>
      <c r="H191" s="3">
        <v>672</v>
      </c>
      <c r="I191" s="1"/>
      <c r="J191" s="1">
        <v>10.11</v>
      </c>
      <c r="K191" s="1" t="s">
        <v>25</v>
      </c>
    </row>
    <row r="192" hidden="1" customHeight="1" spans="1:11">
      <c r="A192" s="3">
        <v>192</v>
      </c>
      <c r="B192" s="1" t="s">
        <v>700</v>
      </c>
      <c r="C192" s="1" t="s">
        <v>669</v>
      </c>
      <c r="D192" s="1" t="s">
        <v>759</v>
      </c>
      <c r="E192" s="1" t="s">
        <v>22</v>
      </c>
      <c r="F192" s="1">
        <v>1.5</v>
      </c>
      <c r="G192" s="1">
        <v>480</v>
      </c>
      <c r="H192" s="3">
        <v>720</v>
      </c>
      <c r="I192" s="1"/>
      <c r="J192" s="1">
        <v>10.11</v>
      </c>
      <c r="K192" s="1" t="s">
        <v>25</v>
      </c>
    </row>
    <row r="193" hidden="1" customHeight="1" spans="1:12">
      <c r="A193" s="3">
        <v>193</v>
      </c>
      <c r="B193" s="1" t="s">
        <v>730</v>
      </c>
      <c r="C193" s="1" t="s">
        <v>669</v>
      </c>
      <c r="D193" s="1" t="s">
        <v>759</v>
      </c>
      <c r="E193" s="1" t="s">
        <v>22</v>
      </c>
      <c r="F193" s="1">
        <v>0.85</v>
      </c>
      <c r="G193" s="1">
        <v>480</v>
      </c>
      <c r="H193" s="3">
        <v>408</v>
      </c>
      <c r="I193" s="1"/>
      <c r="J193" s="1">
        <v>10.11</v>
      </c>
      <c r="K193" s="1" t="s">
        <v>25</v>
      </c>
    </row>
    <row r="194" hidden="1" customHeight="1" spans="1:12">
      <c r="A194" s="3">
        <v>194</v>
      </c>
      <c r="B194" s="1" t="s">
        <v>747</v>
      </c>
      <c r="C194" s="1" t="s">
        <v>669</v>
      </c>
      <c r="D194" s="1" t="s">
        <v>759</v>
      </c>
      <c r="E194" s="1" t="s">
        <v>22</v>
      </c>
      <c r="F194" s="1">
        <v>0.8</v>
      </c>
      <c r="G194" s="1">
        <v>480</v>
      </c>
      <c r="H194" s="3">
        <v>384</v>
      </c>
      <c r="I194" s="1"/>
      <c r="J194" s="1">
        <v>10.11</v>
      </c>
      <c r="K194" s="1" t="s">
        <v>25</v>
      </c>
    </row>
    <row r="195" hidden="1" customHeight="1" spans="1:12">
      <c r="A195" s="3">
        <v>195</v>
      </c>
      <c r="B195" s="1" t="s">
        <v>727</v>
      </c>
      <c r="C195" s="1" t="s">
        <v>669</v>
      </c>
      <c r="D195" s="1" t="s">
        <v>328</v>
      </c>
      <c r="E195" s="1" t="s">
        <v>22</v>
      </c>
      <c r="F195" s="1"/>
      <c r="G195" s="1">
        <v>480</v>
      </c>
      <c r="H195" s="3">
        <v>0</v>
      </c>
      <c r="I195" s="1"/>
      <c r="J195" s="1">
        <v>10.11</v>
      </c>
      <c r="K195" s="1" t="s">
        <v>25</v>
      </c>
    </row>
    <row r="196" hidden="1" customHeight="1" spans="1:12">
      <c r="A196" s="3">
        <v>196</v>
      </c>
      <c r="B196" s="1" t="s">
        <v>699</v>
      </c>
      <c r="C196" s="1" t="s">
        <v>669</v>
      </c>
      <c r="D196" s="1" t="s">
        <v>328</v>
      </c>
      <c r="E196" s="1" t="s">
        <v>22</v>
      </c>
      <c r="F196" s="1">
        <v>0.48</v>
      </c>
      <c r="G196" s="1">
        <v>480</v>
      </c>
      <c r="H196" s="3">
        <v>230.4</v>
      </c>
      <c r="I196" s="1"/>
      <c r="J196" s="1">
        <v>10.11</v>
      </c>
      <c r="K196" s="1" t="s">
        <v>25</v>
      </c>
    </row>
    <row r="197" hidden="1" customHeight="1" spans="1:12">
      <c r="A197" s="3">
        <v>197</v>
      </c>
      <c r="B197" s="1" t="s">
        <v>714</v>
      </c>
      <c r="C197" s="1" t="s">
        <v>669</v>
      </c>
      <c r="D197" s="1" t="s">
        <v>328</v>
      </c>
      <c r="E197" s="1" t="s">
        <v>22</v>
      </c>
      <c r="F197" s="1">
        <v>0.3</v>
      </c>
      <c r="G197" s="1">
        <v>480</v>
      </c>
      <c r="H197" s="3">
        <v>144</v>
      </c>
      <c r="I197" s="1"/>
      <c r="J197" s="1">
        <v>10.11</v>
      </c>
      <c r="K197" s="1" t="s">
        <v>25</v>
      </c>
    </row>
    <row r="198" hidden="1" customHeight="1" spans="1:12">
      <c r="A198" s="3">
        <v>198</v>
      </c>
      <c r="B198" s="1" t="s">
        <v>699</v>
      </c>
      <c r="C198" s="1" t="s">
        <v>669</v>
      </c>
      <c r="D198" s="1" t="s">
        <v>328</v>
      </c>
      <c r="E198" s="1" t="s">
        <v>22</v>
      </c>
      <c r="F198" s="1">
        <v>0.6</v>
      </c>
      <c r="G198" s="1">
        <v>480</v>
      </c>
      <c r="H198" s="3">
        <v>288</v>
      </c>
      <c r="I198" s="1"/>
      <c r="J198" s="1">
        <v>10.11</v>
      </c>
      <c r="K198" s="1" t="s">
        <v>25</v>
      </c>
    </row>
    <row r="199" hidden="1" customHeight="1" spans="1:12">
      <c r="A199" s="3">
        <v>199</v>
      </c>
      <c r="B199" s="1" t="s">
        <v>724</v>
      </c>
      <c r="C199" s="1" t="s">
        <v>669</v>
      </c>
      <c r="D199" s="1" t="s">
        <v>450</v>
      </c>
      <c r="E199" s="1" t="s">
        <v>22</v>
      </c>
      <c r="F199" s="1">
        <v>0.14</v>
      </c>
      <c r="G199" s="1">
        <v>480</v>
      </c>
      <c r="H199" s="3">
        <v>67.2</v>
      </c>
      <c r="I199" s="1"/>
      <c r="J199" s="1">
        <v>10.11</v>
      </c>
      <c r="K199" s="1" t="s">
        <v>25</v>
      </c>
    </row>
    <row r="200" hidden="1" customHeight="1" spans="1:12">
      <c r="A200" s="3">
        <v>200</v>
      </c>
      <c r="B200" s="1" t="s">
        <v>709</v>
      </c>
      <c r="C200" s="1" t="s">
        <v>669</v>
      </c>
      <c r="D200" s="1" t="s">
        <v>450</v>
      </c>
      <c r="E200" s="1" t="s">
        <v>22</v>
      </c>
      <c r="F200" s="1">
        <v>0.55</v>
      </c>
      <c r="G200" s="1">
        <v>480</v>
      </c>
      <c r="H200" s="3">
        <v>264</v>
      </c>
      <c r="I200" s="1"/>
      <c r="J200" s="1">
        <v>10.11</v>
      </c>
      <c r="K200" s="1"/>
    </row>
    <row r="201" hidden="1" customHeight="1" spans="1:12">
      <c r="A201" s="3">
        <v>201</v>
      </c>
      <c r="B201" s="1" t="s">
        <v>699</v>
      </c>
      <c r="C201" s="1" t="s">
        <v>669</v>
      </c>
      <c r="D201" s="1" t="s">
        <v>450</v>
      </c>
      <c r="E201" s="1" t="s">
        <v>22</v>
      </c>
      <c r="F201" s="1">
        <v>0.65</v>
      </c>
      <c r="G201" s="1">
        <v>480</v>
      </c>
      <c r="H201" s="3">
        <v>312</v>
      </c>
      <c r="I201" s="1"/>
      <c r="J201" s="1">
        <v>10.11</v>
      </c>
      <c r="K201" s="1" t="s">
        <v>25</v>
      </c>
    </row>
    <row r="202" hidden="1" customHeight="1" spans="1:12">
      <c r="A202" s="3">
        <v>202</v>
      </c>
      <c r="B202" s="1" t="s">
        <v>730</v>
      </c>
      <c r="C202" s="1" t="s">
        <v>669</v>
      </c>
      <c r="D202" s="1" t="s">
        <v>450</v>
      </c>
      <c r="E202" s="1" t="s">
        <v>22</v>
      </c>
      <c r="F202" s="1">
        <v>0.76</v>
      </c>
      <c r="G202" s="1">
        <v>480</v>
      </c>
      <c r="H202" s="3">
        <v>364.8</v>
      </c>
      <c r="I202" s="1"/>
      <c r="J202" s="1">
        <v>10.11</v>
      </c>
      <c r="K202" s="1" t="s">
        <v>25</v>
      </c>
      <c r="L202">
        <v>0</v>
      </c>
    </row>
    <row r="203" hidden="1" customHeight="1" spans="1:12">
      <c r="A203" s="3">
        <v>203</v>
      </c>
      <c r="B203" s="1" t="s">
        <v>709</v>
      </c>
      <c r="C203" s="1" t="s">
        <v>669</v>
      </c>
      <c r="D203" s="1" t="s">
        <v>450</v>
      </c>
      <c r="E203" s="1" t="s">
        <v>22</v>
      </c>
      <c r="F203" s="1">
        <v>0.6</v>
      </c>
      <c r="G203" s="1">
        <v>480</v>
      </c>
      <c r="H203" s="3">
        <v>288</v>
      </c>
      <c r="I203" s="1"/>
      <c r="J203" s="1">
        <v>10.11</v>
      </c>
      <c r="K203" s="1"/>
    </row>
    <row r="204" hidden="1" customHeight="1" spans="1:12">
      <c r="A204" s="3">
        <v>204</v>
      </c>
      <c r="B204" s="1" t="s">
        <v>741</v>
      </c>
      <c r="C204" s="1" t="s">
        <v>669</v>
      </c>
      <c r="D204" s="1" t="s">
        <v>435</v>
      </c>
      <c r="E204" s="1" t="s">
        <v>13</v>
      </c>
      <c r="F204" s="1">
        <v>0.25</v>
      </c>
      <c r="G204" s="1">
        <v>380</v>
      </c>
      <c r="H204" s="3">
        <v>95</v>
      </c>
      <c r="I204" s="1"/>
      <c r="J204" s="1">
        <v>10.11</v>
      </c>
      <c r="K204" s="1" t="s">
        <v>25</v>
      </c>
    </row>
    <row r="205" hidden="1" customHeight="1" spans="1:12">
      <c r="A205" s="3">
        <v>205</v>
      </c>
      <c r="B205" s="1" t="s">
        <v>715</v>
      </c>
      <c r="C205" s="1" t="s">
        <v>669</v>
      </c>
      <c r="D205" s="1" t="s">
        <v>435</v>
      </c>
      <c r="E205" s="1" t="s">
        <v>13</v>
      </c>
      <c r="F205" s="1">
        <v>0.2</v>
      </c>
      <c r="G205" s="1">
        <v>380</v>
      </c>
      <c r="H205" s="3">
        <v>76</v>
      </c>
      <c r="I205" s="1"/>
      <c r="J205" s="1">
        <v>10.11</v>
      </c>
      <c r="K205" s="1" t="s">
        <v>25</v>
      </c>
    </row>
    <row r="206" hidden="1" customHeight="1" spans="1:12">
      <c r="A206" s="3">
        <v>206</v>
      </c>
      <c r="B206" s="1" t="s">
        <v>746</v>
      </c>
      <c r="C206" s="1" t="s">
        <v>669</v>
      </c>
      <c r="D206" s="1" t="s">
        <v>435</v>
      </c>
      <c r="E206" s="1" t="s">
        <v>13</v>
      </c>
      <c r="F206" s="1">
        <v>0.2</v>
      </c>
      <c r="G206" s="1">
        <v>380</v>
      </c>
      <c r="H206" s="3">
        <v>76</v>
      </c>
      <c r="I206" s="1"/>
      <c r="J206" s="1">
        <v>10.11</v>
      </c>
      <c r="K206" s="1" t="s">
        <v>25</v>
      </c>
    </row>
    <row r="207" hidden="1" customHeight="1" spans="1:12">
      <c r="A207" s="3">
        <v>207</v>
      </c>
      <c r="B207" s="1" t="s">
        <v>747</v>
      </c>
      <c r="C207" s="1" t="s">
        <v>669</v>
      </c>
      <c r="D207" s="1" t="s">
        <v>435</v>
      </c>
      <c r="E207" s="1" t="s">
        <v>13</v>
      </c>
      <c r="F207" s="1">
        <v>0.2</v>
      </c>
      <c r="G207" s="1">
        <v>380</v>
      </c>
      <c r="H207" s="3">
        <v>76</v>
      </c>
      <c r="I207" s="1"/>
      <c r="J207" s="1">
        <v>10.11</v>
      </c>
      <c r="K207" s="1" t="s">
        <v>25</v>
      </c>
    </row>
    <row r="208" hidden="1" customHeight="1" spans="1:12">
      <c r="A208" s="3">
        <v>208</v>
      </c>
      <c r="B208" s="1" t="s">
        <v>748</v>
      </c>
      <c r="C208" s="1" t="s">
        <v>669</v>
      </c>
      <c r="D208" s="1" t="s">
        <v>435</v>
      </c>
      <c r="E208" s="1" t="s">
        <v>13</v>
      </c>
      <c r="F208" s="1">
        <v>0.2</v>
      </c>
      <c r="G208" s="1">
        <v>380</v>
      </c>
      <c r="H208" s="3">
        <v>76</v>
      </c>
      <c r="I208" s="1"/>
      <c r="J208" s="1">
        <v>10.11</v>
      </c>
      <c r="K208" s="1" t="s">
        <v>25</v>
      </c>
    </row>
    <row r="209" hidden="1" customHeight="1" spans="1:11">
      <c r="A209" s="3">
        <v>209</v>
      </c>
      <c r="B209" s="1" t="s">
        <v>709</v>
      </c>
      <c r="C209" s="1" t="s">
        <v>669</v>
      </c>
      <c r="D209" s="1" t="s">
        <v>435</v>
      </c>
      <c r="E209" s="1" t="s">
        <v>13</v>
      </c>
      <c r="F209" s="1">
        <v>0.52</v>
      </c>
      <c r="G209" s="1">
        <v>380</v>
      </c>
      <c r="H209" s="3">
        <v>197.6</v>
      </c>
      <c r="I209" s="1"/>
      <c r="J209" s="1">
        <v>10.11</v>
      </c>
      <c r="K209" s="1"/>
    </row>
    <row r="210" hidden="1" customHeight="1" spans="1:11">
      <c r="A210" s="3">
        <v>210</v>
      </c>
      <c r="B210" s="1" t="s">
        <v>715</v>
      </c>
      <c r="C210" s="1" t="s">
        <v>669</v>
      </c>
      <c r="D210" s="1" t="s">
        <v>435</v>
      </c>
      <c r="E210" s="1" t="s">
        <v>13</v>
      </c>
      <c r="F210" s="1">
        <v>0.25</v>
      </c>
      <c r="G210" s="1">
        <v>380</v>
      </c>
      <c r="H210" s="3">
        <v>95</v>
      </c>
      <c r="I210" s="1"/>
      <c r="J210" s="1">
        <v>10.11</v>
      </c>
      <c r="K210" s="1" t="s">
        <v>25</v>
      </c>
    </row>
    <row r="211" hidden="1" customHeight="1" spans="1:11">
      <c r="A211" s="3">
        <v>211</v>
      </c>
      <c r="B211" s="1" t="s">
        <v>777</v>
      </c>
      <c r="C211" s="1" t="s">
        <v>669</v>
      </c>
      <c r="D211" s="1" t="s">
        <v>435</v>
      </c>
      <c r="E211" s="1" t="s">
        <v>13</v>
      </c>
      <c r="F211" s="1">
        <v>0.2</v>
      </c>
      <c r="G211" s="1">
        <v>380</v>
      </c>
      <c r="H211" s="3">
        <v>76</v>
      </c>
      <c r="I211" s="1"/>
      <c r="J211" s="1">
        <v>10.11</v>
      </c>
      <c r="K211" s="1" t="s">
        <v>25</v>
      </c>
    </row>
    <row r="212" hidden="1" customHeight="1" spans="1:11">
      <c r="A212" s="3">
        <v>212</v>
      </c>
      <c r="B212" s="1" t="s">
        <v>730</v>
      </c>
      <c r="C212" s="1" t="s">
        <v>669</v>
      </c>
      <c r="D212" s="1" t="s">
        <v>450</v>
      </c>
      <c r="E212" s="1" t="s">
        <v>22</v>
      </c>
      <c r="F212" s="1">
        <v>0.8</v>
      </c>
      <c r="G212" s="1">
        <v>480</v>
      </c>
      <c r="H212" s="3">
        <v>384</v>
      </c>
      <c r="I212" s="1"/>
      <c r="J212" s="1">
        <v>10.11</v>
      </c>
      <c r="K212" s="1" t="s">
        <v>25</v>
      </c>
    </row>
    <row r="213" hidden="1" customHeight="1" spans="1:11">
      <c r="A213" s="3">
        <v>213</v>
      </c>
      <c r="B213" s="1" t="s">
        <v>715</v>
      </c>
      <c r="C213" s="1" t="s">
        <v>669</v>
      </c>
      <c r="D213" s="1" t="s">
        <v>450</v>
      </c>
      <c r="E213" s="1" t="s">
        <v>22</v>
      </c>
      <c r="F213" s="1">
        <v>0.35</v>
      </c>
      <c r="G213" s="1">
        <v>480</v>
      </c>
      <c r="H213" s="3">
        <v>168</v>
      </c>
      <c r="I213" s="1"/>
      <c r="J213" s="1">
        <v>10.11</v>
      </c>
      <c r="K213" s="1" t="s">
        <v>25</v>
      </c>
    </row>
    <row r="214" hidden="1" customHeight="1" spans="1:11">
      <c r="A214" s="3">
        <v>214</v>
      </c>
      <c r="B214" s="1" t="s">
        <v>757</v>
      </c>
      <c r="C214" s="1" t="s">
        <v>669</v>
      </c>
      <c r="D214" s="1" t="s">
        <v>450</v>
      </c>
      <c r="E214" s="1" t="s">
        <v>22</v>
      </c>
      <c r="F214" s="1">
        <v>0.95</v>
      </c>
      <c r="G214" s="1">
        <v>480</v>
      </c>
      <c r="H214" s="3">
        <v>456</v>
      </c>
      <c r="I214" s="1"/>
      <c r="J214" s="1">
        <v>10.11</v>
      </c>
      <c r="K214" s="1" t="s">
        <v>25</v>
      </c>
    </row>
    <row r="215" hidden="1" customHeight="1" spans="1:11">
      <c r="A215" s="3">
        <v>215</v>
      </c>
      <c r="B215" s="1" t="s">
        <v>709</v>
      </c>
      <c r="C215" s="1" t="s">
        <v>669</v>
      </c>
      <c r="D215" s="1" t="s">
        <v>450</v>
      </c>
      <c r="E215" s="1" t="s">
        <v>22</v>
      </c>
      <c r="F215" s="1">
        <v>0.72</v>
      </c>
      <c r="G215" s="1">
        <v>480</v>
      </c>
      <c r="H215" s="3">
        <v>345.6</v>
      </c>
      <c r="I215" s="1"/>
      <c r="J215" s="1">
        <v>10.11</v>
      </c>
      <c r="K215" s="1"/>
    </row>
    <row r="216" hidden="1" customHeight="1" spans="1:11">
      <c r="A216" s="3">
        <v>216</v>
      </c>
      <c r="B216" s="1" t="s">
        <v>696</v>
      </c>
      <c r="C216" s="1" t="s">
        <v>669</v>
      </c>
      <c r="D216" s="1" t="s">
        <v>435</v>
      </c>
      <c r="E216" s="1" t="s">
        <v>13</v>
      </c>
      <c r="F216" s="1">
        <v>0.35</v>
      </c>
      <c r="G216" s="1">
        <v>380</v>
      </c>
      <c r="H216" s="3">
        <v>133</v>
      </c>
      <c r="I216" s="1"/>
      <c r="J216" s="1">
        <v>10.11</v>
      </c>
      <c r="K216" s="1" t="s">
        <v>25</v>
      </c>
    </row>
    <row r="217" hidden="1" customHeight="1" spans="1:11">
      <c r="A217" s="3">
        <v>217</v>
      </c>
      <c r="B217" s="1" t="s">
        <v>718</v>
      </c>
      <c r="C217" s="1" t="s">
        <v>669</v>
      </c>
      <c r="D217" s="1" t="s">
        <v>435</v>
      </c>
      <c r="E217" s="1" t="s">
        <v>13</v>
      </c>
      <c r="F217" s="1">
        <v>0.68</v>
      </c>
      <c r="G217" s="1">
        <v>380</v>
      </c>
      <c r="H217" s="3">
        <v>258.4</v>
      </c>
      <c r="I217" s="1"/>
      <c r="J217" s="1">
        <v>10.11</v>
      </c>
      <c r="K217" s="1" t="s">
        <v>25</v>
      </c>
    </row>
    <row r="218" hidden="1" customHeight="1" spans="1:11">
      <c r="A218" s="3">
        <v>218</v>
      </c>
      <c r="B218" s="1" t="s">
        <v>721</v>
      </c>
      <c r="C218" s="1" t="s">
        <v>669</v>
      </c>
      <c r="D218" s="1" t="s">
        <v>435</v>
      </c>
      <c r="E218" s="1" t="s">
        <v>13</v>
      </c>
      <c r="F218" s="1">
        <v>0.3</v>
      </c>
      <c r="G218" s="1">
        <v>380</v>
      </c>
      <c r="H218" s="3">
        <v>114</v>
      </c>
      <c r="I218" s="1"/>
      <c r="J218" s="1">
        <v>10.11</v>
      </c>
      <c r="K218" s="1"/>
    </row>
    <row r="219" hidden="1" customHeight="1" spans="1:11">
      <c r="A219" s="3">
        <v>219</v>
      </c>
      <c r="B219" s="1" t="s">
        <v>741</v>
      </c>
      <c r="C219" s="1" t="s">
        <v>669</v>
      </c>
      <c r="D219" s="1" t="s">
        <v>704</v>
      </c>
      <c r="E219" s="1" t="s">
        <v>13</v>
      </c>
      <c r="F219" s="1">
        <v>0.35</v>
      </c>
      <c r="G219" s="1">
        <v>380</v>
      </c>
      <c r="H219" s="3">
        <v>133</v>
      </c>
      <c r="I219" s="1"/>
      <c r="J219" s="1">
        <v>10.11</v>
      </c>
      <c r="K219" s="1" t="s">
        <v>25</v>
      </c>
    </row>
    <row r="220" hidden="1" customHeight="1" spans="1:11">
      <c r="A220" s="3">
        <v>220</v>
      </c>
      <c r="B220" s="1" t="s">
        <v>727</v>
      </c>
      <c r="C220" s="1" t="s">
        <v>669</v>
      </c>
      <c r="D220" s="1" t="s">
        <v>704</v>
      </c>
      <c r="E220" s="1" t="s">
        <v>13</v>
      </c>
      <c r="F220" s="1">
        <v>0.2</v>
      </c>
      <c r="G220" s="1">
        <v>380</v>
      </c>
      <c r="H220" s="3">
        <v>76</v>
      </c>
      <c r="I220" s="1"/>
      <c r="J220" s="1">
        <v>10.11</v>
      </c>
      <c r="K220" s="1" t="s">
        <v>25</v>
      </c>
    </row>
    <row r="221" hidden="1" customHeight="1" spans="1:11">
      <c r="A221" s="3">
        <v>221</v>
      </c>
      <c r="B221" s="1" t="s">
        <v>721</v>
      </c>
      <c r="C221" s="1" t="s">
        <v>669</v>
      </c>
      <c r="D221" s="1" t="s">
        <v>704</v>
      </c>
      <c r="E221" s="1" t="s">
        <v>13</v>
      </c>
      <c r="F221" s="1">
        <v>0.8</v>
      </c>
      <c r="G221" s="1">
        <v>380</v>
      </c>
      <c r="H221" s="3">
        <v>304</v>
      </c>
      <c r="I221" s="1"/>
      <c r="J221" s="1">
        <v>10.11</v>
      </c>
      <c r="K221" s="1"/>
    </row>
    <row r="222" hidden="1" customHeight="1" spans="1:11">
      <c r="A222" s="3">
        <v>222</v>
      </c>
      <c r="B222" s="1" t="s">
        <v>696</v>
      </c>
      <c r="C222" s="1" t="s">
        <v>669</v>
      </c>
      <c r="D222" s="1" t="s">
        <v>704</v>
      </c>
      <c r="E222" s="1" t="s">
        <v>13</v>
      </c>
      <c r="F222" s="1">
        <v>0.2</v>
      </c>
      <c r="G222" s="1">
        <v>380</v>
      </c>
      <c r="H222" s="3">
        <v>76</v>
      </c>
      <c r="I222" s="1"/>
      <c r="J222" s="1">
        <v>10.11</v>
      </c>
      <c r="K222" s="1" t="s">
        <v>25</v>
      </c>
    </row>
    <row r="223" hidden="1" customHeight="1" spans="1:11">
      <c r="A223" s="3">
        <v>223</v>
      </c>
      <c r="B223" s="1" t="s">
        <v>741</v>
      </c>
      <c r="C223" s="1" t="s">
        <v>669</v>
      </c>
      <c r="D223" s="1" t="s">
        <v>762</v>
      </c>
      <c r="E223" s="1" t="s">
        <v>13</v>
      </c>
      <c r="F223" s="1">
        <v>0.16</v>
      </c>
      <c r="G223" s="1">
        <v>380</v>
      </c>
      <c r="H223" s="3">
        <v>60.8</v>
      </c>
      <c r="I223" s="1"/>
      <c r="J223" s="1">
        <v>10.11</v>
      </c>
      <c r="K223" s="1" t="s">
        <v>25</v>
      </c>
    </row>
    <row r="224" hidden="1" customHeight="1" spans="1:11">
      <c r="A224" s="3">
        <v>224</v>
      </c>
      <c r="B224" s="1" t="s">
        <v>727</v>
      </c>
      <c r="C224" s="1" t="s">
        <v>669</v>
      </c>
      <c r="D224" s="1" t="s">
        <v>763</v>
      </c>
      <c r="E224" s="1" t="s">
        <v>22</v>
      </c>
      <c r="F224" s="1">
        <v>0.25</v>
      </c>
      <c r="G224" s="1">
        <v>480</v>
      </c>
      <c r="H224" s="3">
        <v>120</v>
      </c>
      <c r="I224" s="1"/>
      <c r="J224" s="1">
        <v>10.11</v>
      </c>
      <c r="K224" s="1" t="s">
        <v>25</v>
      </c>
    </row>
    <row r="225" hidden="1" customHeight="1" spans="1:11">
      <c r="A225" s="3">
        <v>225</v>
      </c>
      <c r="B225" s="1" t="s">
        <v>715</v>
      </c>
      <c r="C225" s="1" t="s">
        <v>669</v>
      </c>
      <c r="D225" s="1" t="s">
        <v>763</v>
      </c>
      <c r="E225" s="1" t="s">
        <v>22</v>
      </c>
      <c r="F225" s="1">
        <v>0.4</v>
      </c>
      <c r="G225" s="1">
        <v>480</v>
      </c>
      <c r="H225" s="3">
        <v>192</v>
      </c>
      <c r="I225" s="1"/>
      <c r="J225" s="1">
        <v>10.11</v>
      </c>
      <c r="K225" s="1" t="s">
        <v>25</v>
      </c>
    </row>
    <row r="226" hidden="1" customHeight="1" spans="1:11">
      <c r="A226" s="3">
        <v>226</v>
      </c>
      <c r="B226" s="1" t="s">
        <v>757</v>
      </c>
      <c r="C226" s="1" t="s">
        <v>669</v>
      </c>
      <c r="D226" s="1" t="s">
        <v>204</v>
      </c>
      <c r="E226" s="1" t="s">
        <v>22</v>
      </c>
      <c r="F226" s="1">
        <v>0.47</v>
      </c>
      <c r="G226" s="1">
        <v>480</v>
      </c>
      <c r="H226" s="3">
        <v>225.6</v>
      </c>
      <c r="I226" s="1"/>
      <c r="J226" s="1">
        <v>10.11</v>
      </c>
      <c r="K226" s="1" t="s">
        <v>25</v>
      </c>
    </row>
    <row r="227" hidden="1" customHeight="1" spans="1:11">
      <c r="A227" s="3">
        <v>227</v>
      </c>
      <c r="B227" s="1" t="s">
        <v>716</v>
      </c>
      <c r="C227" s="1" t="s">
        <v>669</v>
      </c>
      <c r="D227" s="1" t="s">
        <v>204</v>
      </c>
      <c r="E227" s="1" t="s">
        <v>22</v>
      </c>
      <c r="F227" s="1">
        <v>0.64</v>
      </c>
      <c r="G227" s="1">
        <v>480</v>
      </c>
      <c r="H227" s="3">
        <v>307.2</v>
      </c>
      <c r="I227" s="1"/>
      <c r="J227" s="1">
        <v>10.11</v>
      </c>
      <c r="K227" s="1" t="s">
        <v>25</v>
      </c>
    </row>
    <row r="228" hidden="1" customHeight="1" spans="1:11">
      <c r="A228" s="3">
        <v>228</v>
      </c>
      <c r="B228" s="1" t="s">
        <v>728</v>
      </c>
      <c r="C228" s="1" t="s">
        <v>669</v>
      </c>
      <c r="D228" s="1" t="s">
        <v>204</v>
      </c>
      <c r="E228" s="1" t="s">
        <v>22</v>
      </c>
      <c r="F228" s="1">
        <v>0.69</v>
      </c>
      <c r="G228" s="1">
        <v>480</v>
      </c>
      <c r="H228" s="3">
        <v>331.2</v>
      </c>
      <c r="I228" s="1"/>
      <c r="J228" s="1">
        <v>10.11</v>
      </c>
      <c r="K228" s="1" t="s">
        <v>25</v>
      </c>
    </row>
    <row r="229" hidden="1" customHeight="1" spans="1:11">
      <c r="A229" s="3">
        <v>229</v>
      </c>
      <c r="B229" s="1" t="s">
        <v>712</v>
      </c>
      <c r="C229" s="1" t="s">
        <v>669</v>
      </c>
      <c r="D229" s="1" t="s">
        <v>204</v>
      </c>
      <c r="E229" s="1" t="s">
        <v>22</v>
      </c>
      <c r="F229" s="1">
        <v>0.8</v>
      </c>
      <c r="G229" s="1">
        <v>480</v>
      </c>
      <c r="H229" s="3">
        <v>384</v>
      </c>
      <c r="I229" s="1"/>
      <c r="J229" s="1">
        <v>10.11</v>
      </c>
      <c r="K229" s="1" t="s">
        <v>25</v>
      </c>
    </row>
    <row r="230" hidden="1" customHeight="1" spans="1:11">
      <c r="A230" s="3">
        <v>230</v>
      </c>
      <c r="B230" s="1" t="s">
        <v>801</v>
      </c>
      <c r="C230" s="1" t="s">
        <v>669</v>
      </c>
      <c r="D230" s="1" t="s">
        <v>204</v>
      </c>
      <c r="E230" s="1" t="s">
        <v>22</v>
      </c>
      <c r="F230" s="1">
        <v>0.1</v>
      </c>
      <c r="G230" s="1">
        <v>480</v>
      </c>
      <c r="H230" s="3">
        <v>48</v>
      </c>
      <c r="I230" s="1"/>
      <c r="J230" s="1">
        <v>10.11</v>
      </c>
      <c r="K230" s="1"/>
    </row>
    <row r="231" hidden="1" customHeight="1" spans="1:11">
      <c r="A231" s="3">
        <v>231</v>
      </c>
      <c r="B231" s="1" t="s">
        <v>747</v>
      </c>
      <c r="C231" s="1" t="s">
        <v>669</v>
      </c>
      <c r="D231" s="1" t="s">
        <v>204</v>
      </c>
      <c r="E231" s="1" t="s">
        <v>22</v>
      </c>
      <c r="F231" s="1">
        <v>0.51</v>
      </c>
      <c r="G231" s="1">
        <v>480</v>
      </c>
      <c r="H231" s="3">
        <v>244.8</v>
      </c>
      <c r="I231" s="1"/>
      <c r="J231" s="1">
        <v>10.11</v>
      </c>
      <c r="K231" s="1" t="s">
        <v>25</v>
      </c>
    </row>
    <row r="232" hidden="1" customHeight="1" spans="1:11">
      <c r="A232" s="3">
        <v>232</v>
      </c>
      <c r="B232" s="1" t="s">
        <v>712</v>
      </c>
      <c r="C232" s="1" t="s">
        <v>669</v>
      </c>
      <c r="D232" s="1" t="s">
        <v>204</v>
      </c>
      <c r="E232" s="1" t="s">
        <v>22</v>
      </c>
      <c r="F232" s="1">
        <v>0.15</v>
      </c>
      <c r="G232" s="1">
        <v>480</v>
      </c>
      <c r="H232" s="3">
        <v>72</v>
      </c>
      <c r="I232" s="1"/>
      <c r="J232" s="1">
        <v>10.11</v>
      </c>
      <c r="K232" s="1" t="s">
        <v>25</v>
      </c>
    </row>
    <row r="233" hidden="1" customHeight="1" spans="1:11">
      <c r="A233" s="3">
        <v>233</v>
      </c>
      <c r="B233" s="1" t="s">
        <v>715</v>
      </c>
      <c r="C233" s="1" t="s">
        <v>669</v>
      </c>
      <c r="D233" s="1" t="s">
        <v>204</v>
      </c>
      <c r="E233" s="1" t="s">
        <v>22</v>
      </c>
      <c r="F233" s="1">
        <v>0.15</v>
      </c>
      <c r="G233" s="1">
        <v>480</v>
      </c>
      <c r="H233" s="3">
        <v>72</v>
      </c>
      <c r="I233" s="1"/>
      <c r="J233" s="1">
        <v>10.11</v>
      </c>
      <c r="K233" s="1" t="s">
        <v>25</v>
      </c>
    </row>
    <row r="234" hidden="1" customHeight="1" spans="1:11">
      <c r="A234" s="3">
        <v>234</v>
      </c>
      <c r="B234" s="1" t="s">
        <v>712</v>
      </c>
      <c r="C234" s="1" t="s">
        <v>669</v>
      </c>
      <c r="D234" s="1" t="s">
        <v>764</v>
      </c>
      <c r="E234" s="1" t="s">
        <v>13</v>
      </c>
      <c r="F234" s="1">
        <v>0.31</v>
      </c>
      <c r="G234" s="1">
        <v>380</v>
      </c>
      <c r="H234" s="3">
        <v>117.8</v>
      </c>
      <c r="I234" s="1"/>
      <c r="J234" s="1">
        <v>10.11</v>
      </c>
      <c r="K234" s="1" t="s">
        <v>25</v>
      </c>
    </row>
    <row r="235" hidden="1" customHeight="1" spans="1:11">
      <c r="A235" s="3">
        <v>235</v>
      </c>
      <c r="B235" s="1" t="s">
        <v>696</v>
      </c>
      <c r="C235" s="1" t="s">
        <v>669</v>
      </c>
      <c r="D235" s="1" t="s">
        <v>764</v>
      </c>
      <c r="E235" s="1" t="s">
        <v>13</v>
      </c>
      <c r="F235" s="1">
        <v>0.1</v>
      </c>
      <c r="G235" s="1">
        <v>380</v>
      </c>
      <c r="H235" s="3">
        <v>38</v>
      </c>
      <c r="I235" s="1"/>
      <c r="J235" s="1">
        <v>10.11</v>
      </c>
      <c r="K235" s="1" t="s">
        <v>25</v>
      </c>
    </row>
    <row r="236" hidden="1" customHeight="1" spans="1:11">
      <c r="A236" s="3">
        <v>236</v>
      </c>
      <c r="B236" s="1" t="s">
        <v>714</v>
      </c>
      <c r="C236" s="1" t="s">
        <v>669</v>
      </c>
      <c r="D236" s="1" t="s">
        <v>326</v>
      </c>
      <c r="E236" s="1" t="s">
        <v>13</v>
      </c>
      <c r="F236" s="1">
        <v>0.15</v>
      </c>
      <c r="G236" s="1">
        <v>380</v>
      </c>
      <c r="H236" s="3">
        <v>57</v>
      </c>
      <c r="I236" s="1"/>
      <c r="J236" s="1">
        <v>10.11</v>
      </c>
      <c r="K236" s="1" t="s">
        <v>25</v>
      </c>
    </row>
    <row r="237" hidden="1" customHeight="1" spans="1:11">
      <c r="A237" s="3">
        <v>237</v>
      </c>
      <c r="B237" s="1" t="s">
        <v>731</v>
      </c>
      <c r="C237" s="1" t="s">
        <v>669</v>
      </c>
      <c r="D237" s="1" t="s">
        <v>765</v>
      </c>
      <c r="E237" s="1" t="s">
        <v>22</v>
      </c>
      <c r="F237" s="1">
        <v>0.5</v>
      </c>
      <c r="G237" s="1">
        <v>480</v>
      </c>
      <c r="H237" s="3">
        <v>240</v>
      </c>
      <c r="I237" s="1"/>
      <c r="J237" s="1">
        <v>10.11</v>
      </c>
      <c r="K237" s="1" t="s">
        <v>25</v>
      </c>
    </row>
    <row r="238" hidden="1" customHeight="1" spans="1:11">
      <c r="A238" s="3">
        <v>238</v>
      </c>
      <c r="B238" s="1" t="s">
        <v>766</v>
      </c>
      <c r="C238" s="1" t="s">
        <v>669</v>
      </c>
      <c r="D238" s="1" t="s">
        <v>765</v>
      </c>
      <c r="E238" s="1" t="s">
        <v>22</v>
      </c>
      <c r="F238" s="1">
        <v>0.15</v>
      </c>
      <c r="G238" s="1">
        <v>480</v>
      </c>
      <c r="H238" s="3">
        <v>72</v>
      </c>
      <c r="I238" s="1"/>
      <c r="J238" s="1">
        <v>10.11</v>
      </c>
      <c r="K238" s="1"/>
    </row>
    <row r="239" hidden="1" customHeight="1" spans="1:11">
      <c r="A239" s="3">
        <v>239</v>
      </c>
      <c r="B239" s="1" t="s">
        <v>715</v>
      </c>
      <c r="C239" s="1" t="s">
        <v>669</v>
      </c>
      <c r="D239" s="1" t="s">
        <v>765</v>
      </c>
      <c r="E239" s="1" t="s">
        <v>22</v>
      </c>
      <c r="F239" s="1">
        <v>0.05</v>
      </c>
      <c r="G239" s="1">
        <v>480</v>
      </c>
      <c r="H239" s="3">
        <v>24</v>
      </c>
      <c r="I239" s="1"/>
      <c r="J239" s="1">
        <v>10.11</v>
      </c>
      <c r="K239" s="1" t="s">
        <v>25</v>
      </c>
    </row>
    <row r="240" hidden="1" customHeight="1" spans="1:11">
      <c r="A240" s="3">
        <v>240</v>
      </c>
      <c r="B240" s="1" t="s">
        <v>731</v>
      </c>
      <c r="C240" s="1" t="s">
        <v>669</v>
      </c>
      <c r="D240" s="1" t="s">
        <v>767</v>
      </c>
      <c r="E240" s="1" t="s">
        <v>22</v>
      </c>
      <c r="F240" s="1">
        <v>1.08</v>
      </c>
      <c r="G240" s="1">
        <v>480</v>
      </c>
      <c r="H240" s="3">
        <v>518.4</v>
      </c>
      <c r="I240" s="1"/>
      <c r="J240" s="1">
        <v>10.11</v>
      </c>
      <c r="K240" s="1" t="s">
        <v>25</v>
      </c>
    </row>
    <row r="241" hidden="1" customHeight="1" spans="1:11">
      <c r="A241" s="3">
        <v>241</v>
      </c>
      <c r="B241" s="1" t="s">
        <v>696</v>
      </c>
      <c r="C241" s="1" t="s">
        <v>669</v>
      </c>
      <c r="D241" s="1" t="s">
        <v>759</v>
      </c>
      <c r="E241" s="1" t="s">
        <v>22</v>
      </c>
      <c r="F241" s="1">
        <v>0.12</v>
      </c>
      <c r="G241" s="1">
        <v>480</v>
      </c>
      <c r="H241" s="3">
        <v>57.6</v>
      </c>
      <c r="I241" s="1"/>
      <c r="J241" s="1">
        <v>10.11</v>
      </c>
      <c r="K241" s="1" t="s">
        <v>25</v>
      </c>
    </row>
    <row r="242" hidden="1" customHeight="1" spans="1:11">
      <c r="A242" s="3">
        <v>242</v>
      </c>
      <c r="B242" s="1" t="s">
        <v>801</v>
      </c>
      <c r="C242" s="1" t="s">
        <v>669</v>
      </c>
      <c r="D242" s="1" t="s">
        <v>767</v>
      </c>
      <c r="E242" s="1" t="s">
        <v>22</v>
      </c>
      <c r="F242" s="1">
        <v>0.41</v>
      </c>
      <c r="G242" s="1">
        <v>480</v>
      </c>
      <c r="H242" s="3">
        <v>196.8</v>
      </c>
      <c r="I242" s="1"/>
      <c r="J242" s="1">
        <v>10.11</v>
      </c>
      <c r="K242" s="1"/>
    </row>
    <row r="243" hidden="1" customHeight="1" spans="1:11">
      <c r="A243" s="3">
        <v>243</v>
      </c>
      <c r="B243" s="1" t="s">
        <v>740</v>
      </c>
      <c r="C243" s="1" t="s">
        <v>669</v>
      </c>
      <c r="D243" s="1" t="s">
        <v>767</v>
      </c>
      <c r="E243" s="1" t="s">
        <v>22</v>
      </c>
      <c r="F243" s="1">
        <v>0.7</v>
      </c>
      <c r="G243" s="1">
        <v>480</v>
      </c>
      <c r="H243" s="3">
        <v>336</v>
      </c>
      <c r="I243" s="1"/>
      <c r="J243" s="1">
        <v>10.11</v>
      </c>
      <c r="K243" s="1" t="s">
        <v>25</v>
      </c>
    </row>
    <row r="244" hidden="1" customHeight="1" spans="1:11">
      <c r="A244" s="3">
        <v>244</v>
      </c>
      <c r="B244" s="1" t="s">
        <v>714</v>
      </c>
      <c r="C244" s="1" t="s">
        <v>669</v>
      </c>
      <c r="D244" s="1" t="s">
        <v>767</v>
      </c>
      <c r="E244" s="1" t="s">
        <v>22</v>
      </c>
      <c r="F244" s="1">
        <v>0.6</v>
      </c>
      <c r="G244" s="1">
        <v>480</v>
      </c>
      <c r="H244" s="3">
        <v>288</v>
      </c>
      <c r="I244" s="1"/>
      <c r="J244" s="1">
        <v>10.11</v>
      </c>
      <c r="K244" s="1" t="s">
        <v>25</v>
      </c>
    </row>
    <row r="245" hidden="1" customHeight="1" spans="1:11">
      <c r="A245" s="3">
        <v>245</v>
      </c>
      <c r="B245" s="1" t="s">
        <v>801</v>
      </c>
      <c r="C245" s="1" t="s">
        <v>669</v>
      </c>
      <c r="D245" s="1" t="s">
        <v>767</v>
      </c>
      <c r="E245" s="1" t="s">
        <v>22</v>
      </c>
      <c r="F245" s="1">
        <v>0.98</v>
      </c>
      <c r="G245" s="1">
        <v>480</v>
      </c>
      <c r="H245" s="3">
        <v>470.4</v>
      </c>
      <c r="I245" s="1"/>
      <c r="J245" s="1">
        <v>10.11</v>
      </c>
      <c r="K245" s="1"/>
    </row>
    <row r="246" hidden="1" customHeight="1" spans="1:11">
      <c r="A246" s="3">
        <v>246</v>
      </c>
      <c r="B246" s="1" t="s">
        <v>724</v>
      </c>
      <c r="C246" s="1" t="s">
        <v>669</v>
      </c>
      <c r="D246" s="1" t="s">
        <v>767</v>
      </c>
      <c r="E246" s="1" t="s">
        <v>22</v>
      </c>
      <c r="F246" s="1">
        <v>0.3</v>
      </c>
      <c r="G246" s="1">
        <v>480</v>
      </c>
      <c r="H246" s="3">
        <v>144</v>
      </c>
      <c r="I246" s="1"/>
      <c r="J246" s="1">
        <v>10.11</v>
      </c>
      <c r="K246" s="1" t="s">
        <v>25</v>
      </c>
    </row>
    <row r="247" hidden="1" customHeight="1" spans="1:11">
      <c r="A247" s="3">
        <v>247</v>
      </c>
      <c r="B247" s="1" t="s">
        <v>705</v>
      </c>
      <c r="C247" s="1" t="s">
        <v>669</v>
      </c>
      <c r="D247" s="1" t="s">
        <v>767</v>
      </c>
      <c r="E247" s="1" t="s">
        <v>22</v>
      </c>
      <c r="F247" s="1">
        <v>0.85</v>
      </c>
      <c r="G247" s="1">
        <v>480</v>
      </c>
      <c r="H247" s="3">
        <v>408</v>
      </c>
      <c r="I247" s="1"/>
      <c r="J247" s="1">
        <v>10.11</v>
      </c>
      <c r="K247" s="1" t="s">
        <v>25</v>
      </c>
    </row>
    <row r="248" hidden="1" customHeight="1" spans="1:11">
      <c r="A248" s="3">
        <v>248</v>
      </c>
      <c r="B248" s="1" t="s">
        <v>760</v>
      </c>
      <c r="C248" s="1" t="s">
        <v>669</v>
      </c>
      <c r="D248" s="1" t="s">
        <v>767</v>
      </c>
      <c r="E248" s="1" t="s">
        <v>22</v>
      </c>
      <c r="F248" s="1">
        <v>0.1</v>
      </c>
      <c r="G248" s="1">
        <v>480</v>
      </c>
      <c r="H248" s="3">
        <v>48</v>
      </c>
      <c r="I248" s="1"/>
      <c r="J248" s="1">
        <v>10.11</v>
      </c>
      <c r="K248" s="1" t="s">
        <v>25</v>
      </c>
    </row>
    <row r="249" hidden="1" customHeight="1" spans="1:11">
      <c r="A249" s="3">
        <v>249</v>
      </c>
      <c r="B249" s="1" t="s">
        <v>716</v>
      </c>
      <c r="C249" s="1" t="s">
        <v>669</v>
      </c>
      <c r="D249" s="1" t="s">
        <v>767</v>
      </c>
      <c r="E249" s="1" t="s">
        <v>22</v>
      </c>
      <c r="F249" s="1">
        <v>1.5</v>
      </c>
      <c r="G249" s="1">
        <v>480</v>
      </c>
      <c r="H249" s="3">
        <v>720</v>
      </c>
      <c r="I249" s="1"/>
      <c r="J249" s="1">
        <v>10.11</v>
      </c>
      <c r="K249" s="1" t="s">
        <v>25</v>
      </c>
    </row>
    <row r="250" hidden="1" customHeight="1" spans="1:11">
      <c r="A250" s="3">
        <v>250</v>
      </c>
      <c r="B250" s="1" t="s">
        <v>705</v>
      </c>
      <c r="C250" s="1" t="s">
        <v>669</v>
      </c>
      <c r="D250" s="1" t="s">
        <v>768</v>
      </c>
      <c r="E250" s="1" t="s">
        <v>22</v>
      </c>
      <c r="F250" s="1">
        <v>0.3</v>
      </c>
      <c r="G250" s="1">
        <v>480</v>
      </c>
      <c r="H250" s="3">
        <v>144</v>
      </c>
      <c r="I250" s="1"/>
      <c r="J250" s="1">
        <v>10.11</v>
      </c>
      <c r="K250" s="1" t="s">
        <v>25</v>
      </c>
    </row>
    <row r="251" hidden="1" customHeight="1" spans="1:11">
      <c r="A251" s="3">
        <v>251</v>
      </c>
      <c r="B251" s="1" t="s">
        <v>736</v>
      </c>
      <c r="C251" s="1" t="s">
        <v>669</v>
      </c>
      <c r="D251" s="1" t="s">
        <v>769</v>
      </c>
      <c r="E251" s="1" t="s">
        <v>309</v>
      </c>
      <c r="F251" s="1">
        <v>0.03</v>
      </c>
      <c r="G251" s="1">
        <v>380</v>
      </c>
      <c r="H251" s="3">
        <v>11.4</v>
      </c>
      <c r="I251" s="1"/>
      <c r="J251" s="1">
        <v>10.12</v>
      </c>
      <c r="K251" s="1" t="s">
        <v>25</v>
      </c>
    </row>
    <row r="252" hidden="1" customHeight="1" spans="1:11">
      <c r="A252" s="3">
        <v>252</v>
      </c>
      <c r="B252" s="1" t="s">
        <v>716</v>
      </c>
      <c r="C252" s="1" t="s">
        <v>669</v>
      </c>
      <c r="D252" s="1" t="s">
        <v>769</v>
      </c>
      <c r="E252" s="1" t="s">
        <v>309</v>
      </c>
      <c r="F252" s="1">
        <v>0.35</v>
      </c>
      <c r="G252" s="1">
        <v>380</v>
      </c>
      <c r="H252" s="3">
        <v>133</v>
      </c>
      <c r="I252" s="1"/>
      <c r="J252" s="1">
        <v>10.12</v>
      </c>
      <c r="K252" s="1" t="s">
        <v>25</v>
      </c>
    </row>
    <row r="253" hidden="1" customHeight="1" spans="1:11">
      <c r="A253" s="3">
        <v>253</v>
      </c>
      <c r="B253" s="1" t="s">
        <v>725</v>
      </c>
      <c r="C253" s="1" t="s">
        <v>669</v>
      </c>
      <c r="D253" s="1" t="s">
        <v>769</v>
      </c>
      <c r="E253" s="1" t="s">
        <v>309</v>
      </c>
      <c r="F253" s="1">
        <v>0.4</v>
      </c>
      <c r="G253" s="1">
        <v>380</v>
      </c>
      <c r="H253" s="3">
        <v>152</v>
      </c>
      <c r="I253" s="1"/>
      <c r="J253" s="1">
        <v>10.12</v>
      </c>
      <c r="K253" s="1" t="s">
        <v>25</v>
      </c>
    </row>
    <row r="254" hidden="1" customHeight="1" spans="1:11">
      <c r="A254" s="3">
        <v>254</v>
      </c>
      <c r="B254" s="1" t="s">
        <v>728</v>
      </c>
      <c r="C254" s="1" t="s">
        <v>669</v>
      </c>
      <c r="D254" s="1" t="s">
        <v>769</v>
      </c>
      <c r="E254" s="1" t="s">
        <v>309</v>
      </c>
      <c r="F254" s="1">
        <v>0.4</v>
      </c>
      <c r="G254" s="1">
        <v>380</v>
      </c>
      <c r="H254" s="3">
        <v>152</v>
      </c>
      <c r="I254" s="1"/>
      <c r="J254" s="1">
        <v>10.12</v>
      </c>
      <c r="K254" s="1" t="s">
        <v>25</v>
      </c>
    </row>
    <row r="255" hidden="1" customHeight="1" spans="1:11">
      <c r="A255" s="3">
        <v>255</v>
      </c>
      <c r="B255" s="1" t="s">
        <v>705</v>
      </c>
      <c r="C255" s="1" t="s">
        <v>669</v>
      </c>
      <c r="D255" s="1" t="s">
        <v>769</v>
      </c>
      <c r="E255" s="1" t="s">
        <v>309</v>
      </c>
      <c r="F255" s="1">
        <v>1.39</v>
      </c>
      <c r="G255" s="1">
        <v>380</v>
      </c>
      <c r="H255" s="3">
        <v>528.2</v>
      </c>
      <c r="I255" s="1"/>
      <c r="J255" s="1">
        <v>10.12</v>
      </c>
      <c r="K255" s="1" t="s">
        <v>25</v>
      </c>
    </row>
    <row r="256" hidden="1" customHeight="1" spans="1:11">
      <c r="A256" s="3">
        <v>256</v>
      </c>
      <c r="B256" s="1" t="s">
        <v>705</v>
      </c>
      <c r="C256" s="1" t="s">
        <v>669</v>
      </c>
      <c r="D256" s="1" t="s">
        <v>769</v>
      </c>
      <c r="E256" s="1" t="s">
        <v>309</v>
      </c>
      <c r="F256" s="1">
        <v>0.6</v>
      </c>
      <c r="G256" s="1">
        <v>380</v>
      </c>
      <c r="H256" s="3">
        <v>228</v>
      </c>
      <c r="I256" s="1"/>
      <c r="J256" s="1">
        <v>10.12</v>
      </c>
      <c r="K256" s="1" t="s">
        <v>25</v>
      </c>
    </row>
    <row r="257" hidden="1" customHeight="1" spans="1:11">
      <c r="A257" s="3">
        <v>257</v>
      </c>
      <c r="B257" s="1" t="s">
        <v>732</v>
      </c>
      <c r="C257" s="1" t="s">
        <v>669</v>
      </c>
      <c r="D257" s="1" t="s">
        <v>769</v>
      </c>
      <c r="E257" s="1" t="s">
        <v>309</v>
      </c>
      <c r="F257" s="1">
        <v>0.8</v>
      </c>
      <c r="G257" s="1">
        <v>380</v>
      </c>
      <c r="H257" s="3">
        <v>304</v>
      </c>
      <c r="I257" s="1"/>
      <c r="J257" s="1">
        <v>10.12</v>
      </c>
      <c r="K257" s="1" t="s">
        <v>25</v>
      </c>
    </row>
    <row r="258" hidden="1" customHeight="1" spans="1:11">
      <c r="A258" s="3">
        <v>258</v>
      </c>
      <c r="B258" s="1" t="s">
        <v>709</v>
      </c>
      <c r="C258" s="1" t="s">
        <v>669</v>
      </c>
      <c r="D258" s="1" t="s">
        <v>769</v>
      </c>
      <c r="E258" s="1" t="s">
        <v>309</v>
      </c>
      <c r="F258" s="1">
        <v>0.81</v>
      </c>
      <c r="G258" s="1">
        <v>380</v>
      </c>
      <c r="H258" s="3">
        <v>307.8</v>
      </c>
      <c r="I258" s="1"/>
      <c r="J258" s="1">
        <v>10.12</v>
      </c>
      <c r="K258" s="1"/>
    </row>
    <row r="259" hidden="1" customHeight="1" spans="1:11">
      <c r="A259" s="3">
        <v>259</v>
      </c>
      <c r="B259" s="1" t="s">
        <v>743</v>
      </c>
      <c r="C259" s="1" t="s">
        <v>669</v>
      </c>
      <c r="D259" s="1" t="s">
        <v>769</v>
      </c>
      <c r="E259" s="1" t="s">
        <v>309</v>
      </c>
      <c r="F259" s="1">
        <v>0.8</v>
      </c>
      <c r="G259" s="1">
        <v>380</v>
      </c>
      <c r="H259" s="3">
        <v>304</v>
      </c>
      <c r="I259" s="1"/>
      <c r="J259" s="1">
        <v>10.12</v>
      </c>
      <c r="K259" s="1" t="s">
        <v>25</v>
      </c>
    </row>
    <row r="260" hidden="1" customHeight="1" spans="1:11">
      <c r="A260" s="3">
        <v>260</v>
      </c>
      <c r="B260" s="1" t="s">
        <v>736</v>
      </c>
      <c r="C260" s="1" t="s">
        <v>669</v>
      </c>
      <c r="D260" s="1" t="s">
        <v>769</v>
      </c>
      <c r="E260" s="1" t="s">
        <v>309</v>
      </c>
      <c r="F260" s="1">
        <v>1.85</v>
      </c>
      <c r="G260" s="1">
        <v>380</v>
      </c>
      <c r="H260" s="3">
        <v>703</v>
      </c>
      <c r="I260" s="1"/>
      <c r="J260" s="1">
        <v>10.12</v>
      </c>
      <c r="K260" s="1" t="s">
        <v>25</v>
      </c>
    </row>
    <row r="261" hidden="1" customHeight="1" spans="1:11">
      <c r="A261" s="3">
        <v>261</v>
      </c>
      <c r="B261" s="1" t="s">
        <v>705</v>
      </c>
      <c r="C261" s="1" t="s">
        <v>669</v>
      </c>
      <c r="D261" s="1" t="s">
        <v>769</v>
      </c>
      <c r="E261" s="1" t="s">
        <v>309</v>
      </c>
      <c r="F261" s="1">
        <v>0.1</v>
      </c>
      <c r="G261" s="1">
        <v>380</v>
      </c>
      <c r="H261" s="3">
        <v>38</v>
      </c>
      <c r="I261" s="1"/>
      <c r="J261" s="1">
        <v>10.12</v>
      </c>
      <c r="K261" s="1" t="s">
        <v>25</v>
      </c>
    </row>
    <row r="262" hidden="1" customHeight="1" spans="1:11">
      <c r="A262" s="3">
        <v>262</v>
      </c>
      <c r="B262" s="1" t="s">
        <v>700</v>
      </c>
      <c r="C262" s="1" t="s">
        <v>669</v>
      </c>
      <c r="D262" s="1" t="s">
        <v>319</v>
      </c>
      <c r="E262" s="1" t="s">
        <v>309</v>
      </c>
      <c r="F262" s="1">
        <v>0.85</v>
      </c>
      <c r="G262" s="1">
        <v>380</v>
      </c>
      <c r="H262" s="3">
        <v>323</v>
      </c>
      <c r="I262" s="1"/>
      <c r="J262" s="1">
        <v>10.12</v>
      </c>
      <c r="K262" s="1" t="s">
        <v>25</v>
      </c>
    </row>
    <row r="263" hidden="1" customHeight="1" spans="1:11">
      <c r="A263" s="3">
        <v>263</v>
      </c>
      <c r="B263" s="1" t="s">
        <v>747</v>
      </c>
      <c r="C263" s="1" t="s">
        <v>669</v>
      </c>
      <c r="D263" s="1" t="s">
        <v>246</v>
      </c>
      <c r="E263" s="1" t="s">
        <v>309</v>
      </c>
      <c r="F263" s="1">
        <v>0.75</v>
      </c>
      <c r="G263" s="1">
        <v>380</v>
      </c>
      <c r="H263" s="3">
        <v>285</v>
      </c>
      <c r="I263" s="1"/>
      <c r="J263" s="1">
        <v>10.12</v>
      </c>
      <c r="K263" s="1" t="s">
        <v>25</v>
      </c>
    </row>
    <row r="264" hidden="1" customHeight="1" spans="1:11">
      <c r="A264" s="3">
        <v>264</v>
      </c>
      <c r="B264" s="1" t="s">
        <v>731</v>
      </c>
      <c r="C264" s="1" t="s">
        <v>669</v>
      </c>
      <c r="D264" s="1" t="s">
        <v>246</v>
      </c>
      <c r="E264" s="1" t="s">
        <v>309</v>
      </c>
      <c r="F264" s="1">
        <v>1.66</v>
      </c>
      <c r="G264" s="1">
        <v>380</v>
      </c>
      <c r="H264" s="3">
        <v>630.8</v>
      </c>
      <c r="I264" s="1"/>
      <c r="J264" s="1">
        <v>10.12</v>
      </c>
      <c r="K264" s="1" t="s">
        <v>25</v>
      </c>
    </row>
    <row r="265" hidden="1" customHeight="1" spans="1:11">
      <c r="A265" s="3">
        <v>265</v>
      </c>
      <c r="B265" s="1" t="s">
        <v>757</v>
      </c>
      <c r="C265" s="1" t="s">
        <v>669</v>
      </c>
      <c r="D265" s="1" t="s">
        <v>412</v>
      </c>
      <c r="E265" s="1" t="s">
        <v>309</v>
      </c>
      <c r="F265" s="1">
        <v>0.62</v>
      </c>
      <c r="G265" s="1">
        <v>380</v>
      </c>
      <c r="H265" s="3">
        <v>235.6</v>
      </c>
      <c r="I265" s="1"/>
      <c r="J265" s="1">
        <v>10.12</v>
      </c>
      <c r="K265" s="1" t="s">
        <v>25</v>
      </c>
    </row>
    <row r="266" hidden="1" customHeight="1" spans="1:11">
      <c r="A266" s="3">
        <v>266</v>
      </c>
      <c r="B266" s="1" t="s">
        <v>757</v>
      </c>
      <c r="C266" s="1" t="s">
        <v>669</v>
      </c>
      <c r="D266" s="1" t="s">
        <v>329</v>
      </c>
      <c r="E266" s="1" t="s">
        <v>309</v>
      </c>
      <c r="F266" s="1">
        <v>1.22</v>
      </c>
      <c r="G266" s="1">
        <v>380</v>
      </c>
      <c r="H266" s="3">
        <v>463.6</v>
      </c>
      <c r="I266" s="1"/>
      <c r="J266" s="1">
        <v>10.12</v>
      </c>
      <c r="K266" s="1" t="s">
        <v>25</v>
      </c>
    </row>
    <row r="267" hidden="1" customHeight="1" spans="1:11">
      <c r="A267" s="3">
        <v>267</v>
      </c>
      <c r="B267" s="1" t="s">
        <v>757</v>
      </c>
      <c r="C267" s="1" t="s">
        <v>669</v>
      </c>
      <c r="D267" s="1" t="s">
        <v>329</v>
      </c>
      <c r="E267" s="1" t="s">
        <v>309</v>
      </c>
      <c r="F267" s="1">
        <v>0.33</v>
      </c>
      <c r="G267" s="1">
        <v>380</v>
      </c>
      <c r="H267" s="3">
        <v>125.4</v>
      </c>
      <c r="I267" s="1"/>
      <c r="J267" s="1">
        <v>10.12</v>
      </c>
      <c r="K267" s="1" t="s">
        <v>25</v>
      </c>
    </row>
    <row r="268" hidden="1" customHeight="1" spans="1:11">
      <c r="A268" s="3">
        <v>268</v>
      </c>
      <c r="B268" s="1" t="s">
        <v>725</v>
      </c>
      <c r="C268" s="1" t="s">
        <v>669</v>
      </c>
      <c r="D268" s="1" t="s">
        <v>329</v>
      </c>
      <c r="E268" s="1" t="s">
        <v>309</v>
      </c>
      <c r="F268" s="1">
        <v>0.45</v>
      </c>
      <c r="G268" s="1">
        <v>380</v>
      </c>
      <c r="H268" s="3">
        <v>171</v>
      </c>
      <c r="I268" s="1"/>
      <c r="J268" s="1">
        <v>10.12</v>
      </c>
      <c r="K268" s="1" t="s">
        <v>25</v>
      </c>
    </row>
    <row r="269" hidden="1" customHeight="1" spans="1:11">
      <c r="A269" s="3">
        <v>269</v>
      </c>
      <c r="B269" s="1" t="s">
        <v>700</v>
      </c>
      <c r="C269" s="1" t="s">
        <v>669</v>
      </c>
      <c r="D269" s="1" t="s">
        <v>329</v>
      </c>
      <c r="E269" s="1" t="s">
        <v>309</v>
      </c>
      <c r="F269" s="1">
        <v>0.57</v>
      </c>
      <c r="G269" s="1">
        <v>380</v>
      </c>
      <c r="H269" s="3">
        <v>216.6</v>
      </c>
      <c r="I269" s="1"/>
      <c r="J269" s="1">
        <v>10.12</v>
      </c>
      <c r="K269" s="1" t="s">
        <v>25</v>
      </c>
    </row>
    <row r="270" hidden="1" customHeight="1" spans="1:11">
      <c r="A270" s="3">
        <v>270</v>
      </c>
      <c r="B270" s="1" t="s">
        <v>740</v>
      </c>
      <c r="C270" s="1" t="s">
        <v>669</v>
      </c>
      <c r="D270" s="1" t="s">
        <v>329</v>
      </c>
      <c r="E270" s="1" t="s">
        <v>309</v>
      </c>
      <c r="F270" s="1">
        <v>0.6</v>
      </c>
      <c r="G270" s="1">
        <v>380</v>
      </c>
      <c r="H270" s="3">
        <v>228</v>
      </c>
      <c r="I270" s="1"/>
      <c r="J270" s="1">
        <v>10.12</v>
      </c>
      <c r="K270" s="1" t="s">
        <v>25</v>
      </c>
    </row>
    <row r="271" hidden="1" customHeight="1" spans="1:11">
      <c r="A271" s="3">
        <v>271</v>
      </c>
      <c r="B271" s="1" t="s">
        <v>714</v>
      </c>
      <c r="C271" s="1" t="s">
        <v>669</v>
      </c>
      <c r="D271" s="1" t="s">
        <v>329</v>
      </c>
      <c r="E271" s="1" t="s">
        <v>309</v>
      </c>
      <c r="F271" s="1">
        <v>1.2</v>
      </c>
      <c r="G271" s="1">
        <v>380</v>
      </c>
      <c r="H271" s="3">
        <v>456</v>
      </c>
      <c r="I271" s="1"/>
      <c r="J271" s="1">
        <v>10.12</v>
      </c>
      <c r="K271" s="1" t="s">
        <v>25</v>
      </c>
    </row>
    <row r="272" hidden="1" customHeight="1" spans="1:11">
      <c r="A272" s="3">
        <v>272</v>
      </c>
      <c r="B272" s="1" t="s">
        <v>760</v>
      </c>
      <c r="C272" s="1" t="s">
        <v>669</v>
      </c>
      <c r="D272" s="1" t="s">
        <v>329</v>
      </c>
      <c r="E272" s="1" t="s">
        <v>309</v>
      </c>
      <c r="F272" s="1">
        <v>1.25</v>
      </c>
      <c r="G272" s="1">
        <v>380</v>
      </c>
      <c r="H272" s="3">
        <v>475</v>
      </c>
      <c r="I272" s="1"/>
      <c r="J272" s="1">
        <v>10.12</v>
      </c>
      <c r="K272" s="1" t="s">
        <v>25</v>
      </c>
    </row>
    <row r="273" hidden="1" customHeight="1" spans="1:11">
      <c r="A273" s="3">
        <v>273</v>
      </c>
      <c r="B273" s="1" t="s">
        <v>712</v>
      </c>
      <c r="C273" s="1" t="s">
        <v>669</v>
      </c>
      <c r="D273" s="1" t="s">
        <v>329</v>
      </c>
      <c r="E273" s="1" t="s">
        <v>309</v>
      </c>
      <c r="F273" s="1">
        <v>0.16</v>
      </c>
      <c r="G273" s="1">
        <v>380</v>
      </c>
      <c r="H273" s="3">
        <v>60.8</v>
      </c>
      <c r="I273" s="1"/>
      <c r="J273" s="1">
        <v>10.12</v>
      </c>
      <c r="K273" s="1" t="s">
        <v>25</v>
      </c>
    </row>
    <row r="274" hidden="1" customHeight="1" spans="1:11">
      <c r="A274" s="3">
        <v>274</v>
      </c>
      <c r="B274" s="1" t="s">
        <v>727</v>
      </c>
      <c r="C274" s="1" t="s">
        <v>669</v>
      </c>
      <c r="D274" s="1" t="s">
        <v>772</v>
      </c>
      <c r="E274" s="1" t="s">
        <v>309</v>
      </c>
      <c r="F274" s="1">
        <v>0.4</v>
      </c>
      <c r="G274" s="1">
        <v>380</v>
      </c>
      <c r="H274" s="3">
        <v>152</v>
      </c>
      <c r="I274" s="1"/>
      <c r="J274" s="1">
        <v>10.12</v>
      </c>
      <c r="K274" s="1" t="s">
        <v>25</v>
      </c>
    </row>
    <row r="275" hidden="1" customHeight="1" spans="1:11">
      <c r="A275" s="3">
        <v>275</v>
      </c>
      <c r="B275" s="1" t="s">
        <v>727</v>
      </c>
      <c r="C275" s="1" t="s">
        <v>669</v>
      </c>
      <c r="D275" s="1" t="s">
        <v>772</v>
      </c>
      <c r="E275" s="1" t="s">
        <v>309</v>
      </c>
      <c r="F275" s="1">
        <v>0.22</v>
      </c>
      <c r="G275" s="1">
        <v>380</v>
      </c>
      <c r="H275" s="3">
        <v>83.6</v>
      </c>
      <c r="I275" s="1"/>
      <c r="J275" s="1">
        <v>10.12</v>
      </c>
      <c r="K275" s="1" t="s">
        <v>25</v>
      </c>
    </row>
    <row r="276" hidden="1" customHeight="1" spans="1:11">
      <c r="A276" s="3">
        <v>276</v>
      </c>
      <c r="B276" s="1" t="s">
        <v>718</v>
      </c>
      <c r="C276" s="1" t="s">
        <v>669</v>
      </c>
      <c r="D276" s="1" t="s">
        <v>772</v>
      </c>
      <c r="E276" s="1" t="s">
        <v>309</v>
      </c>
      <c r="F276" s="1">
        <v>0.54</v>
      </c>
      <c r="G276" s="1">
        <v>380</v>
      </c>
      <c r="H276" s="3">
        <v>205.2</v>
      </c>
      <c r="I276" s="1"/>
      <c r="J276" s="1">
        <v>10.12</v>
      </c>
      <c r="K276" s="1" t="s">
        <v>25</v>
      </c>
    </row>
    <row r="277" hidden="1" customHeight="1" spans="1:11">
      <c r="A277" s="3">
        <v>277</v>
      </c>
      <c r="B277" s="1" t="s">
        <v>700</v>
      </c>
      <c r="C277" s="1" t="s">
        <v>669</v>
      </c>
      <c r="D277" s="1" t="s">
        <v>772</v>
      </c>
      <c r="E277" s="1" t="s">
        <v>309</v>
      </c>
      <c r="F277" s="1">
        <v>0.3</v>
      </c>
      <c r="G277" s="1">
        <v>380</v>
      </c>
      <c r="H277" s="3">
        <v>114</v>
      </c>
      <c r="I277" s="1"/>
      <c r="J277" s="1">
        <v>10.12</v>
      </c>
      <c r="K277" s="1" t="s">
        <v>25</v>
      </c>
    </row>
    <row r="278" hidden="1" customHeight="1" spans="1:11">
      <c r="A278" s="3">
        <v>278</v>
      </c>
      <c r="B278" s="1" t="s">
        <v>725</v>
      </c>
      <c r="C278" s="1" t="s">
        <v>669</v>
      </c>
      <c r="D278" s="1" t="s">
        <v>772</v>
      </c>
      <c r="E278" s="1" t="s">
        <v>309</v>
      </c>
      <c r="F278" s="1">
        <v>2.34</v>
      </c>
      <c r="G278" s="1">
        <v>380</v>
      </c>
      <c r="H278" s="3">
        <v>889.2</v>
      </c>
      <c r="I278" s="1"/>
      <c r="J278" s="1">
        <v>10.12</v>
      </c>
      <c r="K278" s="1" t="s">
        <v>25</v>
      </c>
    </row>
    <row r="279" hidden="1" customHeight="1" spans="1:11">
      <c r="A279" s="3">
        <v>279</v>
      </c>
      <c r="B279" s="1" t="s">
        <v>730</v>
      </c>
      <c r="C279" s="1" t="s">
        <v>669</v>
      </c>
      <c r="D279" s="1" t="s">
        <v>772</v>
      </c>
      <c r="E279" s="1" t="s">
        <v>309</v>
      </c>
      <c r="F279" s="1">
        <v>0.14</v>
      </c>
      <c r="G279" s="1">
        <v>380</v>
      </c>
      <c r="H279" s="3">
        <v>53.2</v>
      </c>
      <c r="I279" s="1"/>
      <c r="J279" s="1">
        <v>10.12</v>
      </c>
      <c r="K279" s="1" t="s">
        <v>25</v>
      </c>
    </row>
    <row r="280" hidden="1" customHeight="1" spans="1:11">
      <c r="A280" s="3">
        <v>280</v>
      </c>
      <c r="B280" s="1" t="s">
        <v>719</v>
      </c>
      <c r="C280" s="1" t="s">
        <v>669</v>
      </c>
      <c r="D280" s="1" t="s">
        <v>772</v>
      </c>
      <c r="E280" s="1" t="s">
        <v>309</v>
      </c>
      <c r="F280" s="1">
        <v>0.14</v>
      </c>
      <c r="G280" s="1">
        <v>380</v>
      </c>
      <c r="H280" s="3">
        <v>53.2</v>
      </c>
      <c r="I280" s="1"/>
      <c r="J280" s="1">
        <v>10.12</v>
      </c>
      <c r="K280" s="1" t="s">
        <v>25</v>
      </c>
    </row>
    <row r="281" hidden="1" customHeight="1" spans="1:11">
      <c r="A281" s="3">
        <v>281</v>
      </c>
      <c r="B281" s="1" t="s">
        <v>696</v>
      </c>
      <c r="C281" s="1" t="s">
        <v>669</v>
      </c>
      <c r="D281" s="1" t="s">
        <v>772</v>
      </c>
      <c r="E281" s="1" t="s">
        <v>309</v>
      </c>
      <c r="F281" s="1">
        <v>0.14</v>
      </c>
      <c r="G281" s="1">
        <v>380</v>
      </c>
      <c r="H281" s="3">
        <v>53.2</v>
      </c>
      <c r="I281" s="1"/>
      <c r="J281" s="1">
        <v>10.12</v>
      </c>
      <c r="K281" s="1" t="s">
        <v>25</v>
      </c>
    </row>
    <row r="282" hidden="1" customHeight="1" spans="1:11">
      <c r="A282" s="3">
        <v>282</v>
      </c>
      <c r="B282" s="1" t="s">
        <v>747</v>
      </c>
      <c r="C282" s="1" t="s">
        <v>669</v>
      </c>
      <c r="D282" s="1" t="s">
        <v>773</v>
      </c>
      <c r="E282" s="1" t="s">
        <v>309</v>
      </c>
      <c r="F282" s="1">
        <v>0.76</v>
      </c>
      <c r="G282" s="1">
        <v>380</v>
      </c>
      <c r="H282" s="3">
        <v>288.8</v>
      </c>
      <c r="I282" s="1"/>
      <c r="J282" s="1">
        <v>10.12</v>
      </c>
      <c r="K282" s="1" t="s">
        <v>25</v>
      </c>
    </row>
    <row r="283" hidden="1" customHeight="1" spans="1:11">
      <c r="A283" s="3">
        <v>283</v>
      </c>
      <c r="B283" s="1" t="s">
        <v>730</v>
      </c>
      <c r="C283" s="1" t="s">
        <v>669</v>
      </c>
      <c r="D283" s="1" t="s">
        <v>773</v>
      </c>
      <c r="E283" s="1" t="s">
        <v>309</v>
      </c>
      <c r="F283" s="1">
        <v>0.4</v>
      </c>
      <c r="G283" s="1">
        <v>380</v>
      </c>
      <c r="H283" s="3">
        <v>152</v>
      </c>
      <c r="I283" s="1"/>
      <c r="J283" s="1">
        <v>10.12</v>
      </c>
      <c r="K283" s="1" t="s">
        <v>25</v>
      </c>
    </row>
    <row r="284" hidden="1" customHeight="1" spans="1:11">
      <c r="A284" s="3">
        <v>284</v>
      </c>
      <c r="B284" s="1" t="s">
        <v>718</v>
      </c>
      <c r="C284" s="1" t="s">
        <v>669</v>
      </c>
      <c r="D284" s="1" t="s">
        <v>154</v>
      </c>
      <c r="E284" s="1" t="s">
        <v>309</v>
      </c>
      <c r="F284" s="1">
        <v>0.01</v>
      </c>
      <c r="G284" s="1">
        <v>380</v>
      </c>
      <c r="H284" s="3">
        <v>3.8</v>
      </c>
      <c r="I284" s="1"/>
      <c r="J284" s="1">
        <v>10.12</v>
      </c>
      <c r="K284" s="1" t="s">
        <v>25</v>
      </c>
    </row>
    <row r="285" hidden="1" customHeight="1" spans="1:11">
      <c r="A285" s="3">
        <v>285</v>
      </c>
      <c r="B285" s="1" t="s">
        <v>696</v>
      </c>
      <c r="C285" s="1" t="s">
        <v>669</v>
      </c>
      <c r="D285" s="1" t="s">
        <v>154</v>
      </c>
      <c r="E285" s="1" t="s">
        <v>309</v>
      </c>
      <c r="F285" s="1">
        <v>0.01</v>
      </c>
      <c r="G285" s="1">
        <v>380</v>
      </c>
      <c r="H285" s="3">
        <v>3.8</v>
      </c>
      <c r="I285" s="1"/>
      <c r="J285" s="1">
        <v>10.12</v>
      </c>
      <c r="K285" s="1" t="s">
        <v>25</v>
      </c>
    </row>
    <row r="286" hidden="1" customHeight="1" spans="1:11">
      <c r="A286" s="3">
        <v>286</v>
      </c>
      <c r="B286" s="1" t="s">
        <v>760</v>
      </c>
      <c r="C286" s="1" t="s">
        <v>669</v>
      </c>
      <c r="D286" s="1" t="s">
        <v>154</v>
      </c>
      <c r="E286" s="1" t="s">
        <v>309</v>
      </c>
      <c r="F286" s="1">
        <v>0.18</v>
      </c>
      <c r="G286" s="1">
        <v>380</v>
      </c>
      <c r="H286" s="3">
        <v>68.4</v>
      </c>
      <c r="I286" s="1"/>
      <c r="J286" s="1">
        <v>10.12</v>
      </c>
      <c r="K286" s="1" t="s">
        <v>25</v>
      </c>
    </row>
    <row r="287" hidden="1" customHeight="1" spans="1:11">
      <c r="A287" s="3">
        <v>287</v>
      </c>
      <c r="B287" s="1" t="s">
        <v>725</v>
      </c>
      <c r="C287" s="1" t="s">
        <v>669</v>
      </c>
      <c r="D287" s="1" t="s">
        <v>154</v>
      </c>
      <c r="E287" s="1" t="s">
        <v>309</v>
      </c>
      <c r="F287" s="1">
        <v>0.32</v>
      </c>
      <c r="G287" s="1">
        <v>380</v>
      </c>
      <c r="H287" s="3">
        <v>121.6</v>
      </c>
      <c r="I287" s="1"/>
      <c r="J287" s="1">
        <v>10.12</v>
      </c>
      <c r="K287" s="1" t="s">
        <v>25</v>
      </c>
    </row>
    <row r="288" hidden="1" customHeight="1" spans="1:11">
      <c r="A288" s="3">
        <v>288</v>
      </c>
      <c r="B288" s="1" t="s">
        <v>712</v>
      </c>
      <c r="C288" s="1" t="s">
        <v>669</v>
      </c>
      <c r="D288" s="1" t="s">
        <v>154</v>
      </c>
      <c r="E288" s="1" t="s">
        <v>309</v>
      </c>
      <c r="F288" s="1">
        <v>0.77</v>
      </c>
      <c r="G288" s="1">
        <v>380</v>
      </c>
      <c r="H288" s="3">
        <v>292.6</v>
      </c>
      <c r="I288" s="1"/>
      <c r="J288" s="1">
        <v>10.12</v>
      </c>
      <c r="K288" s="1" t="s">
        <v>25</v>
      </c>
    </row>
    <row r="289" hidden="1" customHeight="1" spans="1:11">
      <c r="A289" s="3">
        <v>289</v>
      </c>
      <c r="B289" s="1" t="s">
        <v>731</v>
      </c>
      <c r="C289" s="1" t="s">
        <v>669</v>
      </c>
      <c r="D289" s="1" t="s">
        <v>154</v>
      </c>
      <c r="E289" s="1" t="s">
        <v>309</v>
      </c>
      <c r="F289" s="1">
        <v>0.25</v>
      </c>
      <c r="G289" s="1">
        <v>380</v>
      </c>
      <c r="H289" s="3">
        <v>95</v>
      </c>
      <c r="I289" s="1"/>
      <c r="J289" s="1">
        <v>10.12</v>
      </c>
      <c r="K289" s="1" t="s">
        <v>25</v>
      </c>
    </row>
    <row r="290" hidden="1" customHeight="1" spans="1:11">
      <c r="A290" s="3">
        <v>290</v>
      </c>
      <c r="B290" s="1" t="s">
        <v>718</v>
      </c>
      <c r="C290" s="1" t="s">
        <v>669</v>
      </c>
      <c r="D290" s="1" t="s">
        <v>154</v>
      </c>
      <c r="E290" s="1" t="s">
        <v>309</v>
      </c>
      <c r="F290" s="1">
        <v>0.26</v>
      </c>
      <c r="G290" s="1">
        <v>380</v>
      </c>
      <c r="H290" s="3">
        <v>98.8</v>
      </c>
      <c r="I290" s="1"/>
      <c r="J290" s="1">
        <v>10.12</v>
      </c>
      <c r="K290" s="1" t="s">
        <v>25</v>
      </c>
    </row>
    <row r="291" hidden="1" customHeight="1" spans="1:11">
      <c r="A291" s="3">
        <v>291</v>
      </c>
      <c r="B291" s="1" t="s">
        <v>730</v>
      </c>
      <c r="C291" s="1" t="s">
        <v>669</v>
      </c>
      <c r="D291" s="1" t="s">
        <v>493</v>
      </c>
      <c r="E291" s="1" t="s">
        <v>309</v>
      </c>
      <c r="F291" s="1">
        <v>0.63</v>
      </c>
      <c r="G291" s="1">
        <v>380</v>
      </c>
      <c r="H291" s="3">
        <v>239.4</v>
      </c>
      <c r="I291" s="1"/>
      <c r="J291" s="1">
        <v>10.12</v>
      </c>
      <c r="K291" s="1" t="s">
        <v>25</v>
      </c>
    </row>
    <row r="292" hidden="1" customHeight="1" spans="1:11">
      <c r="A292" s="3">
        <v>292</v>
      </c>
      <c r="B292" s="1" t="s">
        <v>696</v>
      </c>
      <c r="C292" s="1" t="s">
        <v>669</v>
      </c>
      <c r="D292" s="1" t="s">
        <v>774</v>
      </c>
      <c r="E292" s="1" t="s">
        <v>309</v>
      </c>
      <c r="F292" s="1">
        <v>2.3</v>
      </c>
      <c r="G292" s="1">
        <v>380</v>
      </c>
      <c r="H292" s="3">
        <v>874</v>
      </c>
      <c r="I292" s="1"/>
      <c r="J292" s="1">
        <v>10.12</v>
      </c>
      <c r="K292" s="1" t="s">
        <v>25</v>
      </c>
    </row>
    <row r="293" hidden="1" customHeight="1" spans="1:11">
      <c r="A293" s="3">
        <v>293</v>
      </c>
      <c r="B293" s="1" t="s">
        <v>801</v>
      </c>
      <c r="C293" s="1" t="s">
        <v>669</v>
      </c>
      <c r="D293" s="1" t="s">
        <v>329</v>
      </c>
      <c r="E293" s="1" t="s">
        <v>309</v>
      </c>
      <c r="F293" s="1">
        <v>1.1</v>
      </c>
      <c r="G293" s="1">
        <v>380</v>
      </c>
      <c r="H293" s="3">
        <v>418</v>
      </c>
      <c r="I293" s="1"/>
      <c r="J293" s="1">
        <v>10.12</v>
      </c>
      <c r="K293" s="1"/>
    </row>
    <row r="294" hidden="1" customHeight="1" spans="1:11">
      <c r="A294" s="3">
        <v>294</v>
      </c>
      <c r="B294" s="1" t="s">
        <v>716</v>
      </c>
      <c r="C294" s="1" t="s">
        <v>669</v>
      </c>
      <c r="D294" s="1" t="s">
        <v>774</v>
      </c>
      <c r="E294" s="1" t="s">
        <v>309</v>
      </c>
      <c r="F294" s="1">
        <v>0.7</v>
      </c>
      <c r="G294" s="1">
        <v>380</v>
      </c>
      <c r="H294" s="3">
        <v>266</v>
      </c>
      <c r="I294" s="1"/>
      <c r="J294" s="1">
        <v>10.12</v>
      </c>
      <c r="K294" s="1" t="s">
        <v>25</v>
      </c>
    </row>
    <row r="295" hidden="1" customHeight="1" spans="1:11">
      <c r="A295" s="3">
        <v>295</v>
      </c>
      <c r="B295" s="1" t="s">
        <v>718</v>
      </c>
      <c r="C295" s="1" t="s">
        <v>669</v>
      </c>
      <c r="D295" s="1" t="s">
        <v>774</v>
      </c>
      <c r="E295" s="1" t="s">
        <v>309</v>
      </c>
      <c r="F295" s="1">
        <v>0.1</v>
      </c>
      <c r="G295" s="1">
        <v>380</v>
      </c>
      <c r="H295" s="3">
        <v>38</v>
      </c>
      <c r="I295" s="1"/>
      <c r="J295" s="1">
        <v>10.12</v>
      </c>
      <c r="K295" s="1" t="s">
        <v>25</v>
      </c>
    </row>
    <row r="296" hidden="1" customHeight="1" spans="1:11">
      <c r="A296" s="3">
        <v>296</v>
      </c>
      <c r="B296" s="1" t="s">
        <v>747</v>
      </c>
      <c r="C296" s="1" t="s">
        <v>669</v>
      </c>
      <c r="D296" s="1" t="s">
        <v>774</v>
      </c>
      <c r="E296" s="1" t="s">
        <v>309</v>
      </c>
      <c r="F296" s="1">
        <v>0.03</v>
      </c>
      <c r="G296" s="1">
        <v>380</v>
      </c>
      <c r="H296" s="3">
        <v>11.4</v>
      </c>
      <c r="I296" s="1"/>
      <c r="J296" s="1">
        <v>10.12</v>
      </c>
      <c r="K296" s="1" t="s">
        <v>25</v>
      </c>
    </row>
    <row r="297" hidden="1" customHeight="1" spans="1:11">
      <c r="A297" s="3">
        <v>297</v>
      </c>
      <c r="B297" s="1" t="s">
        <v>700</v>
      </c>
      <c r="C297" s="1" t="s">
        <v>669</v>
      </c>
      <c r="D297" s="1" t="s">
        <v>774</v>
      </c>
      <c r="E297" s="1" t="s">
        <v>309</v>
      </c>
      <c r="F297" s="1">
        <v>0.5</v>
      </c>
      <c r="G297" s="1">
        <v>380</v>
      </c>
      <c r="H297" s="3">
        <v>178.6</v>
      </c>
      <c r="I297" s="1"/>
      <c r="J297" s="1">
        <v>10.12</v>
      </c>
      <c r="K297" s="1" t="s">
        <v>25</v>
      </c>
    </row>
    <row r="298" hidden="1" customHeight="1" spans="1:11">
      <c r="A298" s="3">
        <v>298</v>
      </c>
      <c r="B298" s="1" t="s">
        <v>698</v>
      </c>
      <c r="C298" s="1" t="s">
        <v>669</v>
      </c>
      <c r="D298" s="1" t="s">
        <v>774</v>
      </c>
      <c r="E298" s="1" t="s">
        <v>309</v>
      </c>
      <c r="F298" s="1">
        <v>0.1</v>
      </c>
      <c r="G298" s="1">
        <v>380</v>
      </c>
      <c r="H298" s="3">
        <v>38</v>
      </c>
      <c r="I298" s="1"/>
      <c r="J298" s="1">
        <v>10.12</v>
      </c>
      <c r="K298" s="1" t="s">
        <v>25</v>
      </c>
    </row>
    <row r="299" hidden="1" customHeight="1" spans="1:11">
      <c r="A299" s="3">
        <v>299</v>
      </c>
      <c r="B299" s="1" t="s">
        <v>718</v>
      </c>
      <c r="C299" s="1" t="s">
        <v>669</v>
      </c>
      <c r="D299" s="1" t="s">
        <v>776</v>
      </c>
      <c r="E299" s="1" t="s">
        <v>309</v>
      </c>
      <c r="F299" s="1">
        <v>0.13</v>
      </c>
      <c r="G299" s="1">
        <v>380</v>
      </c>
      <c r="H299" s="3">
        <v>49.4</v>
      </c>
      <c r="I299" s="1"/>
      <c r="J299" s="1">
        <v>10.12</v>
      </c>
      <c r="K299" s="1" t="s">
        <v>25</v>
      </c>
    </row>
    <row r="300" hidden="1" customHeight="1" spans="1:11">
      <c r="A300" s="3">
        <v>300</v>
      </c>
      <c r="B300" s="1" t="s">
        <v>747</v>
      </c>
      <c r="C300" s="1" t="s">
        <v>669</v>
      </c>
      <c r="D300" s="1" t="s">
        <v>329</v>
      </c>
      <c r="E300" s="1" t="s">
        <v>309</v>
      </c>
      <c r="F300" s="1">
        <v>0.13</v>
      </c>
      <c r="G300" s="1">
        <v>380</v>
      </c>
      <c r="H300" s="3">
        <v>49.4</v>
      </c>
      <c r="I300" s="1"/>
      <c r="J300" s="1">
        <v>10.12</v>
      </c>
      <c r="K300" s="1" t="s">
        <v>25</v>
      </c>
    </row>
    <row r="301" hidden="1" customHeight="1" spans="1:11">
      <c r="A301" s="3">
        <v>301</v>
      </c>
      <c r="B301" s="1" t="s">
        <v>777</v>
      </c>
      <c r="C301" s="1" t="s">
        <v>669</v>
      </c>
      <c r="D301" s="1" t="s">
        <v>456</v>
      </c>
      <c r="E301" s="1" t="s">
        <v>309</v>
      </c>
      <c r="F301" s="1">
        <v>0.14</v>
      </c>
      <c r="G301" s="1">
        <v>380</v>
      </c>
      <c r="H301" s="3">
        <v>53.2</v>
      </c>
      <c r="I301" s="1"/>
      <c r="J301" s="1">
        <v>10.12</v>
      </c>
      <c r="K301" s="1" t="s">
        <v>25</v>
      </c>
    </row>
    <row r="302" hidden="1" customHeight="1" spans="1:11">
      <c r="A302" s="3">
        <v>302</v>
      </c>
      <c r="B302" s="1" t="s">
        <v>757</v>
      </c>
      <c r="C302" s="1" t="s">
        <v>669</v>
      </c>
      <c r="D302" s="1" t="s">
        <v>778</v>
      </c>
      <c r="E302" s="1" t="s">
        <v>309</v>
      </c>
      <c r="F302" s="1">
        <v>1</v>
      </c>
      <c r="G302" s="1">
        <v>380</v>
      </c>
      <c r="H302" s="3">
        <v>380</v>
      </c>
      <c r="I302" s="1"/>
      <c r="J302" s="1">
        <v>10.12</v>
      </c>
      <c r="K302" s="1" t="s">
        <v>25</v>
      </c>
    </row>
    <row r="303" hidden="1" customHeight="1" spans="1:11">
      <c r="A303" s="3">
        <v>303</v>
      </c>
      <c r="B303" s="1" t="s">
        <v>736</v>
      </c>
      <c r="C303" s="1" t="s">
        <v>669</v>
      </c>
      <c r="D303" s="1" t="s">
        <v>456</v>
      </c>
      <c r="E303" s="1" t="s">
        <v>309</v>
      </c>
      <c r="F303" s="1">
        <v>0.3</v>
      </c>
      <c r="G303" s="1">
        <v>380</v>
      </c>
      <c r="H303" s="3">
        <v>114</v>
      </c>
      <c r="I303" s="1"/>
      <c r="J303" s="1">
        <v>10.12</v>
      </c>
      <c r="K303" s="1" t="s">
        <v>25</v>
      </c>
    </row>
    <row r="304" hidden="1" customHeight="1" spans="1:11">
      <c r="A304" s="3">
        <v>304</v>
      </c>
      <c r="B304" s="1" t="s">
        <v>724</v>
      </c>
      <c r="C304" s="1" t="s">
        <v>669</v>
      </c>
      <c r="D304" s="1" t="s">
        <v>456</v>
      </c>
      <c r="E304" s="1" t="s">
        <v>309</v>
      </c>
      <c r="F304" s="1">
        <v>1.3</v>
      </c>
      <c r="G304" s="1">
        <v>380</v>
      </c>
      <c r="H304" s="3">
        <v>494</v>
      </c>
      <c r="I304" s="1"/>
      <c r="J304" s="1">
        <v>10.12</v>
      </c>
      <c r="K304" s="1" t="s">
        <v>25</v>
      </c>
    </row>
    <row r="305" hidden="1" customHeight="1" spans="1:11">
      <c r="A305" s="3">
        <v>305</v>
      </c>
      <c r="B305" s="1" t="s">
        <v>696</v>
      </c>
      <c r="C305" s="1" t="s">
        <v>669</v>
      </c>
      <c r="D305" s="1" t="s">
        <v>779</v>
      </c>
      <c r="E305" s="1" t="s">
        <v>309</v>
      </c>
      <c r="F305" s="1">
        <v>0.51</v>
      </c>
      <c r="G305" s="1">
        <v>380</v>
      </c>
      <c r="H305" s="3">
        <v>193.8</v>
      </c>
      <c r="I305" s="1"/>
      <c r="J305" s="1">
        <v>10.12</v>
      </c>
      <c r="K305" s="1" t="s">
        <v>25</v>
      </c>
    </row>
    <row r="306" hidden="1" customHeight="1" spans="1:11">
      <c r="A306" s="3">
        <v>306</v>
      </c>
      <c r="B306" s="1" t="s">
        <v>736</v>
      </c>
      <c r="C306" s="1" t="s">
        <v>669</v>
      </c>
      <c r="D306" s="1" t="s">
        <v>772</v>
      </c>
      <c r="E306" s="1" t="s">
        <v>309</v>
      </c>
      <c r="F306" s="1">
        <v>1</v>
      </c>
      <c r="G306" s="1">
        <v>380</v>
      </c>
      <c r="H306" s="3">
        <v>380</v>
      </c>
      <c r="I306" s="1"/>
      <c r="J306" s="1">
        <v>10.12</v>
      </c>
      <c r="K306" s="1" t="s">
        <v>25</v>
      </c>
    </row>
    <row r="307" hidden="1" customHeight="1" spans="1:11">
      <c r="A307" s="3">
        <v>307</v>
      </c>
      <c r="B307" s="1" t="s">
        <v>719</v>
      </c>
      <c r="C307" s="1" t="s">
        <v>669</v>
      </c>
      <c r="D307" s="1" t="s">
        <v>772</v>
      </c>
      <c r="E307" s="1" t="s">
        <v>309</v>
      </c>
      <c r="F307" s="1">
        <v>0.7</v>
      </c>
      <c r="G307" s="1">
        <v>380</v>
      </c>
      <c r="H307" s="3">
        <v>266</v>
      </c>
      <c r="I307" s="1"/>
      <c r="J307" s="1">
        <v>10.12</v>
      </c>
      <c r="K307" s="1" t="s">
        <v>25</v>
      </c>
    </row>
    <row r="308" hidden="1" customHeight="1" spans="1:11">
      <c r="A308" s="3">
        <v>308</v>
      </c>
      <c r="B308" s="1" t="s">
        <v>696</v>
      </c>
      <c r="C308" s="1" t="s">
        <v>669</v>
      </c>
      <c r="D308" s="1" t="s">
        <v>780</v>
      </c>
      <c r="E308" s="1" t="s">
        <v>309</v>
      </c>
      <c r="F308" s="1">
        <v>1.2</v>
      </c>
      <c r="G308" s="1">
        <v>380</v>
      </c>
      <c r="H308" s="3">
        <v>456</v>
      </c>
      <c r="I308" s="1"/>
      <c r="J308" s="1">
        <v>10.12</v>
      </c>
      <c r="K308" s="1" t="s">
        <v>25</v>
      </c>
    </row>
    <row r="309" hidden="1" customHeight="1" spans="1:11">
      <c r="A309" s="3">
        <v>309</v>
      </c>
      <c r="B309" s="1" t="s">
        <v>705</v>
      </c>
      <c r="C309" s="1" t="s">
        <v>669</v>
      </c>
      <c r="D309" s="1" t="s">
        <v>780</v>
      </c>
      <c r="E309" s="1" t="s">
        <v>309</v>
      </c>
      <c r="F309" s="1">
        <v>0.8</v>
      </c>
      <c r="G309" s="1">
        <v>380</v>
      </c>
      <c r="H309" s="3">
        <v>304</v>
      </c>
      <c r="I309" s="1"/>
      <c r="J309" s="1">
        <v>10.12</v>
      </c>
      <c r="K309" s="1" t="s">
        <v>25</v>
      </c>
    </row>
    <row r="310" hidden="1" customHeight="1" spans="1:11">
      <c r="A310" s="3">
        <v>310</v>
      </c>
      <c r="B310" s="1" t="s">
        <v>727</v>
      </c>
      <c r="C310" s="1" t="s">
        <v>669</v>
      </c>
      <c r="D310" s="1" t="s">
        <v>780</v>
      </c>
      <c r="E310" s="1" t="s">
        <v>309</v>
      </c>
      <c r="F310" s="1">
        <v>0.3</v>
      </c>
      <c r="G310" s="1">
        <v>380</v>
      </c>
      <c r="H310" s="3">
        <v>114</v>
      </c>
      <c r="I310" s="1"/>
      <c r="J310" s="1">
        <v>10.12</v>
      </c>
      <c r="K310" s="1" t="s">
        <v>25</v>
      </c>
    </row>
    <row r="311" hidden="1" customHeight="1" spans="1:11">
      <c r="A311" s="3">
        <v>311</v>
      </c>
      <c r="B311" s="1" t="s">
        <v>746</v>
      </c>
      <c r="C311" s="1" t="s">
        <v>669</v>
      </c>
      <c r="D311" s="1" t="s">
        <v>780</v>
      </c>
      <c r="E311" s="1" t="s">
        <v>309</v>
      </c>
      <c r="F311" s="1">
        <v>1.1</v>
      </c>
      <c r="G311" s="1">
        <v>380</v>
      </c>
      <c r="H311" s="3">
        <v>418</v>
      </c>
      <c r="I311" s="1"/>
      <c r="J311" s="1">
        <v>10.12</v>
      </c>
      <c r="K311" s="1" t="s">
        <v>25</v>
      </c>
    </row>
    <row r="312" hidden="1" customHeight="1" spans="1:11">
      <c r="A312" s="3">
        <v>312</v>
      </c>
      <c r="B312" s="1" t="s">
        <v>703</v>
      </c>
      <c r="C312" s="1" t="s">
        <v>669</v>
      </c>
      <c r="D312" s="1" t="s">
        <v>780</v>
      </c>
      <c r="E312" s="1" t="s">
        <v>309</v>
      </c>
      <c r="F312" s="1">
        <v>0.3</v>
      </c>
      <c r="G312" s="1">
        <v>380</v>
      </c>
      <c r="H312" s="3">
        <v>114</v>
      </c>
      <c r="I312" s="1"/>
      <c r="J312" s="1">
        <v>10.12</v>
      </c>
      <c r="K312" s="1" t="s">
        <v>25</v>
      </c>
    </row>
    <row r="313" hidden="1" customHeight="1" spans="1:11">
      <c r="A313" s="3">
        <v>313</v>
      </c>
      <c r="B313" s="1" t="s">
        <v>712</v>
      </c>
      <c r="C313" s="1" t="s">
        <v>669</v>
      </c>
      <c r="D313" s="1" t="s">
        <v>780</v>
      </c>
      <c r="E313" s="1" t="s">
        <v>309</v>
      </c>
      <c r="F313" s="1">
        <v>0.6</v>
      </c>
      <c r="G313" s="1">
        <v>380</v>
      </c>
      <c r="H313" s="3">
        <v>228</v>
      </c>
      <c r="I313" s="1"/>
      <c r="J313" s="1">
        <v>10.12</v>
      </c>
      <c r="K313" s="1" t="s">
        <v>25</v>
      </c>
    </row>
    <row r="314" hidden="1" customHeight="1" spans="1:11">
      <c r="A314" s="3">
        <v>314</v>
      </c>
      <c r="B314" s="1" t="s">
        <v>705</v>
      </c>
      <c r="C314" s="1" t="s">
        <v>669</v>
      </c>
      <c r="D314" s="1" t="s">
        <v>312</v>
      </c>
      <c r="E314" s="1" t="s">
        <v>309</v>
      </c>
      <c r="F314" s="1">
        <v>1.2</v>
      </c>
      <c r="G314" s="1">
        <v>380</v>
      </c>
      <c r="H314" s="3">
        <v>456</v>
      </c>
      <c r="I314" s="1"/>
      <c r="J314" s="1">
        <v>10.12</v>
      </c>
      <c r="K314" s="1" t="s">
        <v>25</v>
      </c>
    </row>
    <row r="315" hidden="1" customHeight="1" spans="1:11">
      <c r="A315" s="3">
        <v>315</v>
      </c>
      <c r="B315" s="1" t="s">
        <v>712</v>
      </c>
      <c r="C315" s="1" t="s">
        <v>669</v>
      </c>
      <c r="D315" s="1" t="s">
        <v>778</v>
      </c>
      <c r="E315" s="1" t="s">
        <v>309</v>
      </c>
      <c r="F315" s="1">
        <v>0.7</v>
      </c>
      <c r="G315" s="1">
        <v>380</v>
      </c>
      <c r="H315" s="3">
        <v>266</v>
      </c>
      <c r="I315" s="1"/>
      <c r="J315" s="1">
        <v>10.12</v>
      </c>
      <c r="K315" s="1" t="s">
        <v>25</v>
      </c>
    </row>
    <row r="316" hidden="1" customHeight="1" spans="1:11">
      <c r="A316" s="3">
        <v>316</v>
      </c>
      <c r="B316" s="1" t="s">
        <v>703</v>
      </c>
      <c r="C316" s="1" t="s">
        <v>669</v>
      </c>
      <c r="D316" s="1" t="s">
        <v>778</v>
      </c>
      <c r="E316" s="1" t="s">
        <v>309</v>
      </c>
      <c r="F316" s="1">
        <v>0.53</v>
      </c>
      <c r="G316" s="1">
        <v>380</v>
      </c>
      <c r="H316" s="3">
        <v>201.4</v>
      </c>
      <c r="I316" s="1"/>
      <c r="J316" s="1">
        <v>10.12</v>
      </c>
      <c r="K316" s="1" t="s">
        <v>25</v>
      </c>
    </row>
    <row r="317" hidden="1" customHeight="1" spans="1:11">
      <c r="A317" s="3">
        <v>317</v>
      </c>
      <c r="B317" s="1" t="s">
        <v>766</v>
      </c>
      <c r="C317" s="1" t="s">
        <v>669</v>
      </c>
      <c r="D317" s="1" t="s">
        <v>778</v>
      </c>
      <c r="E317" s="1" t="s">
        <v>309</v>
      </c>
      <c r="F317" s="1">
        <v>0.4</v>
      </c>
      <c r="G317" s="1">
        <v>380</v>
      </c>
      <c r="H317" s="3">
        <v>152</v>
      </c>
      <c r="I317" s="1"/>
      <c r="J317" s="1">
        <v>10.12</v>
      </c>
      <c r="K317" s="1"/>
    </row>
    <row r="318" hidden="1" customHeight="1" spans="1:11">
      <c r="A318" s="3">
        <v>318</v>
      </c>
      <c r="B318" s="1" t="s">
        <v>748</v>
      </c>
      <c r="C318" s="1" t="s">
        <v>669</v>
      </c>
      <c r="D318" s="1" t="s">
        <v>781</v>
      </c>
      <c r="E318" s="1" t="s">
        <v>309</v>
      </c>
      <c r="F318" s="1">
        <v>0.9</v>
      </c>
      <c r="G318" s="1">
        <v>380</v>
      </c>
      <c r="H318" s="3">
        <v>342</v>
      </c>
      <c r="I318" s="1"/>
      <c r="J318" s="1">
        <v>10.12</v>
      </c>
      <c r="K318" s="1" t="s">
        <v>25</v>
      </c>
    </row>
    <row r="319" hidden="1" customHeight="1" spans="1:11">
      <c r="A319" s="3">
        <v>319</v>
      </c>
      <c r="B319" s="1" t="s">
        <v>731</v>
      </c>
      <c r="C319" s="1" t="s">
        <v>669</v>
      </c>
      <c r="D319" s="1" t="s">
        <v>781</v>
      </c>
      <c r="E319" s="1" t="s">
        <v>309</v>
      </c>
      <c r="F319" s="1">
        <v>0.6</v>
      </c>
      <c r="G319" s="1">
        <v>380</v>
      </c>
      <c r="H319" s="3">
        <v>228</v>
      </c>
      <c r="I319" s="1"/>
      <c r="J319" s="1">
        <v>10.12</v>
      </c>
      <c r="K319" s="1" t="s">
        <v>25</v>
      </c>
    </row>
    <row r="320" hidden="1" customHeight="1" spans="1:11">
      <c r="A320" s="3">
        <v>320</v>
      </c>
      <c r="B320" s="1" t="s">
        <v>727</v>
      </c>
      <c r="C320" s="1" t="s">
        <v>669</v>
      </c>
      <c r="D320" s="1" t="s">
        <v>782</v>
      </c>
      <c r="E320" s="1" t="s">
        <v>309</v>
      </c>
      <c r="F320" s="1">
        <v>0.2</v>
      </c>
      <c r="G320" s="1">
        <v>380</v>
      </c>
      <c r="H320" s="3">
        <v>76</v>
      </c>
      <c r="I320" s="1"/>
      <c r="J320" s="1">
        <v>10.12</v>
      </c>
      <c r="K320" s="1" t="s">
        <v>25</v>
      </c>
    </row>
    <row r="321" hidden="1" customHeight="1" spans="1:11">
      <c r="A321" s="3">
        <v>321</v>
      </c>
      <c r="B321" s="1" t="s">
        <v>783</v>
      </c>
      <c r="C321" s="1" t="s">
        <v>669</v>
      </c>
      <c r="D321" s="1" t="s">
        <v>782</v>
      </c>
      <c r="E321" s="1" t="s">
        <v>309</v>
      </c>
      <c r="F321" s="1">
        <v>0.66</v>
      </c>
      <c r="G321" s="1">
        <v>380</v>
      </c>
      <c r="H321" s="3">
        <v>250.8</v>
      </c>
      <c r="I321" s="1"/>
      <c r="J321" s="1">
        <v>10.12</v>
      </c>
      <c r="K321" s="1"/>
    </row>
    <row r="322" hidden="1" customHeight="1" spans="1:11">
      <c r="A322" s="3">
        <v>322</v>
      </c>
      <c r="B322" s="1" t="s">
        <v>724</v>
      </c>
      <c r="C322" s="1" t="s">
        <v>669</v>
      </c>
      <c r="D322" s="1" t="s">
        <v>782</v>
      </c>
      <c r="E322" s="1" t="s">
        <v>309</v>
      </c>
      <c r="F322" s="1">
        <v>0.8</v>
      </c>
      <c r="G322" s="1">
        <v>380</v>
      </c>
      <c r="H322" s="3">
        <v>304</v>
      </c>
      <c r="I322" s="1"/>
      <c r="J322" s="1">
        <v>10.12</v>
      </c>
      <c r="K322" s="1" t="s">
        <v>25</v>
      </c>
    </row>
    <row r="323" hidden="1" customHeight="1" spans="1:11">
      <c r="A323" s="3">
        <v>323</v>
      </c>
      <c r="B323" s="1" t="s">
        <v>703</v>
      </c>
      <c r="C323" s="1" t="s">
        <v>669</v>
      </c>
      <c r="D323" s="1" t="s">
        <v>784</v>
      </c>
      <c r="E323" s="1" t="s">
        <v>309</v>
      </c>
      <c r="F323" s="1">
        <v>1.59</v>
      </c>
      <c r="G323" s="1">
        <v>380</v>
      </c>
      <c r="H323" s="3">
        <v>604.2</v>
      </c>
      <c r="I323" s="1"/>
      <c r="J323" s="1">
        <v>10.12</v>
      </c>
      <c r="K323" s="1" t="s">
        <v>25</v>
      </c>
    </row>
    <row r="324" hidden="1" customHeight="1" spans="1:11">
      <c r="A324" s="3">
        <v>324</v>
      </c>
      <c r="B324" s="1" t="s">
        <v>785</v>
      </c>
      <c r="C324" s="1" t="s">
        <v>669</v>
      </c>
      <c r="D324" s="1" t="s">
        <v>493</v>
      </c>
      <c r="E324" s="1" t="s">
        <v>309</v>
      </c>
      <c r="F324" s="1">
        <v>0.58</v>
      </c>
      <c r="G324" s="1">
        <v>380</v>
      </c>
      <c r="H324" s="3">
        <v>220.4</v>
      </c>
      <c r="I324" s="1"/>
      <c r="J324" s="1">
        <v>10.12</v>
      </c>
      <c r="K324" s="1" t="s">
        <v>25</v>
      </c>
    </row>
    <row r="325" hidden="1" customHeight="1" spans="1:11">
      <c r="A325" s="3">
        <v>325</v>
      </c>
      <c r="B325" s="1" t="s">
        <v>728</v>
      </c>
      <c r="C325" s="1" t="s">
        <v>669</v>
      </c>
      <c r="D325" s="1" t="s">
        <v>784</v>
      </c>
      <c r="E325" s="1" t="s">
        <v>309</v>
      </c>
      <c r="F325" s="1">
        <v>2.3</v>
      </c>
      <c r="G325" s="1">
        <v>380</v>
      </c>
      <c r="H325" s="3">
        <v>874</v>
      </c>
      <c r="I325" s="1"/>
      <c r="J325" s="1">
        <v>10.12</v>
      </c>
      <c r="K325" s="1" t="s">
        <v>25</v>
      </c>
    </row>
    <row r="326" hidden="1" customHeight="1" spans="1:11">
      <c r="A326" s="3">
        <v>326</v>
      </c>
      <c r="B326" s="1" t="s">
        <v>785</v>
      </c>
      <c r="C326" s="1" t="s">
        <v>669</v>
      </c>
      <c r="D326" s="1" t="s">
        <v>493</v>
      </c>
      <c r="E326" s="1" t="s">
        <v>309</v>
      </c>
      <c r="F326" s="1">
        <v>0.45</v>
      </c>
      <c r="G326" s="1">
        <v>380</v>
      </c>
      <c r="H326" s="3">
        <v>171</v>
      </c>
      <c r="I326" s="1"/>
      <c r="J326" s="1">
        <v>10.12</v>
      </c>
      <c r="K326" s="1" t="s">
        <v>25</v>
      </c>
    </row>
    <row r="327" hidden="1" customHeight="1" spans="1:11">
      <c r="A327" s="3">
        <v>327</v>
      </c>
      <c r="B327" s="1" t="s">
        <v>801</v>
      </c>
      <c r="C327" s="1" t="s">
        <v>669</v>
      </c>
      <c r="D327" s="1" t="s">
        <v>493</v>
      </c>
      <c r="E327" s="1" t="s">
        <v>309</v>
      </c>
      <c r="F327" s="1">
        <v>0.78</v>
      </c>
      <c r="G327" s="1">
        <v>380</v>
      </c>
      <c r="H327" s="3">
        <v>296.4</v>
      </c>
      <c r="I327" s="1"/>
      <c r="J327" s="1">
        <v>10.12</v>
      </c>
      <c r="K327" s="1"/>
    </row>
    <row r="328" hidden="1" customHeight="1" spans="1:11">
      <c r="A328" s="3">
        <v>328</v>
      </c>
      <c r="B328" s="1" t="s">
        <v>747</v>
      </c>
      <c r="C328" s="1" t="s">
        <v>669</v>
      </c>
      <c r="D328" s="1" t="s">
        <v>493</v>
      </c>
      <c r="E328" s="1" t="s">
        <v>309</v>
      </c>
      <c r="F328" s="1">
        <v>0.95</v>
      </c>
      <c r="G328" s="1">
        <v>380</v>
      </c>
      <c r="H328" s="3">
        <v>361</v>
      </c>
      <c r="I328" s="1"/>
      <c r="J328" s="1">
        <v>10.12</v>
      </c>
      <c r="K328" s="1" t="s">
        <v>25</v>
      </c>
    </row>
    <row r="329" hidden="1" customHeight="1" spans="1:11">
      <c r="A329" s="3">
        <v>329</v>
      </c>
      <c r="B329" s="1" t="s">
        <v>801</v>
      </c>
      <c r="C329" s="1" t="s">
        <v>669</v>
      </c>
      <c r="D329" s="1" t="s">
        <v>784</v>
      </c>
      <c r="E329" s="1" t="s">
        <v>309</v>
      </c>
      <c r="F329" s="1">
        <v>1.85</v>
      </c>
      <c r="G329" s="1">
        <v>380</v>
      </c>
      <c r="H329" s="3">
        <v>703</v>
      </c>
      <c r="I329" s="1"/>
      <c r="J329" s="1">
        <v>10.12</v>
      </c>
      <c r="K329" s="1"/>
    </row>
    <row r="330" hidden="1" customHeight="1" spans="1:11">
      <c r="A330" s="3">
        <v>330</v>
      </c>
      <c r="B330" s="1" t="s">
        <v>703</v>
      </c>
      <c r="C330" s="1" t="s">
        <v>669</v>
      </c>
      <c r="D330" s="1" t="s">
        <v>784</v>
      </c>
      <c r="E330" s="1" t="s">
        <v>309</v>
      </c>
      <c r="F330" s="1">
        <v>0.3</v>
      </c>
      <c r="G330" s="1">
        <v>380</v>
      </c>
      <c r="H330" s="3">
        <v>114</v>
      </c>
      <c r="I330" s="1"/>
      <c r="J330" s="1">
        <v>10.12</v>
      </c>
      <c r="K330" s="1" t="s">
        <v>25</v>
      </c>
    </row>
    <row r="331" hidden="1" customHeight="1" spans="1:11">
      <c r="A331" s="3">
        <v>331</v>
      </c>
      <c r="B331" s="1" t="s">
        <v>724</v>
      </c>
      <c r="C331" s="1" t="s">
        <v>669</v>
      </c>
      <c r="D331" s="1" t="s">
        <v>784</v>
      </c>
      <c r="E331" s="1" t="s">
        <v>309</v>
      </c>
      <c r="F331" s="1">
        <v>0.39</v>
      </c>
      <c r="G331" s="1">
        <v>380</v>
      </c>
      <c r="H331" s="3">
        <v>148.2</v>
      </c>
      <c r="I331" s="1"/>
      <c r="J331" s="1">
        <v>10.12</v>
      </c>
      <c r="K331" s="1" t="s">
        <v>25</v>
      </c>
    </row>
    <row r="332" hidden="1" customHeight="1" spans="1:11">
      <c r="A332" s="3">
        <v>332</v>
      </c>
      <c r="B332" s="1" t="s">
        <v>748</v>
      </c>
      <c r="C332" s="1" t="s">
        <v>669</v>
      </c>
      <c r="D332" s="1" t="s">
        <v>782</v>
      </c>
      <c r="E332" s="1" t="s">
        <v>309</v>
      </c>
      <c r="F332" s="1">
        <v>0.2</v>
      </c>
      <c r="G332" s="1">
        <v>380</v>
      </c>
      <c r="H332" s="3">
        <v>76</v>
      </c>
      <c r="I332" s="1"/>
      <c r="J332" s="1">
        <v>10.12</v>
      </c>
      <c r="K332" s="1" t="s">
        <v>25</v>
      </c>
    </row>
    <row r="333" hidden="1" customHeight="1" spans="1:11">
      <c r="A333" s="3">
        <v>333</v>
      </c>
      <c r="B333" s="1" t="s">
        <v>715</v>
      </c>
      <c r="C333" s="1" t="s">
        <v>669</v>
      </c>
      <c r="D333" s="1" t="s">
        <v>786</v>
      </c>
      <c r="E333" s="1" t="s">
        <v>309</v>
      </c>
      <c r="F333" s="1">
        <v>0.2</v>
      </c>
      <c r="G333" s="1">
        <v>380</v>
      </c>
      <c r="H333" s="3">
        <v>76</v>
      </c>
      <c r="I333" s="1"/>
      <c r="J333" s="1">
        <v>10.12</v>
      </c>
      <c r="K333" s="1" t="s">
        <v>25</v>
      </c>
    </row>
    <row r="334" hidden="1" customHeight="1" spans="1:11">
      <c r="A334" s="3">
        <v>334</v>
      </c>
      <c r="B334" s="1" t="s">
        <v>748</v>
      </c>
      <c r="C334" s="1" t="s">
        <v>669</v>
      </c>
      <c r="D334" s="1" t="s">
        <v>786</v>
      </c>
      <c r="E334" s="1" t="s">
        <v>309</v>
      </c>
      <c r="F334" s="1">
        <v>0.2</v>
      </c>
      <c r="G334" s="1">
        <v>380</v>
      </c>
      <c r="H334" s="3">
        <v>76</v>
      </c>
      <c r="I334" s="1"/>
      <c r="J334" s="1">
        <v>10.12</v>
      </c>
      <c r="K334" s="1" t="s">
        <v>25</v>
      </c>
    </row>
    <row r="335" hidden="1" customHeight="1" spans="1:11">
      <c r="A335" s="3">
        <v>335</v>
      </c>
      <c r="B335" s="1" t="s">
        <v>747</v>
      </c>
      <c r="C335" s="1" t="s">
        <v>669</v>
      </c>
      <c r="D335" s="1" t="s">
        <v>786</v>
      </c>
      <c r="E335" s="1" t="s">
        <v>309</v>
      </c>
      <c r="F335" s="1">
        <v>0.2</v>
      </c>
      <c r="G335" s="1">
        <v>380</v>
      </c>
      <c r="H335" s="3">
        <v>76</v>
      </c>
      <c r="I335" s="1"/>
      <c r="J335" s="1">
        <v>10.12</v>
      </c>
      <c r="K335" s="1" t="s">
        <v>25</v>
      </c>
    </row>
    <row r="336" hidden="1" customHeight="1" spans="1:11">
      <c r="A336" s="3">
        <v>336</v>
      </c>
      <c r="B336" s="1" t="s">
        <v>746</v>
      </c>
      <c r="C336" s="1" t="s">
        <v>669</v>
      </c>
      <c r="D336" s="1" t="s">
        <v>786</v>
      </c>
      <c r="E336" s="1" t="s">
        <v>309</v>
      </c>
      <c r="F336" s="1">
        <v>0.2</v>
      </c>
      <c r="G336" s="1">
        <v>380</v>
      </c>
      <c r="H336" s="3">
        <v>76</v>
      </c>
      <c r="I336" s="1"/>
      <c r="J336" s="1">
        <v>10.12</v>
      </c>
      <c r="K336" s="1" t="s">
        <v>25</v>
      </c>
    </row>
    <row r="337" hidden="1" customHeight="1" spans="1:11">
      <c r="A337" s="3">
        <v>337</v>
      </c>
      <c r="B337" s="1" t="s">
        <v>696</v>
      </c>
      <c r="C337" s="1" t="s">
        <v>669</v>
      </c>
      <c r="D337" s="1" t="s">
        <v>786</v>
      </c>
      <c r="E337" s="1" t="s">
        <v>309</v>
      </c>
      <c r="F337" s="1">
        <v>0.3</v>
      </c>
      <c r="G337" s="1">
        <v>380</v>
      </c>
      <c r="H337" s="3">
        <v>114</v>
      </c>
      <c r="I337" s="1"/>
      <c r="J337" s="1">
        <v>10.12</v>
      </c>
      <c r="K337" s="1" t="s">
        <v>25</v>
      </c>
    </row>
    <row r="338" hidden="1" customHeight="1" spans="1:11">
      <c r="A338" s="3">
        <v>338</v>
      </c>
      <c r="B338" s="1" t="s">
        <v>724</v>
      </c>
      <c r="C338" s="1" t="s">
        <v>669</v>
      </c>
      <c r="D338" s="1" t="s">
        <v>786</v>
      </c>
      <c r="E338" s="1" t="s">
        <v>309</v>
      </c>
      <c r="F338" s="1">
        <v>0.3</v>
      </c>
      <c r="G338" s="1">
        <v>380</v>
      </c>
      <c r="H338" s="3">
        <v>114</v>
      </c>
      <c r="I338" s="1"/>
      <c r="J338" s="1">
        <v>10.12</v>
      </c>
      <c r="K338" s="1" t="s">
        <v>25</v>
      </c>
    </row>
    <row r="339" hidden="1" customHeight="1" spans="1:11">
      <c r="A339" s="3">
        <v>339</v>
      </c>
      <c r="B339" s="1" t="s">
        <v>716</v>
      </c>
      <c r="C339" s="1" t="s">
        <v>669</v>
      </c>
      <c r="D339" s="1" t="s">
        <v>786</v>
      </c>
      <c r="E339" s="1" t="s">
        <v>309</v>
      </c>
      <c r="F339" s="1">
        <v>0.35</v>
      </c>
      <c r="G339" s="1">
        <v>380</v>
      </c>
      <c r="H339" s="3">
        <v>133</v>
      </c>
      <c r="I339" s="1"/>
      <c r="J339" s="1">
        <v>10.12</v>
      </c>
      <c r="K339" s="1" t="s">
        <v>25</v>
      </c>
    </row>
    <row r="340" hidden="1" customHeight="1" spans="1:11">
      <c r="A340" s="3">
        <v>340</v>
      </c>
      <c r="B340" s="1" t="s">
        <v>728</v>
      </c>
      <c r="C340" s="1" t="s">
        <v>669</v>
      </c>
      <c r="D340" s="1" t="s">
        <v>786</v>
      </c>
      <c r="E340" s="1" t="s">
        <v>309</v>
      </c>
      <c r="F340" s="1">
        <v>0.1</v>
      </c>
      <c r="G340" s="1">
        <v>380</v>
      </c>
      <c r="H340" s="3">
        <v>38</v>
      </c>
      <c r="I340" s="1"/>
      <c r="J340" s="1">
        <v>10.12</v>
      </c>
      <c r="K340" s="1" t="s">
        <v>25</v>
      </c>
    </row>
    <row r="341" hidden="1" customHeight="1" spans="1:11">
      <c r="A341" s="3">
        <v>341</v>
      </c>
      <c r="B341" s="1" t="s">
        <v>716</v>
      </c>
      <c r="C341" s="1" t="s">
        <v>669</v>
      </c>
      <c r="D341" s="1" t="s">
        <v>786</v>
      </c>
      <c r="E341" s="1" t="s">
        <v>309</v>
      </c>
      <c r="F341" s="1">
        <v>0.96</v>
      </c>
      <c r="G341" s="1">
        <v>380</v>
      </c>
      <c r="H341" s="3">
        <v>364.8</v>
      </c>
      <c r="I341" s="1"/>
      <c r="J341" s="1">
        <v>10.12</v>
      </c>
      <c r="K341" s="1" t="s">
        <v>25</v>
      </c>
    </row>
    <row r="342" hidden="1" customHeight="1" spans="1:11">
      <c r="A342" s="3">
        <v>342</v>
      </c>
      <c r="B342" s="1" t="s">
        <v>724</v>
      </c>
      <c r="C342" s="1" t="s">
        <v>669</v>
      </c>
      <c r="D342" s="1" t="s">
        <v>787</v>
      </c>
      <c r="E342" s="1" t="s">
        <v>309</v>
      </c>
      <c r="F342" s="1">
        <v>0.2</v>
      </c>
      <c r="G342" s="1">
        <v>380</v>
      </c>
      <c r="H342" s="3">
        <v>76</v>
      </c>
      <c r="I342" s="1"/>
      <c r="J342" s="1">
        <v>10.12</v>
      </c>
      <c r="K342" s="1" t="s">
        <v>25</v>
      </c>
    </row>
    <row r="343" hidden="1" customHeight="1" spans="1:11">
      <c r="A343" s="3">
        <v>343</v>
      </c>
      <c r="B343" s="1" t="s">
        <v>728</v>
      </c>
      <c r="C343" s="1" t="s">
        <v>669</v>
      </c>
      <c r="D343" s="1" t="s">
        <v>787</v>
      </c>
      <c r="E343" s="1" t="s">
        <v>309</v>
      </c>
      <c r="F343" s="1">
        <v>0.55</v>
      </c>
      <c r="G343" s="1">
        <v>380</v>
      </c>
      <c r="H343" s="3">
        <v>209</v>
      </c>
      <c r="I343" s="1"/>
      <c r="J343" s="1">
        <v>10.12</v>
      </c>
      <c r="K343" s="1" t="s">
        <v>25</v>
      </c>
    </row>
    <row r="344" hidden="1" customHeight="1" spans="1:11">
      <c r="A344" s="3">
        <v>344</v>
      </c>
      <c r="B344" s="1" t="s">
        <v>732</v>
      </c>
      <c r="C344" s="1" t="s">
        <v>669</v>
      </c>
      <c r="D344" s="1" t="s">
        <v>527</v>
      </c>
      <c r="E344" s="1" t="s">
        <v>309</v>
      </c>
      <c r="F344" s="1">
        <v>0.55</v>
      </c>
      <c r="G344" s="1">
        <v>380</v>
      </c>
      <c r="H344" s="3">
        <v>209</v>
      </c>
      <c r="I344" s="1"/>
      <c r="J344" s="1">
        <v>10.12</v>
      </c>
      <c r="K344" s="1" t="s">
        <v>25</v>
      </c>
    </row>
    <row r="345" hidden="1" customHeight="1" spans="1:11">
      <c r="A345" s="3">
        <v>345</v>
      </c>
      <c r="B345" s="1" t="s">
        <v>730</v>
      </c>
      <c r="C345" s="1" t="s">
        <v>669</v>
      </c>
      <c r="D345" s="1" t="s">
        <v>158</v>
      </c>
      <c r="E345" s="1" t="s">
        <v>309</v>
      </c>
      <c r="F345" s="1">
        <v>0.35</v>
      </c>
      <c r="G345" s="1">
        <v>380</v>
      </c>
      <c r="H345" s="3">
        <v>133</v>
      </c>
      <c r="I345" s="1"/>
      <c r="J345" s="1">
        <v>10.12</v>
      </c>
      <c r="K345" s="1" t="s">
        <v>25</v>
      </c>
    </row>
    <row r="346" hidden="1" customHeight="1" spans="1:11">
      <c r="A346" s="3">
        <v>346</v>
      </c>
      <c r="B346" s="1" t="s">
        <v>725</v>
      </c>
      <c r="C346" s="1" t="s">
        <v>669</v>
      </c>
      <c r="D346" s="1" t="s">
        <v>158</v>
      </c>
      <c r="E346" s="1" t="s">
        <v>309</v>
      </c>
      <c r="F346" s="1">
        <v>0.9</v>
      </c>
      <c r="G346" s="1">
        <v>380</v>
      </c>
      <c r="H346" s="3">
        <v>342</v>
      </c>
      <c r="I346" s="1"/>
      <c r="J346" s="1">
        <v>10.12</v>
      </c>
      <c r="K346" s="1" t="s">
        <v>25</v>
      </c>
    </row>
    <row r="347" hidden="1" customHeight="1" spans="1:11">
      <c r="A347" s="3">
        <v>347</v>
      </c>
      <c r="B347" s="1" t="s">
        <v>747</v>
      </c>
      <c r="C347" s="1" t="s">
        <v>669</v>
      </c>
      <c r="D347" s="1" t="s">
        <v>158</v>
      </c>
      <c r="E347" s="1" t="s">
        <v>309</v>
      </c>
      <c r="F347" s="1">
        <v>0.65</v>
      </c>
      <c r="G347" s="1">
        <v>380</v>
      </c>
      <c r="H347" s="3">
        <v>247</v>
      </c>
      <c r="I347" s="1"/>
      <c r="J347" s="1">
        <v>10.12</v>
      </c>
      <c r="K347" s="1" t="s">
        <v>25</v>
      </c>
    </row>
    <row r="348" hidden="1" customHeight="1" spans="1:11">
      <c r="A348" s="3">
        <v>348</v>
      </c>
      <c r="B348" s="1" t="s">
        <v>698</v>
      </c>
      <c r="C348" s="1" t="s">
        <v>669</v>
      </c>
      <c r="D348" s="1" t="s">
        <v>158</v>
      </c>
      <c r="E348" s="1" t="s">
        <v>309</v>
      </c>
      <c r="F348" s="1">
        <v>0.46</v>
      </c>
      <c r="G348" s="1">
        <v>380</v>
      </c>
      <c r="H348" s="3">
        <v>174.8</v>
      </c>
      <c r="I348" s="1"/>
      <c r="J348" s="1">
        <v>10.12</v>
      </c>
      <c r="K348" s="1" t="s">
        <v>25</v>
      </c>
    </row>
    <row r="349" hidden="1" customHeight="1" spans="1:11">
      <c r="A349" s="3">
        <v>349</v>
      </c>
      <c r="B349" s="1" t="s">
        <v>730</v>
      </c>
      <c r="C349" s="1" t="s">
        <v>669</v>
      </c>
      <c r="D349" s="1" t="s">
        <v>421</v>
      </c>
      <c r="E349" s="1" t="s">
        <v>309</v>
      </c>
      <c r="F349" s="1">
        <v>0.35</v>
      </c>
      <c r="G349" s="1">
        <v>380</v>
      </c>
      <c r="H349" s="3">
        <v>133</v>
      </c>
      <c r="I349" s="1"/>
      <c r="J349" s="1">
        <v>10.12</v>
      </c>
      <c r="K349" s="1" t="s">
        <v>25</v>
      </c>
    </row>
    <row r="350" hidden="1" customHeight="1" spans="1:11">
      <c r="A350" s="3">
        <v>350</v>
      </c>
      <c r="B350" s="1" t="s">
        <v>727</v>
      </c>
      <c r="C350" s="1" t="s">
        <v>669</v>
      </c>
      <c r="D350" s="1" t="s">
        <v>421</v>
      </c>
      <c r="E350" s="1" t="s">
        <v>309</v>
      </c>
      <c r="F350" s="1">
        <v>0.45</v>
      </c>
      <c r="G350" s="1">
        <v>380</v>
      </c>
      <c r="H350" s="3">
        <v>171</v>
      </c>
      <c r="I350" s="1"/>
      <c r="J350" s="1">
        <v>10.12</v>
      </c>
      <c r="K350" s="1" t="s">
        <v>25</v>
      </c>
    </row>
    <row r="351" hidden="1" customHeight="1" spans="1:11">
      <c r="A351" s="3">
        <v>351</v>
      </c>
      <c r="B351" s="1" t="s">
        <v>732</v>
      </c>
      <c r="C351" s="1" t="s">
        <v>669</v>
      </c>
      <c r="D351" s="1" t="s">
        <v>421</v>
      </c>
      <c r="E351" s="1" t="s">
        <v>309</v>
      </c>
      <c r="F351" s="1">
        <v>0.15</v>
      </c>
      <c r="G351" s="1">
        <v>380</v>
      </c>
      <c r="H351" s="3">
        <v>57</v>
      </c>
      <c r="I351" s="1"/>
      <c r="J351" s="1">
        <v>10.12</v>
      </c>
      <c r="K351" s="1" t="s">
        <v>25</v>
      </c>
    </row>
    <row r="352" hidden="1" customHeight="1" spans="1:11">
      <c r="A352" s="3">
        <v>352</v>
      </c>
      <c r="B352" s="1" t="s">
        <v>698</v>
      </c>
      <c r="C352" s="1" t="s">
        <v>669</v>
      </c>
      <c r="D352" s="1" t="s">
        <v>421</v>
      </c>
      <c r="E352" s="1" t="s">
        <v>309</v>
      </c>
      <c r="F352" s="1">
        <v>0.7</v>
      </c>
      <c r="G352" s="1">
        <v>380</v>
      </c>
      <c r="H352" s="3">
        <v>266</v>
      </c>
      <c r="I352" s="1"/>
      <c r="J352" s="1">
        <v>10.12</v>
      </c>
      <c r="K352" s="1" t="s">
        <v>25</v>
      </c>
    </row>
    <row r="353" hidden="1" customHeight="1" spans="1:11">
      <c r="A353" s="3">
        <v>353</v>
      </c>
      <c r="B353" s="1" t="s">
        <v>730</v>
      </c>
      <c r="C353" s="1" t="s">
        <v>669</v>
      </c>
      <c r="D353" s="1" t="s">
        <v>421</v>
      </c>
      <c r="E353" s="1" t="s">
        <v>309</v>
      </c>
      <c r="F353" s="1">
        <v>0.35</v>
      </c>
      <c r="G353" s="1">
        <v>380</v>
      </c>
      <c r="H353" s="3">
        <v>133</v>
      </c>
      <c r="I353" s="1"/>
      <c r="J353" s="1">
        <v>10.12</v>
      </c>
      <c r="K353" s="1" t="s">
        <v>25</v>
      </c>
    </row>
    <row r="354" hidden="1" customHeight="1" spans="1:11">
      <c r="A354" s="3">
        <v>354</v>
      </c>
      <c r="B354" s="1" t="s">
        <v>730</v>
      </c>
      <c r="C354" s="1" t="s">
        <v>669</v>
      </c>
      <c r="D354" s="1" t="s">
        <v>788</v>
      </c>
      <c r="E354" s="1" t="s">
        <v>309</v>
      </c>
      <c r="F354" s="1">
        <v>0.45</v>
      </c>
      <c r="G354" s="1">
        <v>380</v>
      </c>
      <c r="H354" s="3">
        <v>171</v>
      </c>
      <c r="I354" s="1"/>
      <c r="J354" s="1">
        <v>10.12</v>
      </c>
      <c r="K354" s="1" t="s">
        <v>25</v>
      </c>
    </row>
    <row r="355" hidden="1" customHeight="1" spans="1:11">
      <c r="A355" s="3">
        <v>355</v>
      </c>
      <c r="B355" s="1" t="s">
        <v>698</v>
      </c>
      <c r="C355" s="1" t="s">
        <v>669</v>
      </c>
      <c r="D355" s="1" t="s">
        <v>429</v>
      </c>
      <c r="E355" s="1" t="s">
        <v>309</v>
      </c>
      <c r="F355" s="1">
        <v>2.1</v>
      </c>
      <c r="G355" s="1">
        <v>380</v>
      </c>
      <c r="H355" s="3">
        <v>798</v>
      </c>
      <c r="I355" s="1"/>
      <c r="J355" s="1">
        <v>10.12</v>
      </c>
      <c r="K355" s="1" t="s">
        <v>25</v>
      </c>
    </row>
    <row r="356" hidden="1" customHeight="1" spans="1:11">
      <c r="A356" s="3">
        <v>356</v>
      </c>
      <c r="B356" s="1" t="s">
        <v>801</v>
      </c>
      <c r="C356" s="1" t="s">
        <v>669</v>
      </c>
      <c r="D356" s="1" t="s">
        <v>789</v>
      </c>
      <c r="E356" s="1" t="s">
        <v>309</v>
      </c>
      <c r="F356" s="1">
        <v>1.13</v>
      </c>
      <c r="G356" s="1">
        <v>380</v>
      </c>
      <c r="H356" s="3">
        <v>429.4</v>
      </c>
      <c r="I356" s="1"/>
      <c r="J356" s="1">
        <v>10.12</v>
      </c>
      <c r="K356" s="1"/>
    </row>
    <row r="357" hidden="1" customHeight="1" spans="1:11">
      <c r="A357" s="3">
        <v>357</v>
      </c>
      <c r="B357" s="1" t="s">
        <v>724</v>
      </c>
      <c r="C357" s="1" t="s">
        <v>669</v>
      </c>
      <c r="D357" s="1" t="s">
        <v>789</v>
      </c>
      <c r="E357" s="1" t="s">
        <v>309</v>
      </c>
      <c r="F357" s="1">
        <v>0.8</v>
      </c>
      <c r="G357" s="1">
        <v>380</v>
      </c>
      <c r="H357" s="3">
        <v>304</v>
      </c>
      <c r="I357" s="1"/>
      <c r="J357" s="1">
        <v>10.12</v>
      </c>
      <c r="K357" s="1" t="s">
        <v>25</v>
      </c>
    </row>
    <row r="358" hidden="1" customHeight="1" spans="1:11">
      <c r="A358" s="3">
        <v>358</v>
      </c>
      <c r="B358" s="1" t="s">
        <v>715</v>
      </c>
      <c r="C358" s="1" t="s">
        <v>669</v>
      </c>
      <c r="D358" s="1" t="s">
        <v>789</v>
      </c>
      <c r="E358" s="1" t="s">
        <v>309</v>
      </c>
      <c r="F358" s="1">
        <v>0.2</v>
      </c>
      <c r="G358" s="1">
        <v>380</v>
      </c>
      <c r="H358" s="3">
        <v>76</v>
      </c>
      <c r="I358" s="1"/>
      <c r="J358" s="1">
        <v>10.12</v>
      </c>
      <c r="K358" s="1" t="s">
        <v>25</v>
      </c>
    </row>
    <row r="359" hidden="1" customHeight="1" spans="1:11">
      <c r="A359" s="3">
        <v>359</v>
      </c>
      <c r="B359" s="1" t="s">
        <v>747</v>
      </c>
      <c r="C359" s="1" t="s">
        <v>669</v>
      </c>
      <c r="D359" s="1" t="s">
        <v>789</v>
      </c>
      <c r="E359" s="1" t="s">
        <v>309</v>
      </c>
      <c r="F359" s="1">
        <v>0.2</v>
      </c>
      <c r="G359" s="1">
        <v>380</v>
      </c>
      <c r="H359" s="3">
        <v>76</v>
      </c>
      <c r="I359" s="1"/>
      <c r="J359" s="1">
        <v>10.12</v>
      </c>
      <c r="K359" s="1" t="s">
        <v>25</v>
      </c>
    </row>
    <row r="360" hidden="1" customHeight="1" spans="1:11">
      <c r="A360" s="3">
        <v>360</v>
      </c>
      <c r="B360" s="1" t="s">
        <v>748</v>
      </c>
      <c r="C360" s="1" t="s">
        <v>669</v>
      </c>
      <c r="D360" s="1" t="s">
        <v>789</v>
      </c>
      <c r="E360" s="1" t="s">
        <v>309</v>
      </c>
      <c r="F360" s="1">
        <v>0.2</v>
      </c>
      <c r="G360" s="1">
        <v>380</v>
      </c>
      <c r="H360" s="3">
        <v>76</v>
      </c>
      <c r="I360" s="1"/>
      <c r="J360" s="1">
        <v>10.12</v>
      </c>
      <c r="K360" s="1" t="s">
        <v>25</v>
      </c>
    </row>
    <row r="361" hidden="1" customHeight="1" spans="1:11">
      <c r="A361" s="3">
        <v>361</v>
      </c>
      <c r="B361" s="1" t="s">
        <v>746</v>
      </c>
      <c r="C361" s="1" t="s">
        <v>669</v>
      </c>
      <c r="D361" s="1" t="s">
        <v>789</v>
      </c>
      <c r="E361" s="1" t="s">
        <v>309</v>
      </c>
      <c r="F361" s="1">
        <v>0.2</v>
      </c>
      <c r="G361" s="1">
        <v>380</v>
      </c>
      <c r="H361" s="3">
        <v>76</v>
      </c>
      <c r="I361" s="1"/>
      <c r="J361" s="1">
        <v>10.12</v>
      </c>
      <c r="K361" s="1" t="s">
        <v>25</v>
      </c>
    </row>
    <row r="362" hidden="1" customHeight="1" spans="1:11">
      <c r="A362" s="3">
        <v>362</v>
      </c>
      <c r="B362" s="1" t="s">
        <v>718</v>
      </c>
      <c r="C362" s="1" t="s">
        <v>669</v>
      </c>
      <c r="D362" s="1" t="s">
        <v>789</v>
      </c>
      <c r="E362" s="1" t="s">
        <v>309</v>
      </c>
      <c r="F362" s="1">
        <v>0.3</v>
      </c>
      <c r="G362" s="1">
        <v>380</v>
      </c>
      <c r="H362" s="3">
        <v>114</v>
      </c>
      <c r="I362" s="1"/>
      <c r="J362" s="1">
        <v>10.12</v>
      </c>
      <c r="K362" s="1" t="s">
        <v>25</v>
      </c>
    </row>
    <row r="363" hidden="1" customHeight="1" spans="1:11">
      <c r="A363" s="3">
        <v>363</v>
      </c>
      <c r="B363" s="1" t="s">
        <v>724</v>
      </c>
      <c r="C363" s="1" t="s">
        <v>669</v>
      </c>
      <c r="D363" s="1" t="s">
        <v>789</v>
      </c>
      <c r="E363" s="1" t="s">
        <v>309</v>
      </c>
      <c r="F363" s="1">
        <v>0.3</v>
      </c>
      <c r="G363" s="1">
        <v>380</v>
      </c>
      <c r="H363" s="3">
        <v>114</v>
      </c>
      <c r="I363" s="1"/>
      <c r="J363" s="1">
        <v>10.12</v>
      </c>
      <c r="K363" s="1" t="s">
        <v>25</v>
      </c>
    </row>
    <row r="364" hidden="1" customHeight="1" spans="1:11">
      <c r="A364" s="16"/>
      <c r="B364" s="16" t="s">
        <v>668</v>
      </c>
      <c r="C364" s="16" t="s">
        <v>669</v>
      </c>
      <c r="D364" s="16"/>
      <c r="E364" s="16" t="s">
        <v>13</v>
      </c>
      <c r="F364" s="16">
        <v>0.15</v>
      </c>
      <c r="G364" s="16">
        <v>380</v>
      </c>
      <c r="H364" s="16"/>
      <c r="I364" s="16"/>
      <c r="J364" s="16" t="s">
        <v>802</v>
      </c>
      <c r="K364" s="16" t="s">
        <v>25</v>
      </c>
    </row>
    <row r="365" hidden="1" customHeight="1" spans="1:11">
      <c r="A365" s="17"/>
      <c r="B365" s="16" t="s">
        <v>684</v>
      </c>
      <c r="C365" s="16" t="s">
        <v>669</v>
      </c>
      <c r="D365" s="16"/>
      <c r="E365" s="16" t="s">
        <v>13</v>
      </c>
      <c r="F365" s="16">
        <v>2.3</v>
      </c>
      <c r="G365" s="17"/>
      <c r="H365" s="17"/>
      <c r="I365" s="17"/>
      <c r="J365" s="17"/>
      <c r="K365" s="16" t="s">
        <v>25</v>
      </c>
    </row>
    <row r="366" customHeight="1" spans="1:11">
      <c r="A366" s="17"/>
      <c r="B366" s="16" t="s">
        <v>800</v>
      </c>
      <c r="C366" s="16" t="s">
        <v>669</v>
      </c>
      <c r="D366" s="17" t="s">
        <v>329</v>
      </c>
      <c r="E366" s="16" t="s">
        <v>13</v>
      </c>
      <c r="F366" s="17">
        <v>0.9</v>
      </c>
      <c r="G366" s="16">
        <v>380</v>
      </c>
      <c r="H366" s="17"/>
      <c r="I366" s="17"/>
      <c r="J366" s="17"/>
      <c r="K366" s="16" t="s">
        <v>25</v>
      </c>
    </row>
    <row r="367" customHeight="1" spans="1:11">
      <c r="A367" s="17"/>
      <c r="B367" s="16" t="s">
        <v>800</v>
      </c>
      <c r="C367" s="16" t="s">
        <v>669</v>
      </c>
      <c r="D367" s="17" t="s">
        <v>328</v>
      </c>
      <c r="E367" s="16" t="s">
        <v>13</v>
      </c>
      <c r="F367" s="17">
        <v>0.2</v>
      </c>
      <c r="G367" s="16">
        <v>380</v>
      </c>
      <c r="H367" s="17"/>
      <c r="I367" s="17"/>
      <c r="J367" s="17"/>
      <c r="K367" s="16" t="s">
        <v>25</v>
      </c>
    </row>
    <row r="368" customHeight="1" spans="1:11">
      <c r="A368" s="17"/>
      <c r="B368" s="16" t="s">
        <v>800</v>
      </c>
      <c r="C368" s="16" t="s">
        <v>669</v>
      </c>
      <c r="D368" s="17" t="s">
        <v>154</v>
      </c>
      <c r="E368" s="16" t="s">
        <v>13</v>
      </c>
      <c r="F368" s="17">
        <v>0.33</v>
      </c>
      <c r="G368" s="16">
        <v>380</v>
      </c>
      <c r="H368" s="17"/>
      <c r="I368" s="17"/>
      <c r="J368" s="17"/>
      <c r="K368" s="16" t="s">
        <v>25</v>
      </c>
    </row>
    <row r="369" customHeight="1" spans="1:14">
      <c r="A369" s="17"/>
      <c r="B369" s="16" t="s">
        <v>800</v>
      </c>
      <c r="C369" s="16" t="s">
        <v>669</v>
      </c>
      <c r="D369" s="17" t="s">
        <v>402</v>
      </c>
      <c r="E369" s="16" t="s">
        <v>13</v>
      </c>
      <c r="F369" s="17">
        <v>0.3</v>
      </c>
      <c r="G369" s="16">
        <v>380</v>
      </c>
      <c r="H369" s="17"/>
      <c r="I369" s="17"/>
      <c r="J369" s="17"/>
      <c r="K369" s="16" t="s">
        <v>25</v>
      </c>
    </row>
    <row r="370" customHeight="1" spans="1:14">
      <c r="A370" s="17"/>
      <c r="B370" s="16" t="s">
        <v>800</v>
      </c>
      <c r="C370" s="16" t="s">
        <v>669</v>
      </c>
      <c r="D370" s="17" t="s">
        <v>803</v>
      </c>
      <c r="E370" s="16" t="s">
        <v>13</v>
      </c>
      <c r="F370" s="17">
        <v>0.15</v>
      </c>
      <c r="G370" s="16">
        <v>380</v>
      </c>
      <c r="H370" s="17"/>
      <c r="I370" s="17"/>
      <c r="J370" s="17"/>
      <c r="K370" s="16" t="s">
        <v>25</v>
      </c>
    </row>
    <row r="371" hidden="1" customHeight="1" spans="1:14">
      <c r="A371" s="17"/>
      <c r="B371" s="17" t="s">
        <v>799</v>
      </c>
      <c r="C371" s="16" t="s">
        <v>669</v>
      </c>
      <c r="D371" s="17" t="s">
        <v>329</v>
      </c>
      <c r="E371" s="16" t="s">
        <v>13</v>
      </c>
      <c r="F371" s="16">
        <v>1.5</v>
      </c>
      <c r="G371" s="16">
        <v>380</v>
      </c>
      <c r="H371" s="17"/>
      <c r="I371" s="17"/>
      <c r="J371" s="17"/>
      <c r="K371" s="16" t="s">
        <v>25</v>
      </c>
    </row>
    <row r="372" hidden="1" customHeight="1" spans="1:14">
      <c r="A372" s="17"/>
      <c r="B372" s="17" t="s">
        <v>799</v>
      </c>
      <c r="C372" s="16" t="s">
        <v>669</v>
      </c>
      <c r="D372" s="17" t="s">
        <v>328</v>
      </c>
      <c r="E372" s="16" t="s">
        <v>13</v>
      </c>
      <c r="F372" s="16">
        <v>0.65</v>
      </c>
      <c r="G372" s="16">
        <v>380</v>
      </c>
      <c r="H372" s="17"/>
      <c r="I372" s="17"/>
      <c r="J372" s="17"/>
      <c r="K372" s="16" t="s">
        <v>25</v>
      </c>
      <c r="N372" t="s">
        <v>804</v>
      </c>
    </row>
    <row r="373" hidden="1" customHeight="1" spans="1:14">
      <c r="A373" s="17"/>
      <c r="B373" s="17" t="s">
        <v>799</v>
      </c>
      <c r="C373" s="16" t="s">
        <v>669</v>
      </c>
      <c r="D373" s="17" t="s">
        <v>803</v>
      </c>
      <c r="E373" s="16" t="s">
        <v>13</v>
      </c>
      <c r="F373" s="16">
        <v>0.15</v>
      </c>
      <c r="G373" s="16">
        <v>380</v>
      </c>
      <c r="H373" s="17"/>
      <c r="I373" s="17"/>
      <c r="J373" s="17"/>
      <c r="K373" s="16" t="s">
        <v>25</v>
      </c>
    </row>
    <row r="374" hidden="1" customHeight="1" spans="1:14">
      <c r="A374" s="19"/>
      <c r="B374" s="19" t="s">
        <v>671</v>
      </c>
      <c r="C374" s="1" t="s">
        <v>669</v>
      </c>
      <c r="D374" s="19"/>
      <c r="E374" s="1" t="s">
        <v>13</v>
      </c>
      <c r="F374" s="19">
        <v>0.38</v>
      </c>
      <c r="G374" s="19"/>
      <c r="H374" s="19"/>
      <c r="I374" s="19"/>
      <c r="J374" s="19"/>
      <c r="K374" s="19"/>
    </row>
    <row r="375" hidden="1" customHeight="1" spans="1:14">
      <c r="A375" s="19"/>
      <c r="B375" s="19" t="s">
        <v>805</v>
      </c>
      <c r="C375" s="1" t="s">
        <v>669</v>
      </c>
      <c r="D375" s="19"/>
      <c r="E375" s="1" t="s">
        <v>13</v>
      </c>
      <c r="F375" s="19">
        <v>0.38</v>
      </c>
      <c r="G375" s="19"/>
      <c r="H375" s="19"/>
      <c r="I375" s="19"/>
      <c r="J375" s="19"/>
      <c r="K375" s="19"/>
    </row>
    <row r="376" hidden="1" customHeight="1" spans="1:14">
      <c r="A376" s="19"/>
      <c r="B376" s="19" t="s">
        <v>715</v>
      </c>
      <c r="C376" s="1" t="s">
        <v>669</v>
      </c>
      <c r="D376" s="19"/>
      <c r="E376" s="1" t="s">
        <v>13</v>
      </c>
      <c r="F376" s="19">
        <v>0.2</v>
      </c>
      <c r="G376" s="19"/>
      <c r="H376" s="19"/>
      <c r="I376" s="19"/>
      <c r="J376" s="19"/>
      <c r="K376" s="1" t="s">
        <v>25</v>
      </c>
    </row>
    <row r="377" hidden="1" customHeight="1" spans="1:14">
      <c r="A377" s="19"/>
      <c r="B377" s="19" t="s">
        <v>806</v>
      </c>
      <c r="C377" s="1" t="s">
        <v>669</v>
      </c>
      <c r="D377" s="19"/>
      <c r="E377" s="1" t="s">
        <v>22</v>
      </c>
      <c r="F377" s="19">
        <v>0.4</v>
      </c>
      <c r="G377" s="19"/>
      <c r="H377" s="19"/>
      <c r="I377" s="19"/>
      <c r="J377" s="19"/>
      <c r="K377" s="19"/>
    </row>
    <row r="378" hidden="1" customHeight="1" spans="1:14">
      <c r="A378" s="19"/>
      <c r="B378" s="19" t="s">
        <v>703</v>
      </c>
      <c r="C378" s="1" t="s">
        <v>669</v>
      </c>
      <c r="D378" s="19"/>
      <c r="E378" s="1" t="s">
        <v>22</v>
      </c>
      <c r="F378" s="19">
        <v>0.6</v>
      </c>
      <c r="G378" s="19"/>
      <c r="H378" s="19"/>
      <c r="I378" s="19"/>
      <c r="J378" s="19"/>
      <c r="K378" s="19"/>
    </row>
    <row r="379" hidden="1" customHeight="1" spans="1:14">
      <c r="A379" s="19"/>
      <c r="B379" s="19" t="s">
        <v>746</v>
      </c>
      <c r="C379" s="1" t="s">
        <v>669</v>
      </c>
      <c r="D379" s="19"/>
      <c r="E379" s="1" t="s">
        <v>22</v>
      </c>
      <c r="F379" s="19">
        <v>0.4</v>
      </c>
      <c r="G379" s="19"/>
      <c r="H379" s="19"/>
      <c r="I379" s="19"/>
      <c r="J379" s="19"/>
      <c r="K379" s="1" t="s">
        <v>25</v>
      </c>
    </row>
    <row r="380" hidden="1" customHeight="1" spans="1:14">
      <c r="A380" s="19"/>
      <c r="B380" s="19" t="s">
        <v>807</v>
      </c>
      <c r="C380" s="1" t="s">
        <v>669</v>
      </c>
      <c r="D380" s="19"/>
      <c r="E380" s="1" t="s">
        <v>22</v>
      </c>
      <c r="F380" s="19">
        <v>0.61</v>
      </c>
      <c r="G380" s="19"/>
      <c r="H380" s="19"/>
      <c r="I380" s="19"/>
      <c r="J380" s="19"/>
      <c r="K380" s="19"/>
    </row>
    <row r="381" hidden="1" customHeight="1" spans="1:14">
      <c r="E381"/>
    </row>
    <row r="382" hidden="1" customHeight="1" spans="1:14">
      <c r="E382"/>
      <c r="K382" t="s">
        <v>808</v>
      </c>
    </row>
    <row r="383" customHeight="1" spans="1:14">
      <c r="E383"/>
    </row>
    <row r="384" customHeight="1" spans="1:14">
      <c r="E384"/>
    </row>
    <row r="385" customHeight="1" spans="5:5">
      <c r="E385"/>
    </row>
    <row r="386" customHeight="1" spans="5:5">
      <c r="E386"/>
    </row>
    <row r="387" customHeight="1" spans="5:5">
      <c r="E387"/>
    </row>
    <row r="388" customHeight="1" spans="5:5">
      <c r="E388"/>
    </row>
    <row r="389" customHeight="1" spans="5:5">
      <c r="E389"/>
    </row>
    <row r="390" customHeight="1" spans="5:5">
      <c r="E390"/>
    </row>
    <row r="391" customHeight="1" spans="5:5">
      <c r="E391"/>
    </row>
    <row r="392" customHeight="1" spans="5:5">
      <c r="E392"/>
    </row>
    <row r="393" customHeight="1" spans="5:5">
      <c r="E393"/>
    </row>
    <row r="394" customHeight="1" spans="5:5">
      <c r="E394"/>
    </row>
    <row r="395" customHeight="1" spans="5:5">
      <c r="E395"/>
    </row>
    <row r="396" customHeight="1" spans="5:5">
      <c r="E396"/>
    </row>
  </sheetData>
  <autoFilter xmlns:etc="http://www.wps.cn/officeDocument/2017/etCustomData" ref="A1:L382" etc:filterBottomFollowUsedRange="0">
    <filterColumn colId="1">
      <customFilters>
        <customFilter operator="equal" val="汤火明（小）"/>
      </customFilters>
    </filterColumn>
    <extLst/>
  </autoFilter>
  <mergeCells count="1">
    <mergeCell ref="A1:J1"/>
  </mergeCells>
  <pageMargins left="0.236111111111111" right="0.156944444444444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"/>
  <sheetViews>
    <sheetView workbookViewId="0">
      <selection activeCell="J7" sqref="J7"/>
    </sheetView>
  </sheetViews>
  <sheetFormatPr defaultColWidth="9" defaultRowHeight="27" customHeight="1"/>
  <cols>
    <col min="1" max="1" width="9" style="1"/>
    <col min="2" max="2" width="14.6296296296296" style="1" customWidth="1"/>
    <col min="3" max="3" width="21" style="1" customWidth="1"/>
    <col min="4" max="5" width="10.8796296296296" style="1" customWidth="1"/>
    <col min="6" max="6" width="11.8796296296296" style="1" customWidth="1"/>
    <col min="7" max="8" width="9" style="1"/>
    <col min="9" max="9" width="10.3796296296296" style="1" customWidth="1"/>
    <col min="10" max="10" width="10.1296296296296" style="1" customWidth="1"/>
    <col min="11" max="11" width="13.8796296296296" style="1" customWidth="1"/>
    <col min="12" max="16384" width="9" style="1"/>
  </cols>
  <sheetData>
    <row r="1" customHeight="1" spans="1:11">
      <c r="A1" s="2" t="s">
        <v>798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45" customHeight="1" spans="1:11">
      <c r="A2" s="3" t="s">
        <v>0</v>
      </c>
      <c r="B2" s="3" t="s">
        <v>1</v>
      </c>
      <c r="C2" s="3" t="s">
        <v>809</v>
      </c>
      <c r="D2" s="3" t="s">
        <v>2</v>
      </c>
      <c r="E2" s="4" t="s">
        <v>810</v>
      </c>
      <c r="F2" s="4" t="s">
        <v>5</v>
      </c>
      <c r="G2" s="4" t="s">
        <v>811</v>
      </c>
      <c r="H2" s="4" t="s">
        <v>812</v>
      </c>
      <c r="I2" s="4" t="s">
        <v>813</v>
      </c>
      <c r="J2" s="3" t="s">
        <v>8</v>
      </c>
      <c r="K2" s="3" t="s">
        <v>814</v>
      </c>
    </row>
    <row r="3" customHeight="1" spans="1:11">
      <c r="A3" s="5">
        <f>MAX($A$2:A2)+1</f>
        <v>1</v>
      </c>
      <c r="B3" s="5" t="s">
        <v>815</v>
      </c>
      <c r="C3" s="5" t="e">
        <f>VLOOKUP(B3,'[1]11组'!$A:$B,2,0)</f>
        <v>#N/A</v>
      </c>
      <c r="D3" s="5">
        <v>9</v>
      </c>
      <c r="E3" s="1" t="s">
        <v>22</v>
      </c>
      <c r="F3" s="1">
        <v>0.11</v>
      </c>
      <c r="G3" s="1">
        <v>480</v>
      </c>
      <c r="H3" s="1">
        <f>G3*F3</f>
        <v>52.8</v>
      </c>
      <c r="I3" s="5">
        <v>178.2</v>
      </c>
      <c r="K3" s="1" t="e">
        <f>VLOOKUP(C3,[1]sheet1中岗村户籍!$C:$I,7,0)</f>
        <v>#N/A</v>
      </c>
    </row>
    <row r="4" customHeight="1" spans="1:11">
      <c r="A4" s="6"/>
      <c r="B4" s="6"/>
      <c r="C4" s="6"/>
      <c r="D4" s="6"/>
      <c r="E4" s="7" t="s">
        <v>13</v>
      </c>
      <c r="F4" s="1">
        <v>0.33</v>
      </c>
      <c r="G4" s="1">
        <v>380</v>
      </c>
      <c r="H4" s="1">
        <f t="shared" ref="H4:H35" si="0">G4*F4</f>
        <v>125.4</v>
      </c>
      <c r="I4" s="6"/>
      <c r="K4" s="1" t="e">
        <f>VLOOKUP(C4,[1]sheet1中岗村户籍!$C:$I,7,0)</f>
        <v>#N/A</v>
      </c>
    </row>
    <row r="5" customHeight="1" spans="1:11">
      <c r="A5" s="5">
        <f>MAX($A$2:A3)+1</f>
        <v>2</v>
      </c>
      <c r="B5" s="5" t="s">
        <v>17</v>
      </c>
      <c r="C5" s="5" t="e">
        <f>VLOOKUP(B5,'[1]11组'!$A:$B,2,0)</f>
        <v>#N/A</v>
      </c>
      <c r="D5" s="5">
        <v>9</v>
      </c>
      <c r="E5" s="7" t="s">
        <v>22</v>
      </c>
      <c r="F5" s="1">
        <v>0.52</v>
      </c>
      <c r="G5" s="1">
        <v>480</v>
      </c>
      <c r="H5" s="1">
        <f t="shared" si="0"/>
        <v>249.6</v>
      </c>
      <c r="I5" s="5">
        <v>1578.4</v>
      </c>
      <c r="K5" s="1" t="e">
        <f>VLOOKUP(C5,[1]sheet1中岗村户籍!$C:$I,7,0)</f>
        <v>#N/A</v>
      </c>
    </row>
    <row r="6" customHeight="1" spans="1:11">
      <c r="A6" s="6"/>
      <c r="B6" s="6"/>
      <c r="C6" s="6"/>
      <c r="D6" s="6"/>
      <c r="E6" s="7" t="s">
        <v>13</v>
      </c>
      <c r="F6" s="1">
        <v>0.19</v>
      </c>
      <c r="G6" s="1">
        <v>380</v>
      </c>
      <c r="H6" s="1">
        <f t="shared" si="0"/>
        <v>72.2</v>
      </c>
      <c r="I6" s="6"/>
      <c r="K6" s="1" t="e">
        <f>VLOOKUP(C6,[1]sheet1中岗村户籍!$C:$I,7,0)</f>
        <v>#N/A</v>
      </c>
    </row>
    <row r="7" customHeight="1" spans="1:11">
      <c r="A7" s="5">
        <f>MAX($A$2:A5)+1</f>
        <v>3</v>
      </c>
      <c r="B7" s="5" t="s">
        <v>62</v>
      </c>
      <c r="C7" s="5" t="e">
        <f>VLOOKUP(B7,'[1]11组'!$A:$B,2,0)</f>
        <v>#N/A</v>
      </c>
      <c r="D7" s="5">
        <v>9</v>
      </c>
      <c r="E7" s="7" t="s">
        <v>22</v>
      </c>
      <c r="F7" s="1">
        <v>0.41</v>
      </c>
      <c r="G7" s="1">
        <v>480</v>
      </c>
      <c r="H7" s="1">
        <f t="shared" si="0"/>
        <v>196.8</v>
      </c>
      <c r="I7" s="5">
        <v>1406.6</v>
      </c>
      <c r="K7" s="1" t="e">
        <f>VLOOKUP(C7,[1]sheet1中岗村户籍!$C:$I,7,0)</f>
        <v>#N/A</v>
      </c>
    </row>
    <row r="8" customHeight="1" spans="1:11">
      <c r="A8" s="6"/>
      <c r="B8" s="6"/>
      <c r="C8" s="6"/>
      <c r="D8" s="6"/>
      <c r="E8" s="7" t="s">
        <v>13</v>
      </c>
      <c r="F8" s="1">
        <v>0.52</v>
      </c>
      <c r="G8" s="1">
        <v>380</v>
      </c>
      <c r="H8" s="1">
        <f t="shared" si="0"/>
        <v>197.6</v>
      </c>
      <c r="I8" s="6"/>
      <c r="K8" s="1" t="e">
        <f>VLOOKUP(C8,[1]sheet1中岗村户籍!$C:$I,7,0)</f>
        <v>#N/A</v>
      </c>
    </row>
    <row r="9" customHeight="1" spans="1:11">
      <c r="A9" s="1">
        <f>MAX($A$2:A7)+1</f>
        <v>4</v>
      </c>
      <c r="B9" s="1" t="s">
        <v>16</v>
      </c>
      <c r="C9" s="5" t="e">
        <f>VLOOKUP(B9,'[1]11组'!$A:$B,2,0)</f>
        <v>#N/A</v>
      </c>
      <c r="D9" s="5">
        <v>9</v>
      </c>
      <c r="E9" s="7" t="s">
        <v>13</v>
      </c>
      <c r="F9" s="1">
        <v>0.55</v>
      </c>
      <c r="G9" s="1">
        <v>380</v>
      </c>
      <c r="H9" s="1">
        <f t="shared" si="0"/>
        <v>209</v>
      </c>
      <c r="I9" s="1">
        <v>209</v>
      </c>
      <c r="K9" s="1" t="e">
        <f>VLOOKUP(C9,[1]sheet1中岗村户籍!$C:$I,7,0)</f>
        <v>#N/A</v>
      </c>
    </row>
    <row r="10" customHeight="1" spans="1:11">
      <c r="A10" s="1">
        <f>MAX($A$2:A9)+1</f>
        <v>5</v>
      </c>
      <c r="B10" s="1" t="s">
        <v>19</v>
      </c>
      <c r="C10" s="5" t="e">
        <f>VLOOKUP(B10,'[1]11组'!$A:$B,2,0)</f>
        <v>#N/A</v>
      </c>
      <c r="D10" s="5">
        <v>9</v>
      </c>
      <c r="E10" s="7" t="s">
        <v>13</v>
      </c>
      <c r="F10" s="1">
        <v>0.11</v>
      </c>
      <c r="G10" s="1">
        <v>380</v>
      </c>
      <c r="H10" s="1">
        <f t="shared" si="0"/>
        <v>41.8</v>
      </c>
      <c r="I10" s="1">
        <v>446.4</v>
      </c>
      <c r="K10" s="1" t="e">
        <f>VLOOKUP(C10,[1]sheet1中岗村户籍!$C:$I,7,0)</f>
        <v>#N/A</v>
      </c>
    </row>
    <row r="11" customHeight="1" spans="1:11">
      <c r="A11" s="1">
        <f>MAX($A$2:A10)+1</f>
        <v>6</v>
      </c>
      <c r="B11" s="1" t="s">
        <v>18</v>
      </c>
      <c r="C11" s="5" t="e">
        <f>VLOOKUP(B11,'[1]11组'!$A:$B,2,0)</f>
        <v>#N/A</v>
      </c>
      <c r="D11" s="5">
        <v>9</v>
      </c>
      <c r="E11" s="7" t="s">
        <v>13</v>
      </c>
      <c r="F11" s="1">
        <v>0.33</v>
      </c>
      <c r="G11" s="1">
        <v>380</v>
      </c>
      <c r="H11" s="1">
        <f t="shared" si="0"/>
        <v>125.4</v>
      </c>
      <c r="I11" s="1">
        <v>307.2</v>
      </c>
      <c r="K11" s="1" t="e">
        <f>VLOOKUP(C11,[1]sheet1中岗村户籍!$C:$I,7,0)</f>
        <v>#N/A</v>
      </c>
    </row>
    <row r="12" customHeight="1" spans="1:11">
      <c r="A12" s="5"/>
      <c r="B12" s="5" t="s">
        <v>60</v>
      </c>
      <c r="C12" s="5"/>
      <c r="D12" s="5">
        <v>9</v>
      </c>
      <c r="E12" s="7" t="s">
        <v>13</v>
      </c>
      <c r="F12" s="1">
        <v>0.28</v>
      </c>
      <c r="G12" s="1">
        <v>380</v>
      </c>
      <c r="H12" s="1">
        <f t="shared" si="0"/>
        <v>106.4</v>
      </c>
      <c r="K12" s="1" t="e">
        <f>VLOOKUP(C12,[1]sheet1中岗村户籍!$C:$I,7,0)</f>
        <v>#N/A</v>
      </c>
    </row>
    <row r="13" customHeight="1" spans="1:11">
      <c r="A13" s="6"/>
      <c r="B13" s="6"/>
      <c r="C13" s="8"/>
      <c r="D13" s="6"/>
      <c r="E13" s="7" t="s">
        <v>22</v>
      </c>
      <c r="F13" s="1">
        <v>0.52</v>
      </c>
      <c r="G13" s="1">
        <v>480</v>
      </c>
      <c r="H13" s="1">
        <f t="shared" si="0"/>
        <v>249.6</v>
      </c>
    </row>
    <row r="14" customHeight="1" spans="1:11">
      <c r="A14" s="5">
        <f>MAX($A$2:A12)+1</f>
        <v>7</v>
      </c>
      <c r="B14" s="5" t="s">
        <v>63</v>
      </c>
      <c r="C14" s="5" t="e">
        <f>VLOOKUP(B14,'[1]11组'!$A:$B,2,0)</f>
        <v>#N/A</v>
      </c>
      <c r="D14" s="5">
        <v>9</v>
      </c>
      <c r="E14" s="7" t="s">
        <v>22</v>
      </c>
      <c r="F14" s="1">
        <v>0.45</v>
      </c>
      <c r="G14" s="1">
        <v>480</v>
      </c>
      <c r="H14" s="1">
        <f t="shared" si="0"/>
        <v>216</v>
      </c>
      <c r="I14" s="1" t="e">
        <f>H14+#REF!</f>
        <v>#REF!</v>
      </c>
      <c r="K14" s="1" t="e">
        <f>VLOOKUP(C14,[1]sheet1中岗村户籍!$C:$I,7,0)</f>
        <v>#N/A</v>
      </c>
    </row>
    <row r="15" customHeight="1" spans="1:11">
      <c r="A15" s="6"/>
      <c r="B15" s="6"/>
      <c r="C15" s="8"/>
      <c r="D15" s="6"/>
      <c r="E15" s="7" t="s">
        <v>13</v>
      </c>
      <c r="F15" s="1">
        <v>0.3</v>
      </c>
      <c r="G15" s="1">
        <v>380</v>
      </c>
      <c r="H15" s="1">
        <f t="shared" si="0"/>
        <v>114</v>
      </c>
    </row>
    <row r="16" customHeight="1" spans="1:11">
      <c r="B16" s="1" t="s">
        <v>816</v>
      </c>
      <c r="D16" s="6">
        <v>9</v>
      </c>
      <c r="E16" s="7" t="s">
        <v>13</v>
      </c>
      <c r="F16" s="1">
        <v>0.74</v>
      </c>
      <c r="G16" s="1">
        <v>380</v>
      </c>
      <c r="H16" s="1">
        <f t="shared" si="0"/>
        <v>281.2</v>
      </c>
      <c r="K16" s="1" t="e">
        <f>VLOOKUP(C16,[1]sheet1中岗村户籍!$C:$I,7,0)</f>
        <v>#N/A</v>
      </c>
    </row>
    <row r="17" customHeight="1" spans="1:11">
      <c r="A17" s="1">
        <f>MAX($A$2:A16)+1</f>
        <v>8</v>
      </c>
      <c r="B17" s="1" t="s">
        <v>14</v>
      </c>
      <c r="C17" s="5" t="e">
        <f>VLOOKUP(B17,'[1]11组'!$A:$B,2,0)</f>
        <v>#N/A</v>
      </c>
      <c r="D17" s="5">
        <v>10</v>
      </c>
      <c r="E17" s="7" t="s">
        <v>22</v>
      </c>
      <c r="F17" s="1">
        <v>0.46</v>
      </c>
      <c r="G17" s="1">
        <v>480</v>
      </c>
      <c r="H17" s="1">
        <f t="shared" si="0"/>
        <v>220.8</v>
      </c>
      <c r="I17" s="1" t="e">
        <f>H17+#REF!</f>
        <v>#REF!</v>
      </c>
      <c r="K17" s="1" t="e">
        <f>VLOOKUP(C17,[1]sheet1中岗村户籍!$C:$I,7,0)</f>
        <v>#N/A</v>
      </c>
    </row>
    <row r="18" customHeight="1" spans="1:11">
      <c r="A18" s="1">
        <f>MAX($A$2:A17)+1</f>
        <v>9</v>
      </c>
      <c r="B18" s="1" t="s">
        <v>817</v>
      </c>
      <c r="C18" s="5" t="e">
        <f>VLOOKUP(B18,'[1]11组'!$A:$B,2,0)</f>
        <v>#N/A</v>
      </c>
      <c r="D18" s="5">
        <v>10</v>
      </c>
      <c r="E18" s="7" t="s">
        <v>22</v>
      </c>
      <c r="F18" s="9">
        <v>0.38</v>
      </c>
      <c r="G18" s="1">
        <v>380</v>
      </c>
      <c r="H18" s="1">
        <f t="shared" si="0"/>
        <v>144.4</v>
      </c>
      <c r="I18" s="1" t="e">
        <f>H18+#REF!</f>
        <v>#REF!</v>
      </c>
      <c r="K18" s="1" t="e">
        <f>VLOOKUP(C18,[1]sheet1中岗村户籍!$C:$I,7,0)</f>
        <v>#N/A</v>
      </c>
    </row>
    <row r="19" customHeight="1" spans="1:11">
      <c r="A19" s="1">
        <f>MAX($A$2:A18)+1</f>
        <v>10</v>
      </c>
      <c r="C19" s="5" t="e">
        <f>VLOOKUP(B19,'[1]11组'!$A:$B,2,0)</f>
        <v>#N/A</v>
      </c>
      <c r="D19" s="5">
        <v>10</v>
      </c>
      <c r="E19" s="7" t="s">
        <v>22</v>
      </c>
      <c r="F19" s="1">
        <v>0.14</v>
      </c>
      <c r="G19" s="1">
        <v>480</v>
      </c>
      <c r="H19" s="1">
        <f t="shared" si="0"/>
        <v>67.2</v>
      </c>
      <c r="I19" s="1" t="e">
        <f>H19+#REF!</f>
        <v>#REF!</v>
      </c>
      <c r="K19" s="1" t="e">
        <f>VLOOKUP(C19,[1]sheet1中岗村户籍!$C:$I,7,0)</f>
        <v>#N/A</v>
      </c>
    </row>
    <row r="20" customHeight="1" spans="1:11">
      <c r="A20" s="1">
        <f>MAX($A$2:A19)+1</f>
        <v>11</v>
      </c>
      <c r="C20" s="5" t="e">
        <f>VLOOKUP(B20,'[1]11组'!$A:$B,2,0)</f>
        <v>#N/A</v>
      </c>
      <c r="D20" s="5">
        <v>10</v>
      </c>
      <c r="E20" s="7" t="s">
        <v>22</v>
      </c>
      <c r="F20" s="9">
        <v>1.29</v>
      </c>
      <c r="G20" s="1">
        <v>480</v>
      </c>
      <c r="H20" s="1">
        <f t="shared" si="0"/>
        <v>619.2</v>
      </c>
      <c r="I20" s="1" t="e">
        <f>H20+#REF!</f>
        <v>#REF!</v>
      </c>
      <c r="K20" s="1" t="e">
        <f>VLOOKUP(C20,[1]sheet1中岗村户籍!$C:$I,7,0)</f>
        <v>#N/A</v>
      </c>
    </row>
    <row r="21" customHeight="1" spans="1:11">
      <c r="A21" s="1">
        <f>MAX($A$2:A20)+1</f>
        <v>12</v>
      </c>
      <c r="C21" s="5" t="e">
        <f>VLOOKUP(B21,'[1]11组'!$A:$B,2,0)</f>
        <v>#N/A</v>
      </c>
      <c r="D21" s="5">
        <v>10</v>
      </c>
      <c r="E21" s="7" t="s">
        <v>22</v>
      </c>
      <c r="F21" s="1">
        <v>1.03</v>
      </c>
      <c r="G21" s="1">
        <v>480</v>
      </c>
      <c r="H21" s="1">
        <f t="shared" si="0"/>
        <v>494.4</v>
      </c>
      <c r="I21" s="1">
        <f>H21+H22</f>
        <v>787</v>
      </c>
      <c r="K21" s="1" t="e">
        <f>VLOOKUP(C21,[1]sheet1中岗村户籍!$C:$I,7,0)</f>
        <v>#N/A</v>
      </c>
    </row>
    <row r="22" customHeight="1" spans="1:11">
      <c r="C22" s="6"/>
      <c r="D22" s="6"/>
      <c r="E22" s="7" t="s">
        <v>13</v>
      </c>
      <c r="F22" s="1">
        <v>0.77</v>
      </c>
      <c r="G22" s="1">
        <v>380</v>
      </c>
      <c r="H22" s="1">
        <f t="shared" si="0"/>
        <v>292.6</v>
      </c>
      <c r="K22" s="1" t="e">
        <f>VLOOKUP(C22,[1]sheet1中岗村户籍!$C:$I,7,0)</f>
        <v>#N/A</v>
      </c>
    </row>
    <row r="23" customHeight="1" spans="1:11">
      <c r="A23" s="1">
        <f>MAX($A$2:A22)+1</f>
        <v>13</v>
      </c>
      <c r="C23" s="5" t="e">
        <f>VLOOKUP(B23,'[1]11组'!$A:$B,2,0)</f>
        <v>#N/A</v>
      </c>
      <c r="D23" s="5">
        <v>10</v>
      </c>
      <c r="E23" s="7" t="s">
        <v>22</v>
      </c>
      <c r="F23" s="1">
        <v>5.88</v>
      </c>
      <c r="G23" s="1">
        <v>480</v>
      </c>
      <c r="H23" s="1">
        <f t="shared" si="0"/>
        <v>2822.4</v>
      </c>
      <c r="I23" s="1">
        <f>H23+H24</f>
        <v>4118.2</v>
      </c>
      <c r="K23" s="1" t="e">
        <f>VLOOKUP(C23,[1]sheet1中岗村户籍!$C:$I,7,0)</f>
        <v>#N/A</v>
      </c>
    </row>
    <row r="24" customHeight="1" spans="1:11">
      <c r="C24" s="6"/>
      <c r="D24" s="6"/>
      <c r="E24" s="7" t="s">
        <v>13</v>
      </c>
      <c r="F24" s="1">
        <v>3.41</v>
      </c>
      <c r="G24" s="1">
        <v>380</v>
      </c>
      <c r="H24" s="1">
        <f t="shared" si="0"/>
        <v>1295.8</v>
      </c>
      <c r="K24" s="1" t="e">
        <f>VLOOKUP(C24,[1]sheet1中岗村户籍!$C:$I,7,0)</f>
        <v>#N/A</v>
      </c>
    </row>
    <row r="25" customHeight="1" spans="1:11">
      <c r="A25" s="1">
        <f>MAX($A$2:A24)+1</f>
        <v>14</v>
      </c>
      <c r="C25" s="5" t="e">
        <f>VLOOKUP(B25,'[1]11组'!$A:$B,2,0)</f>
        <v>#N/A</v>
      </c>
      <c r="D25" s="5">
        <v>10</v>
      </c>
      <c r="E25" s="7" t="s">
        <v>22</v>
      </c>
      <c r="F25" s="1">
        <v>0.78</v>
      </c>
      <c r="G25" s="1">
        <v>480</v>
      </c>
      <c r="H25" s="1">
        <f t="shared" si="0"/>
        <v>374.4</v>
      </c>
      <c r="I25" s="1" t="e">
        <f>H25+#REF!</f>
        <v>#REF!</v>
      </c>
      <c r="K25" s="1" t="e">
        <f>VLOOKUP(C25,[1]sheet1中岗村户籍!$C:$I,7,0)</f>
        <v>#N/A</v>
      </c>
    </row>
    <row r="26" customHeight="1" spans="1:11">
      <c r="A26" s="1">
        <f>MAX($A$2:A25)+1</f>
        <v>15</v>
      </c>
      <c r="C26" s="5" t="e">
        <f>VLOOKUP(B26,'[1]11组'!$A:$B,2,0)</f>
        <v>#N/A</v>
      </c>
      <c r="D26" s="5">
        <v>10</v>
      </c>
      <c r="E26" s="7" t="s">
        <v>22</v>
      </c>
      <c r="F26" s="1">
        <v>0.18</v>
      </c>
      <c r="G26" s="1">
        <v>480</v>
      </c>
      <c r="H26" s="1">
        <f t="shared" si="0"/>
        <v>86.4</v>
      </c>
      <c r="I26" s="1">
        <f>H26+H27</f>
        <v>90.2</v>
      </c>
      <c r="K26" s="1" t="e">
        <f>VLOOKUP(C26,[1]sheet1中岗村户籍!$C:$I,7,0)</f>
        <v>#N/A</v>
      </c>
    </row>
    <row r="27" customHeight="1" spans="1:11">
      <c r="C27" s="6"/>
      <c r="D27" s="6"/>
      <c r="E27" s="7" t="s">
        <v>13</v>
      </c>
      <c r="F27" s="1">
        <v>0.01</v>
      </c>
      <c r="G27" s="1">
        <v>380</v>
      </c>
      <c r="H27" s="1">
        <f t="shared" si="0"/>
        <v>3.8</v>
      </c>
      <c r="K27" s="1" t="e">
        <f>VLOOKUP(C27,[1]sheet1中岗村户籍!$C:$I,7,0)</f>
        <v>#N/A</v>
      </c>
    </row>
    <row r="28" customHeight="1" spans="1:11">
      <c r="A28" s="1">
        <f>MAX($A$2:A27)+1</f>
        <v>16</v>
      </c>
      <c r="B28" s="1" t="s">
        <v>74</v>
      </c>
      <c r="C28" s="5"/>
      <c r="D28" s="5">
        <v>10</v>
      </c>
      <c r="E28" s="7" t="s">
        <v>22</v>
      </c>
      <c r="F28" s="1">
        <v>1.01</v>
      </c>
      <c r="G28" s="1">
        <v>480</v>
      </c>
      <c r="H28" s="1">
        <f t="shared" si="0"/>
        <v>484.8</v>
      </c>
      <c r="I28" s="1" t="e">
        <f>H28+#REF!</f>
        <v>#REF!</v>
      </c>
      <c r="K28" s="1" t="e">
        <f>VLOOKUP(C28,[1]sheet1中岗村户籍!$C:$I,7,0)</f>
        <v>#N/A</v>
      </c>
    </row>
    <row r="29" customHeight="1" spans="1:11">
      <c r="A29" s="1">
        <f>MAX($A$2:A28)+1</f>
        <v>17</v>
      </c>
      <c r="B29" s="1" t="s">
        <v>77</v>
      </c>
      <c r="C29" s="5" t="e">
        <f>VLOOKUP(B29,'[1]11组'!$A:$B,2,0)</f>
        <v>#N/A</v>
      </c>
      <c r="D29" s="5">
        <v>10</v>
      </c>
      <c r="E29" s="7" t="s">
        <v>22</v>
      </c>
      <c r="F29" s="1">
        <v>3.68</v>
      </c>
      <c r="G29" s="1">
        <v>480</v>
      </c>
      <c r="H29" s="1">
        <f t="shared" si="0"/>
        <v>1766.4</v>
      </c>
      <c r="I29" s="1">
        <f>H29+H30</f>
        <v>1979.2</v>
      </c>
      <c r="K29" s="1" t="e">
        <f>VLOOKUP(C29,[1]sheet1中岗村户籍!$C:$I,7,0)</f>
        <v>#N/A</v>
      </c>
    </row>
    <row r="30" customHeight="1" spans="1:11">
      <c r="C30" s="6"/>
      <c r="D30" s="6"/>
      <c r="E30" s="7" t="s">
        <v>13</v>
      </c>
      <c r="F30" s="1">
        <v>0.56</v>
      </c>
      <c r="G30" s="1">
        <v>380</v>
      </c>
      <c r="H30" s="1">
        <f t="shared" si="0"/>
        <v>212.8</v>
      </c>
      <c r="K30" s="1" t="e">
        <f>VLOOKUP(C30,[1]sheet1中岗村户籍!$C:$I,7,0)</f>
        <v>#N/A</v>
      </c>
    </row>
    <row r="31" customHeight="1" spans="1:11">
      <c r="A31" s="1">
        <f>MAX($A$2:A30)+1</f>
        <v>18</v>
      </c>
      <c r="B31" s="1" t="s">
        <v>35</v>
      </c>
      <c r="C31" s="5" t="e">
        <f>VLOOKUP(B31,'[1]11组'!$A:$B,2,0)</f>
        <v>#N/A</v>
      </c>
      <c r="D31" s="5">
        <v>10</v>
      </c>
      <c r="E31" s="7" t="s">
        <v>13</v>
      </c>
      <c r="F31" s="9">
        <v>2.47</v>
      </c>
      <c r="G31" s="1">
        <v>380</v>
      </c>
      <c r="H31" s="1">
        <f t="shared" si="0"/>
        <v>938.6</v>
      </c>
      <c r="I31" s="1">
        <v>938.6</v>
      </c>
      <c r="K31" s="1" t="e">
        <f>VLOOKUP(C31,[1]sheet1中岗村户籍!$C:$I,7,0)</f>
        <v>#N/A</v>
      </c>
    </row>
    <row r="32" customHeight="1" spans="1:11">
      <c r="A32" s="1">
        <f>MAX($A$2:A31)+1</f>
        <v>19</v>
      </c>
      <c r="B32" s="1" t="s">
        <v>78</v>
      </c>
      <c r="C32" s="5" t="e">
        <f>VLOOKUP(B32,'[1]11组'!$A:$B,2,0)</f>
        <v>#N/A</v>
      </c>
      <c r="D32" s="5">
        <v>10</v>
      </c>
      <c r="E32" s="7" t="s">
        <v>22</v>
      </c>
      <c r="F32" s="9">
        <v>1.57</v>
      </c>
      <c r="G32" s="1">
        <v>480</v>
      </c>
      <c r="H32" s="1">
        <f t="shared" si="0"/>
        <v>753.6</v>
      </c>
      <c r="I32" s="1">
        <f>H32+H33</f>
        <v>772.6</v>
      </c>
      <c r="K32" s="1" t="e">
        <f>VLOOKUP(C32,[1]sheet1中岗村户籍!$C:$I,7,0)</f>
        <v>#N/A</v>
      </c>
    </row>
    <row r="33" customHeight="1" spans="1:11">
      <c r="C33" s="6"/>
      <c r="D33" s="6"/>
      <c r="E33" s="7" t="s">
        <v>13</v>
      </c>
      <c r="F33" s="9">
        <v>0.05</v>
      </c>
      <c r="G33" s="1">
        <v>380</v>
      </c>
      <c r="H33" s="1">
        <f t="shared" si="0"/>
        <v>19</v>
      </c>
      <c r="K33" s="1" t="e">
        <f>VLOOKUP(C33,[1]sheet1中岗村户籍!$C:$I,7,0)</f>
        <v>#N/A</v>
      </c>
    </row>
    <row r="34" customHeight="1" spans="1:11">
      <c r="A34" s="1">
        <f>MAX($A$2:A33)+1</f>
        <v>20</v>
      </c>
      <c r="B34" s="1" t="s">
        <v>41</v>
      </c>
      <c r="C34" s="5" t="e">
        <f>VLOOKUP(B34,'[1]11组'!$A:$B,2,0)</f>
        <v>#N/A</v>
      </c>
      <c r="D34" s="5">
        <v>10</v>
      </c>
      <c r="E34" s="7" t="s">
        <v>22</v>
      </c>
      <c r="F34" s="9">
        <v>1.24</v>
      </c>
      <c r="G34" s="1">
        <v>480</v>
      </c>
      <c r="H34" s="1">
        <f t="shared" si="0"/>
        <v>595.2</v>
      </c>
      <c r="I34" s="1">
        <f>H34+H35</f>
        <v>1047.4</v>
      </c>
      <c r="K34" s="1" t="e">
        <f>VLOOKUP(C34,[1]sheet1中岗村户籍!$C:$I,7,0)</f>
        <v>#N/A</v>
      </c>
    </row>
    <row r="35" customHeight="1" spans="1:11">
      <c r="C35" s="6"/>
      <c r="D35" s="6"/>
      <c r="E35" s="7" t="s">
        <v>13</v>
      </c>
      <c r="F35" s="9">
        <v>1.19</v>
      </c>
      <c r="G35" s="1">
        <v>380</v>
      </c>
      <c r="H35" s="1">
        <f t="shared" si="0"/>
        <v>452.2</v>
      </c>
      <c r="K35" s="1" t="e">
        <f>VLOOKUP(C35,[1]sheet1中岗村户籍!$C:$I,7,0)</f>
        <v>#N/A</v>
      </c>
    </row>
    <row r="36" customHeight="1" spans="1:11">
      <c r="A36" s="1">
        <f>MAX($A$2:A35)+1</f>
        <v>21</v>
      </c>
      <c r="B36" s="1" t="s">
        <v>40</v>
      </c>
      <c r="C36" s="5" t="e">
        <f>VLOOKUP(B36,'[1]11组'!$A:$B,2,0)</f>
        <v>#N/A</v>
      </c>
      <c r="D36" s="5">
        <v>10</v>
      </c>
      <c r="E36" s="7" t="s">
        <v>22</v>
      </c>
      <c r="F36" s="9">
        <v>2.65</v>
      </c>
      <c r="G36" s="1">
        <v>480</v>
      </c>
      <c r="H36" s="1">
        <f t="shared" ref="H36:H72" si="1">G36*F36</f>
        <v>1272</v>
      </c>
      <c r="I36" s="1">
        <v>1272</v>
      </c>
      <c r="K36" s="1" t="e">
        <f>VLOOKUP(C36,[1]sheet1中岗村户籍!$C:$I,7,0)</f>
        <v>#N/A</v>
      </c>
    </row>
    <row r="37" customHeight="1" spans="1:11">
      <c r="A37" s="5">
        <f>MAX($A$2:A36)+1</f>
        <v>22</v>
      </c>
      <c r="B37" s="5" t="s">
        <v>36</v>
      </c>
      <c r="C37" s="10" t="e">
        <f>VLOOKUP(B37,'[1]11组'!$A:$B,2,0)</f>
        <v>#N/A</v>
      </c>
      <c r="D37" s="5">
        <v>10</v>
      </c>
      <c r="E37" s="7" t="s">
        <v>22</v>
      </c>
      <c r="F37" s="1">
        <v>0.3</v>
      </c>
      <c r="G37" s="1">
        <v>480</v>
      </c>
      <c r="H37" s="1">
        <f t="shared" si="1"/>
        <v>144</v>
      </c>
      <c r="I37" s="5">
        <v>1276.4</v>
      </c>
      <c r="K37" s="1" t="e">
        <f>VLOOKUP(C37,[1]sheet1中岗村户籍!$C:$I,7,0)</f>
        <v>#N/A</v>
      </c>
    </row>
    <row r="38" customHeight="1" spans="1:11">
      <c r="A38" s="8"/>
      <c r="B38" s="8"/>
      <c r="C38" s="10"/>
      <c r="D38" s="5"/>
      <c r="E38" s="7" t="s">
        <v>13</v>
      </c>
      <c r="F38" s="1">
        <v>2.98</v>
      </c>
      <c r="G38" s="1">
        <v>380</v>
      </c>
      <c r="H38" s="1">
        <f t="shared" si="1"/>
        <v>1132.4</v>
      </c>
      <c r="I38" s="6"/>
    </row>
    <row r="39" customHeight="1" spans="1:11">
      <c r="A39" s="1">
        <f>MAX($A$2:A37)+1</f>
        <v>23</v>
      </c>
      <c r="B39" s="9" t="s">
        <v>156</v>
      </c>
      <c r="C39" s="10" t="e">
        <f>VLOOKUP(B39,'[1]11组'!$A:$B,2,0)</f>
        <v>#N/A</v>
      </c>
      <c r="D39" s="5">
        <v>10</v>
      </c>
      <c r="E39" s="7" t="s">
        <v>13</v>
      </c>
      <c r="F39" s="1">
        <v>0.85</v>
      </c>
      <c r="G39" s="1">
        <v>380</v>
      </c>
      <c r="H39" s="1">
        <f t="shared" si="1"/>
        <v>323</v>
      </c>
      <c r="K39" s="1" t="e">
        <f>VLOOKUP(C39,[1]sheet1中岗村户籍!$C:$I,7,0)</f>
        <v>#N/A</v>
      </c>
    </row>
    <row r="40" customHeight="1" spans="1:11">
      <c r="A40" s="1">
        <f>MAX($A$2:A39)+1</f>
        <v>24</v>
      </c>
      <c r="B40" s="1" t="s">
        <v>151</v>
      </c>
      <c r="C40" s="10" t="e">
        <f>VLOOKUP(B40,'[1]11组'!$A:$B,2,0)</f>
        <v>#N/A</v>
      </c>
      <c r="D40" s="5">
        <v>10</v>
      </c>
      <c r="E40" s="7" t="s">
        <v>13</v>
      </c>
      <c r="F40" s="1">
        <v>0.16</v>
      </c>
      <c r="G40" s="1">
        <v>380</v>
      </c>
      <c r="H40" s="1">
        <f t="shared" si="1"/>
        <v>60.8</v>
      </c>
      <c r="I40" s="1">
        <v>585.2</v>
      </c>
      <c r="K40" s="1" t="e">
        <f>VLOOKUP(C40,[1]sheet1中岗村户籍!$C:$I,7,0)</f>
        <v>#N/A</v>
      </c>
    </row>
    <row r="41" customHeight="1" spans="1:11">
      <c r="A41" s="1">
        <f>MAX($A$2:A40)+1</f>
        <v>25</v>
      </c>
      <c r="B41" s="1" t="s">
        <v>135</v>
      </c>
      <c r="C41" s="5"/>
      <c r="D41" s="5">
        <v>12</v>
      </c>
      <c r="E41" s="7" t="s">
        <v>13</v>
      </c>
      <c r="F41" s="1">
        <v>1.62</v>
      </c>
      <c r="G41" s="1">
        <v>380</v>
      </c>
      <c r="H41" s="1">
        <f t="shared" si="1"/>
        <v>615.6</v>
      </c>
      <c r="K41" s="1" t="e">
        <f>VLOOKUP(C41,[1]sheet1中岗村户籍!$C:$I,7,0)</f>
        <v>#N/A</v>
      </c>
    </row>
    <row r="42" customHeight="1" spans="1:11">
      <c r="A42" s="1">
        <f>MAX($A$2:A41)+1</f>
        <v>26</v>
      </c>
      <c r="B42" s="1" t="s">
        <v>170</v>
      </c>
      <c r="C42" s="5"/>
      <c r="D42" s="5">
        <v>12</v>
      </c>
      <c r="E42" s="7" t="s">
        <v>13</v>
      </c>
      <c r="F42" s="1">
        <v>1.32</v>
      </c>
      <c r="G42" s="1">
        <v>380</v>
      </c>
      <c r="H42" s="1">
        <f t="shared" si="1"/>
        <v>501.6</v>
      </c>
      <c r="I42" s="1" t="e">
        <f>H42+#REF!</f>
        <v>#REF!</v>
      </c>
      <c r="K42" s="1" t="e">
        <f>VLOOKUP(C42,[1]sheet1中岗村户籍!$C:$I,7,0)</f>
        <v>#N/A</v>
      </c>
    </row>
    <row r="43" customHeight="1" spans="1:11">
      <c r="A43" s="1">
        <f>MAX($A$2:A42)+1</f>
        <v>27</v>
      </c>
      <c r="B43" s="1" t="s">
        <v>136</v>
      </c>
      <c r="E43" s="7" t="s">
        <v>13</v>
      </c>
      <c r="F43" s="9">
        <v>0.85</v>
      </c>
      <c r="G43" s="1">
        <v>380</v>
      </c>
      <c r="H43" s="1">
        <f t="shared" si="1"/>
        <v>323</v>
      </c>
      <c r="K43" s="1" t="e">
        <f>VLOOKUP(C43,[1]sheet1中岗村户籍!$C:$I,7,0)</f>
        <v>#N/A</v>
      </c>
    </row>
    <row r="44" customHeight="1" spans="1:11">
      <c r="A44" s="1">
        <f>MAX($A$2:A43)+1</f>
        <v>28</v>
      </c>
      <c r="B44" s="1" t="s">
        <v>172</v>
      </c>
      <c r="C44" s="10"/>
      <c r="D44" s="5">
        <v>12</v>
      </c>
      <c r="E44" s="7" t="s">
        <v>13</v>
      </c>
      <c r="F44" s="1">
        <v>1.83</v>
      </c>
      <c r="G44" s="1">
        <v>380</v>
      </c>
      <c r="H44" s="1">
        <f t="shared" si="1"/>
        <v>695.4</v>
      </c>
      <c r="I44" s="1">
        <v>336</v>
      </c>
      <c r="K44" s="1" t="e">
        <f>VLOOKUP(C44,[1]sheet1中岗村户籍!$C:$I,7,0)</f>
        <v>#N/A</v>
      </c>
    </row>
    <row r="45" customHeight="1" spans="1:11">
      <c r="A45" s="1">
        <f>MAX($A$2:A44)+1</f>
        <v>29</v>
      </c>
      <c r="B45" s="1" t="s">
        <v>38</v>
      </c>
      <c r="C45" s="10"/>
      <c r="D45" s="5">
        <v>12</v>
      </c>
      <c r="E45" s="7" t="s">
        <v>13</v>
      </c>
      <c r="F45" s="1">
        <v>0.38</v>
      </c>
      <c r="G45" s="1">
        <v>380</v>
      </c>
      <c r="H45" s="1">
        <f t="shared" si="1"/>
        <v>144.4</v>
      </c>
      <c r="I45" s="1">
        <v>561.6</v>
      </c>
      <c r="K45" s="1" t="e">
        <f>VLOOKUP(C45,[1]sheet1中岗村户籍!$C:$I,7,0)</f>
        <v>#N/A</v>
      </c>
    </row>
    <row r="46" customHeight="1" spans="1:11">
      <c r="A46" s="1">
        <f>MAX($A$2:A45)+1</f>
        <v>30</v>
      </c>
      <c r="B46" s="5" t="s">
        <v>168</v>
      </c>
      <c r="C46" s="5"/>
      <c r="D46" s="5">
        <v>12</v>
      </c>
      <c r="E46" s="7" t="s">
        <v>13</v>
      </c>
      <c r="F46" s="1">
        <v>2.21</v>
      </c>
      <c r="G46" s="1">
        <v>380</v>
      </c>
      <c r="H46" s="1">
        <f t="shared" si="1"/>
        <v>839.8</v>
      </c>
      <c r="I46" s="5">
        <v>1109</v>
      </c>
      <c r="K46" s="1" t="e">
        <f>VLOOKUP(C46,[1]sheet1中岗村户籍!$C:$I,7,0)</f>
        <v>#N/A</v>
      </c>
    </row>
    <row r="47" customHeight="1" spans="1:11">
      <c r="A47" s="1">
        <f>MAX($A$2:A46)+1</f>
        <v>31</v>
      </c>
      <c r="B47" s="1" t="s">
        <v>169</v>
      </c>
      <c r="C47" s="5"/>
      <c r="D47" s="5">
        <v>12</v>
      </c>
      <c r="E47" s="7" t="s">
        <v>13</v>
      </c>
      <c r="F47" s="1">
        <v>0.76</v>
      </c>
      <c r="G47" s="1">
        <v>380</v>
      </c>
      <c r="H47" s="1">
        <f t="shared" si="1"/>
        <v>288.8</v>
      </c>
      <c r="I47" s="1" t="e">
        <f>H47+#REF!</f>
        <v>#REF!</v>
      </c>
      <c r="K47" s="1">
        <v>19960705208</v>
      </c>
    </row>
    <row r="48" customHeight="1" spans="1:11">
      <c r="A48" s="1">
        <f>MAX($A$2:A47)+1</f>
        <v>32</v>
      </c>
      <c r="B48" s="1" t="s">
        <v>818</v>
      </c>
      <c r="E48" s="7" t="s">
        <v>13</v>
      </c>
      <c r="F48" s="1">
        <v>2.19</v>
      </c>
      <c r="G48" s="1">
        <v>380</v>
      </c>
      <c r="H48" s="1">
        <f t="shared" si="1"/>
        <v>832.2</v>
      </c>
      <c r="K48" s="1" t="e">
        <f>VLOOKUP(C48,[1]sheet1中岗村户籍!$C:$I,7,0)</f>
        <v>#N/A</v>
      </c>
    </row>
    <row r="49" customHeight="1" spans="1:11">
      <c r="A49" s="1">
        <f>MAX($A$2:A48)+1</f>
        <v>33</v>
      </c>
      <c r="B49" s="1" t="s">
        <v>166</v>
      </c>
      <c r="D49" s="5">
        <v>12</v>
      </c>
      <c r="E49" s="7" t="s">
        <v>13</v>
      </c>
      <c r="F49" s="1">
        <v>0.58</v>
      </c>
      <c r="G49" s="1">
        <v>380</v>
      </c>
      <c r="H49" s="1">
        <f t="shared" si="1"/>
        <v>220.4</v>
      </c>
      <c r="I49" s="1" t="e">
        <f>H49+#REF!</f>
        <v>#REF!</v>
      </c>
      <c r="K49" s="1" t="e">
        <f>VLOOKUP(C49,[1]sheet1中岗村户籍!$C:$I,7,0)</f>
        <v>#N/A</v>
      </c>
    </row>
    <row r="50" customHeight="1" spans="1:11">
      <c r="A50" s="1">
        <f>MAX($A$2:A49)+1</f>
        <v>34</v>
      </c>
      <c r="B50" s="1" t="s">
        <v>164</v>
      </c>
      <c r="E50" s="7" t="s">
        <v>13</v>
      </c>
      <c r="F50" s="1">
        <v>1.71</v>
      </c>
      <c r="G50" s="1">
        <v>380</v>
      </c>
      <c r="H50" s="1">
        <f t="shared" si="1"/>
        <v>649.8</v>
      </c>
      <c r="K50" s="1" t="e">
        <f>VLOOKUP(C50,[1]sheet1中岗村户籍!$C:$I,7,0)</f>
        <v>#N/A</v>
      </c>
    </row>
    <row r="51" customHeight="1" spans="1:11">
      <c r="A51" s="1">
        <f>MAX($A$2:A50)+1</f>
        <v>35</v>
      </c>
      <c r="B51" s="1" t="s">
        <v>134</v>
      </c>
      <c r="C51" s="6"/>
      <c r="D51" s="6"/>
      <c r="E51" s="7" t="s">
        <v>13</v>
      </c>
      <c r="F51" s="9">
        <v>1.99</v>
      </c>
      <c r="G51" s="1">
        <v>380</v>
      </c>
      <c r="H51" s="1">
        <f t="shared" si="1"/>
        <v>756.2</v>
      </c>
      <c r="K51" s="1" t="e">
        <f>VLOOKUP(C51,[1]sheet1中岗村户籍!$C:$I,7,0)</f>
        <v>#N/A</v>
      </c>
    </row>
    <row r="52" customHeight="1" spans="1:11">
      <c r="A52" s="5">
        <f>MAX($A$2:A51)+1</f>
        <v>36</v>
      </c>
      <c r="B52" s="1" t="s">
        <v>75</v>
      </c>
      <c r="C52" s="5"/>
      <c r="D52" s="5">
        <v>12</v>
      </c>
      <c r="E52" s="7" t="s">
        <v>22</v>
      </c>
      <c r="F52" s="1">
        <v>2.29</v>
      </c>
      <c r="G52" s="1">
        <v>480</v>
      </c>
      <c r="H52" s="1">
        <f t="shared" si="1"/>
        <v>1099.2</v>
      </c>
      <c r="I52" s="1">
        <f>H52+H53</f>
        <v>1509.6</v>
      </c>
      <c r="K52" s="1" t="e">
        <f>VLOOKUP(C52,[1]sheet1中岗村户籍!$C:$I,7,0)</f>
        <v>#N/A</v>
      </c>
    </row>
    <row r="53" customHeight="1" spans="1:11">
      <c r="A53" s="6"/>
      <c r="C53" s="6"/>
      <c r="D53" s="6"/>
      <c r="E53" s="7" t="s">
        <v>13</v>
      </c>
      <c r="F53" s="1">
        <v>1.08</v>
      </c>
      <c r="G53" s="1">
        <v>380</v>
      </c>
      <c r="H53" s="1">
        <f t="shared" si="1"/>
        <v>410.4</v>
      </c>
      <c r="K53" s="1" t="e">
        <f>VLOOKUP(C53,[1]sheet1中岗村户籍!$C:$I,7,0)</f>
        <v>#N/A</v>
      </c>
    </row>
    <row r="54" customHeight="1" spans="1:11">
      <c r="A54" s="1">
        <f>MAX($A$2:A53)+1</f>
        <v>37</v>
      </c>
      <c r="B54" s="1" t="s">
        <v>64</v>
      </c>
      <c r="C54" s="11"/>
      <c r="D54" s="5">
        <v>12</v>
      </c>
      <c r="E54" s="7" t="s">
        <v>22</v>
      </c>
      <c r="F54" s="1">
        <v>2.33</v>
      </c>
      <c r="G54" s="1">
        <v>480</v>
      </c>
      <c r="H54" s="1">
        <f t="shared" si="1"/>
        <v>1118.4</v>
      </c>
      <c r="I54" s="1" t="e">
        <f>H54+#REF!</f>
        <v>#REF!</v>
      </c>
      <c r="K54" s="1" t="e">
        <f>VLOOKUP(C54,[1]sheet1中岗村户籍!$C:$I,7,0)</f>
        <v>#N/A</v>
      </c>
    </row>
    <row r="55" customHeight="1" spans="1:11">
      <c r="A55" s="5">
        <f>MAX($A$2:A54)+1</f>
        <v>38</v>
      </c>
      <c r="B55" s="1" t="s">
        <v>53</v>
      </c>
      <c r="C55" s="5"/>
      <c r="D55" s="5">
        <v>12</v>
      </c>
      <c r="E55" s="7" t="s">
        <v>22</v>
      </c>
      <c r="F55" s="1">
        <v>3.05</v>
      </c>
      <c r="G55" s="1">
        <v>480</v>
      </c>
      <c r="H55" s="1">
        <f t="shared" si="1"/>
        <v>1464</v>
      </c>
      <c r="I55" s="1">
        <f>H55+H56</f>
        <v>2197.4</v>
      </c>
      <c r="K55" s="1" t="e">
        <f>VLOOKUP(C55,[1]sheet1中岗村户籍!$C:$I,7,0)</f>
        <v>#N/A</v>
      </c>
    </row>
    <row r="56" customHeight="1" spans="1:11">
      <c r="A56" s="6"/>
      <c r="C56" s="6"/>
      <c r="D56" s="6"/>
      <c r="E56" s="7" t="s">
        <v>13</v>
      </c>
      <c r="F56" s="1">
        <v>1.93</v>
      </c>
      <c r="G56" s="1">
        <v>380</v>
      </c>
      <c r="H56" s="1">
        <f t="shared" si="1"/>
        <v>733.4</v>
      </c>
      <c r="K56" s="1" t="e">
        <f>VLOOKUP(C56,[1]sheet1中岗村户籍!$C:$I,7,0)</f>
        <v>#N/A</v>
      </c>
    </row>
    <row r="57" customHeight="1" spans="1:11">
      <c r="A57" s="1">
        <f>MAX($A$2:A56)+1</f>
        <v>39</v>
      </c>
      <c r="B57" s="1" t="s">
        <v>24</v>
      </c>
      <c r="C57" s="5"/>
      <c r="D57" s="5">
        <v>12</v>
      </c>
      <c r="E57" s="7" t="s">
        <v>22</v>
      </c>
      <c r="F57" s="1">
        <v>1.2</v>
      </c>
      <c r="G57" s="1">
        <v>480</v>
      </c>
      <c r="H57" s="1">
        <f t="shared" si="1"/>
        <v>576</v>
      </c>
      <c r="I57" s="1">
        <f>H57+H58</f>
        <v>1301.8</v>
      </c>
      <c r="K57" s="1" t="e">
        <f>VLOOKUP(C57,[1]sheet1中岗村户籍!$C:$I,7,0)</f>
        <v>#N/A</v>
      </c>
    </row>
    <row r="58" customHeight="1" spans="1:11">
      <c r="C58" s="6"/>
      <c r="D58" s="6"/>
      <c r="E58" s="7" t="s">
        <v>13</v>
      </c>
      <c r="F58" s="1">
        <v>1.91</v>
      </c>
      <c r="G58" s="1">
        <v>380</v>
      </c>
      <c r="H58" s="1">
        <f t="shared" si="1"/>
        <v>725.8</v>
      </c>
      <c r="K58" s="1" t="e">
        <f>VLOOKUP(C58,[1]sheet1中岗村户籍!$C:$I,7,0)</f>
        <v>#N/A</v>
      </c>
    </row>
    <row r="59" customHeight="1" spans="1:11">
      <c r="A59" s="1">
        <f>MAX($A$2:A58)+1</f>
        <v>40</v>
      </c>
      <c r="B59" s="5" t="s">
        <v>819</v>
      </c>
      <c r="C59" s="5"/>
      <c r="D59" s="5">
        <v>12</v>
      </c>
      <c r="E59" s="7" t="s">
        <v>22</v>
      </c>
      <c r="F59" s="1">
        <v>0.38</v>
      </c>
      <c r="G59" s="1">
        <v>480</v>
      </c>
      <c r="H59" s="1">
        <f t="shared" si="1"/>
        <v>182.4</v>
      </c>
      <c r="I59" s="5">
        <v>1707.2</v>
      </c>
      <c r="K59" s="1" t="e">
        <f>VLOOKUP(C59,[1]sheet1中岗村户籍!$C:$I,7,0)</f>
        <v>#N/A</v>
      </c>
    </row>
    <row r="60" customHeight="1" spans="1:11">
      <c r="B60" s="6"/>
      <c r="C60" s="6"/>
      <c r="D60" s="6"/>
      <c r="E60" s="7" t="s">
        <v>13</v>
      </c>
      <c r="F60" s="1">
        <v>1.78</v>
      </c>
      <c r="G60" s="1">
        <v>380</v>
      </c>
      <c r="H60" s="1">
        <f t="shared" si="1"/>
        <v>676.4</v>
      </c>
      <c r="I60" s="6"/>
      <c r="K60" s="1" t="e">
        <f>VLOOKUP(C60,[1]sheet1中岗村户籍!$C:$I,7,0)</f>
        <v>#N/A</v>
      </c>
    </row>
    <row r="61" customHeight="1" spans="1:11">
      <c r="A61" s="1">
        <f>MAX($A$2:A60)+1</f>
        <v>41</v>
      </c>
      <c r="B61" s="5"/>
      <c r="C61" s="5"/>
      <c r="D61" s="5">
        <v>12</v>
      </c>
      <c r="E61" s="7" t="s">
        <v>22</v>
      </c>
      <c r="G61" s="1">
        <v>480</v>
      </c>
      <c r="H61" s="1">
        <f t="shared" si="1"/>
        <v>0</v>
      </c>
      <c r="I61" s="5">
        <v>1188.2</v>
      </c>
      <c r="K61" s="1" t="e">
        <f>VLOOKUP(C61,[1]sheet1中岗村户籍!$C:$I,7,0)</f>
        <v>#N/A</v>
      </c>
    </row>
    <row r="62" customHeight="1" spans="1:11">
      <c r="B62" s="6"/>
      <c r="C62" s="6"/>
      <c r="D62" s="6"/>
      <c r="E62" s="7" t="s">
        <v>13</v>
      </c>
      <c r="G62" s="1">
        <v>380</v>
      </c>
      <c r="H62" s="1">
        <f t="shared" si="1"/>
        <v>0</v>
      </c>
      <c r="I62" s="6"/>
      <c r="K62" s="1" t="e">
        <f>VLOOKUP(C62,[1]sheet1中岗村户籍!$C:$I,7,0)</f>
        <v>#N/A</v>
      </c>
    </row>
    <row r="63" customHeight="1" spans="1:11">
      <c r="A63" s="1">
        <f>MAX($A$2:A62)+1</f>
        <v>42</v>
      </c>
      <c r="B63" s="5"/>
      <c r="C63" s="5"/>
      <c r="D63" s="5">
        <v>12</v>
      </c>
      <c r="E63" s="7" t="s">
        <v>22</v>
      </c>
      <c r="G63" s="1">
        <v>480</v>
      </c>
      <c r="H63" s="1">
        <f t="shared" si="1"/>
        <v>0</v>
      </c>
      <c r="I63" s="5">
        <v>1188.2</v>
      </c>
      <c r="K63" s="1" t="e">
        <f>VLOOKUP(C63,[1]sheet1中岗村户籍!$C:$I,7,0)</f>
        <v>#N/A</v>
      </c>
    </row>
    <row r="64" customHeight="1" spans="1:11">
      <c r="B64" s="6"/>
      <c r="C64" s="6"/>
      <c r="D64" s="6"/>
      <c r="E64" s="7" t="s">
        <v>13</v>
      </c>
      <c r="G64" s="1">
        <v>380</v>
      </c>
      <c r="H64" s="1">
        <f t="shared" si="1"/>
        <v>0</v>
      </c>
      <c r="I64" s="6"/>
      <c r="K64" s="1" t="e">
        <f>VLOOKUP(C64,[1]sheet1中岗村户籍!$C:$I,7,0)</f>
        <v>#N/A</v>
      </c>
    </row>
    <row r="65" customHeight="1" spans="1:11">
      <c r="A65" s="5">
        <v>45</v>
      </c>
      <c r="B65" s="5"/>
      <c r="C65" s="5"/>
      <c r="D65" s="5">
        <v>12</v>
      </c>
      <c r="E65" s="7" t="s">
        <v>22</v>
      </c>
      <c r="G65" s="1">
        <v>480</v>
      </c>
      <c r="H65" s="1">
        <f t="shared" si="1"/>
        <v>0</v>
      </c>
      <c r="I65" s="5">
        <v>224</v>
      </c>
      <c r="K65" s="1" t="e">
        <f>VLOOKUP(C65,[1]sheet1中岗村户籍!$C:$I,7,0)</f>
        <v>#N/A</v>
      </c>
    </row>
    <row r="66" customHeight="1" spans="1:11">
      <c r="A66" s="6"/>
      <c r="B66" s="6"/>
      <c r="C66" s="6"/>
      <c r="D66" s="6"/>
      <c r="E66" s="7" t="s">
        <v>13</v>
      </c>
      <c r="G66" s="1">
        <v>380</v>
      </c>
      <c r="H66" s="1">
        <f t="shared" si="1"/>
        <v>0</v>
      </c>
      <c r="I66" s="6"/>
      <c r="K66" s="1" t="e">
        <f>VLOOKUP(C66,[1]sheet1中岗村户籍!$C:$I,7,0)</f>
        <v>#N/A</v>
      </c>
    </row>
    <row r="67" customHeight="1" spans="1:11">
      <c r="A67" s="5">
        <v>46</v>
      </c>
      <c r="B67" s="5"/>
      <c r="C67" s="5"/>
      <c r="D67" s="5">
        <v>12</v>
      </c>
      <c r="E67" s="7" t="s">
        <v>22</v>
      </c>
      <c r="G67" s="1">
        <v>480</v>
      </c>
      <c r="H67" s="1">
        <f t="shared" si="1"/>
        <v>0</v>
      </c>
      <c r="I67" s="5">
        <v>736</v>
      </c>
      <c r="K67" s="1" t="e">
        <f>VLOOKUP(C67,[1]sheet1中岗村户籍!$C:$I,7,0)</f>
        <v>#N/A</v>
      </c>
    </row>
    <row r="68" customHeight="1" spans="1:11">
      <c r="A68" s="6"/>
      <c r="B68" s="6"/>
      <c r="C68" s="6"/>
      <c r="D68" s="6"/>
      <c r="E68" s="7" t="s">
        <v>13</v>
      </c>
      <c r="G68" s="1">
        <v>380</v>
      </c>
      <c r="H68" s="1">
        <f t="shared" si="1"/>
        <v>0</v>
      </c>
      <c r="I68" s="6"/>
      <c r="K68" s="1" t="e">
        <f>VLOOKUP(C68,[1]sheet1中岗村户籍!$C:$I,7,0)</f>
        <v>#N/A</v>
      </c>
    </row>
    <row r="69" customHeight="1" spans="1:11">
      <c r="A69" s="5">
        <v>47</v>
      </c>
      <c r="B69" s="12"/>
      <c r="C69" s="11"/>
      <c r="D69" s="5">
        <v>12</v>
      </c>
      <c r="E69" s="7" t="s">
        <v>22</v>
      </c>
      <c r="G69" s="1">
        <v>480</v>
      </c>
      <c r="H69" s="1">
        <f t="shared" si="1"/>
        <v>0</v>
      </c>
      <c r="I69" s="5">
        <v>736</v>
      </c>
      <c r="K69" s="1" t="e">
        <f>VLOOKUP(C69,[1]sheet1中岗村户籍!$C:$I,7,0)</f>
        <v>#N/A</v>
      </c>
    </row>
    <row r="70" customHeight="1" spans="1:11">
      <c r="A70" s="6"/>
      <c r="B70" s="13"/>
      <c r="C70" s="11"/>
      <c r="D70" s="6"/>
      <c r="E70" s="7" t="s">
        <v>13</v>
      </c>
      <c r="G70" s="1">
        <v>380</v>
      </c>
      <c r="H70" s="1">
        <f t="shared" si="1"/>
        <v>0</v>
      </c>
      <c r="I70" s="6"/>
      <c r="K70" s="1" t="e">
        <f>VLOOKUP(C70,[1]sheet1中岗村户籍!$C:$I,7,0)</f>
        <v>#N/A</v>
      </c>
    </row>
    <row r="71" customHeight="1" spans="1:11">
      <c r="A71" s="5">
        <v>48</v>
      </c>
      <c r="B71" s="5"/>
      <c r="C71" s="5"/>
      <c r="D71" s="5">
        <v>12</v>
      </c>
      <c r="E71" s="7" t="s">
        <v>22</v>
      </c>
      <c r="G71" s="1">
        <v>480</v>
      </c>
      <c r="H71" s="1">
        <f t="shared" si="1"/>
        <v>0</v>
      </c>
      <c r="I71" s="5">
        <v>870.8</v>
      </c>
      <c r="K71" s="1" t="e">
        <f>VLOOKUP(C71,[1]sheet1中岗村户籍!$C:$I,7,0)</f>
        <v>#N/A</v>
      </c>
    </row>
    <row r="72" customHeight="1" spans="1:11">
      <c r="A72" s="6"/>
      <c r="B72" s="6"/>
      <c r="C72" s="6"/>
      <c r="D72" s="6"/>
      <c r="E72" s="7" t="s">
        <v>13</v>
      </c>
      <c r="G72" s="1">
        <v>380</v>
      </c>
      <c r="H72" s="1">
        <f t="shared" si="1"/>
        <v>0</v>
      </c>
      <c r="I72" s="6"/>
      <c r="K72" s="1" t="e">
        <f>VLOOKUP(C72,[1]sheet1中岗村户籍!$C:$I,7,0)</f>
        <v>#N/A</v>
      </c>
    </row>
    <row r="73" customHeight="1" spans="1:11">
      <c r="A73" s="1">
        <v>49</v>
      </c>
      <c r="E73" s="7"/>
      <c r="I73" s="5"/>
      <c r="K73" s="1" t="e">
        <f>VLOOKUP(C73,[1]sheet1中岗村户籍!$C:$I,7,0)</f>
        <v>#N/A</v>
      </c>
    </row>
    <row r="74" customHeight="1" spans="1:11">
      <c r="A74" s="1">
        <v>50</v>
      </c>
      <c r="E74" s="7"/>
      <c r="I74" s="6"/>
      <c r="K74" s="1" t="e">
        <f>VLOOKUP(C74,[1]sheet1中岗村户籍!$C:$I,7,0)</f>
        <v>#N/A</v>
      </c>
    </row>
  </sheetData>
  <autoFilter xmlns:etc="http://www.wps.cn/officeDocument/2017/etCustomData" ref="A1:K74" etc:filterBottomFollowUsedRange="0">
    <extLst/>
  </autoFilter>
  <mergeCells count="108">
    <mergeCell ref="A1:K1"/>
    <mergeCell ref="A3:A4"/>
    <mergeCell ref="A5:A6"/>
    <mergeCell ref="A7:A8"/>
    <mergeCell ref="A12:A13"/>
    <mergeCell ref="A14:A15"/>
    <mergeCell ref="A21:A22"/>
    <mergeCell ref="A23:A24"/>
    <mergeCell ref="A26:A27"/>
    <mergeCell ref="A29:A30"/>
    <mergeCell ref="A32:A33"/>
    <mergeCell ref="A34:A35"/>
    <mergeCell ref="A37:A38"/>
    <mergeCell ref="A52:A53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B3:B4"/>
    <mergeCell ref="B5:B6"/>
    <mergeCell ref="B7:B8"/>
    <mergeCell ref="B12:B13"/>
    <mergeCell ref="B14:B15"/>
    <mergeCell ref="B21:B22"/>
    <mergeCell ref="B23:B24"/>
    <mergeCell ref="B26:B27"/>
    <mergeCell ref="B29:B30"/>
    <mergeCell ref="B32:B33"/>
    <mergeCell ref="B34:B35"/>
    <mergeCell ref="B37:B38"/>
    <mergeCell ref="B52:B53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C3:C4"/>
    <mergeCell ref="C5:C6"/>
    <mergeCell ref="C7:C8"/>
    <mergeCell ref="C12:C13"/>
    <mergeCell ref="C14:C15"/>
    <mergeCell ref="C21:C22"/>
    <mergeCell ref="C23:C24"/>
    <mergeCell ref="C26:C27"/>
    <mergeCell ref="C29:C30"/>
    <mergeCell ref="C32:C33"/>
    <mergeCell ref="C34:C35"/>
    <mergeCell ref="C52:C53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D3:D4"/>
    <mergeCell ref="D5:D6"/>
    <mergeCell ref="D7:D8"/>
    <mergeCell ref="D12:D13"/>
    <mergeCell ref="D14:D15"/>
    <mergeCell ref="D21:D22"/>
    <mergeCell ref="D23:D24"/>
    <mergeCell ref="D26:D27"/>
    <mergeCell ref="D29:D30"/>
    <mergeCell ref="D32:D33"/>
    <mergeCell ref="D34:D35"/>
    <mergeCell ref="D52:D53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I3:I4"/>
    <mergeCell ref="I5:I6"/>
    <mergeCell ref="I7:I8"/>
    <mergeCell ref="I21:I22"/>
    <mergeCell ref="I23:I24"/>
    <mergeCell ref="I26:I27"/>
    <mergeCell ref="I29:I30"/>
    <mergeCell ref="I32:I33"/>
    <mergeCell ref="I34:I35"/>
    <mergeCell ref="I37:I38"/>
    <mergeCell ref="I52:I53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</mergeCells>
  <pageMargins left="0.75" right="0.75" top="1" bottom="1" header="0.5" footer="0.5"/>
  <pageSetup paperSize="9" orientation="portrait"/>
  <headerFooter/>
  <ignoredErrors>
    <ignoredError sqref="I42 I47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12组</vt:lpstr>
      <vt:lpstr>10组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2025-09-21T03:31:00Z</dcterms:created>
  <dcterms:modified xsi:type="dcterms:W3CDTF">2026-04-13T03:01:58Z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F5FFAD82AFFC45BDB22FFDE6CC253D85_12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