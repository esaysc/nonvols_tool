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土地丈量表" sheetId="1" r:id="rId1"/>
  </sheets>
  <definedNames>
    <definedName name="_xlnm._FilterDatabase" localSheetId="0" hidden="1">土地丈量表!$A$2:$K$244</definedName>
    <definedName name="_xlnm.Print_Area" localSheetId="0">土地丈量表!$A$1:$K$244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<sst xmlns="http://schemas.openxmlformats.org/spreadsheetml/2006/main" count="722" uniqueCount="351">
  <si>
    <t>序号</t>
  </si>
  <si>
    <t>农户姓名</t>
  </si>
  <si>
    <t>身份证号码</t>
  </si>
  <si>
    <t>组别</t>
  </si>
  <si>
    <t>土块类型（田或土）</t>
  </si>
  <si>
    <t>地块面积（亩）</t>
  </si>
  <si>
    <t>单价（元）</t>
  </si>
  <si>
    <t>金额（元）</t>
  </si>
  <si>
    <t>合计金额（元）</t>
  </si>
  <si>
    <t>农户签字</t>
  </si>
  <si>
    <t>电话</t>
  </si>
  <si>
    <t>吴似先</t>
  </si>
  <si>
    <t>511121195209166943</t>
  </si>
  <si>
    <t>田</t>
  </si>
  <si>
    <t/>
  </si>
  <si>
    <t>15390197164</t>
  </si>
  <si>
    <t>土</t>
  </si>
  <si>
    <t>王敏仲</t>
  </si>
  <si>
    <t>511121197307256992</t>
  </si>
  <si>
    <t>13540198091</t>
  </si>
  <si>
    <t>王敏光</t>
  </si>
  <si>
    <t>511121195307056932</t>
  </si>
  <si>
    <t>18048597269</t>
  </si>
  <si>
    <t>王茂春</t>
  </si>
  <si>
    <t>511121197102096956</t>
  </si>
  <si>
    <t>15208174256</t>
  </si>
  <si>
    <t>王敏华</t>
  </si>
  <si>
    <t>511121196905236954</t>
  </si>
  <si>
    <t>13086697481</t>
  </si>
  <si>
    <t>王永红</t>
  </si>
  <si>
    <t xml:space="preserve"> </t>
  </si>
  <si>
    <t>15169440906</t>
  </si>
  <si>
    <t>王寒松</t>
  </si>
  <si>
    <t>511121197009046938</t>
  </si>
  <si>
    <t>15821170362</t>
  </si>
  <si>
    <t>陈德英</t>
  </si>
  <si>
    <t>522524198110054826</t>
  </si>
  <si>
    <t>15757329425</t>
  </si>
  <si>
    <t>王敏付</t>
  </si>
  <si>
    <t>511121194608036930</t>
  </si>
  <si>
    <t>林淑明</t>
  </si>
  <si>
    <t>王小均</t>
  </si>
  <si>
    <t>511121197211046931</t>
  </si>
  <si>
    <t>13658012404</t>
  </si>
  <si>
    <t>王敏宗</t>
  </si>
  <si>
    <t>511121194505226934</t>
  </si>
  <si>
    <t>未找到人</t>
  </si>
  <si>
    <t>夏梁琼</t>
  </si>
  <si>
    <t>511121197004056942</t>
  </si>
  <si>
    <t>13699414969</t>
  </si>
  <si>
    <t>王永春</t>
  </si>
  <si>
    <t>511121197302106936</t>
  </si>
  <si>
    <t>18381073949</t>
  </si>
  <si>
    <t>王学良</t>
  </si>
  <si>
    <t>511121196407186931</t>
  </si>
  <si>
    <t>18990352983</t>
  </si>
  <si>
    <t>王敏虎</t>
  </si>
  <si>
    <t>511121194803166933</t>
  </si>
  <si>
    <t>13890335552</t>
  </si>
  <si>
    <t>王洪根</t>
  </si>
  <si>
    <t>51112119520229693X</t>
  </si>
  <si>
    <t>未找到电话</t>
  </si>
  <si>
    <t>伍朝林</t>
  </si>
  <si>
    <t>511121195008126937</t>
  </si>
  <si>
    <t>18384787691</t>
  </si>
  <si>
    <t>王学明</t>
  </si>
  <si>
    <t>511121196906256930</t>
  </si>
  <si>
    <t>13679656733</t>
  </si>
  <si>
    <t>王洪良</t>
  </si>
  <si>
    <t>511121194309256933</t>
  </si>
  <si>
    <t>17381125825</t>
  </si>
  <si>
    <t>王敏全</t>
  </si>
  <si>
    <t>511121195501266976</t>
  </si>
  <si>
    <t>18482903006</t>
  </si>
  <si>
    <t>冷哓梅</t>
  </si>
  <si>
    <t>51112119770411674X</t>
  </si>
  <si>
    <t>15282351863</t>
  </si>
  <si>
    <t>王桂良</t>
  </si>
  <si>
    <t>511121196607166951</t>
  </si>
  <si>
    <t>13684083385</t>
  </si>
  <si>
    <t>王华成</t>
  </si>
  <si>
    <t>511121197503216939</t>
  </si>
  <si>
    <t>15928546087</t>
  </si>
  <si>
    <t>王东</t>
  </si>
  <si>
    <t>511121197011086939</t>
  </si>
  <si>
    <t>王米成</t>
  </si>
  <si>
    <t>511121194611216932</t>
  </si>
  <si>
    <t>18728359075</t>
  </si>
  <si>
    <t>郑树文</t>
  </si>
  <si>
    <t>511121194912116935</t>
  </si>
  <si>
    <t>15182249038</t>
  </si>
  <si>
    <t>曹菊花</t>
  </si>
  <si>
    <t>511121195312246941</t>
  </si>
  <si>
    <t>13990352343</t>
  </si>
  <si>
    <t>王子良</t>
  </si>
  <si>
    <t>511121194101206937</t>
  </si>
  <si>
    <t>13330957864</t>
  </si>
  <si>
    <t>王佳勇</t>
  </si>
  <si>
    <t>511421199303216796</t>
  </si>
  <si>
    <t>13550202409</t>
  </si>
  <si>
    <t>王建华</t>
  </si>
  <si>
    <t>511121197306206950</t>
  </si>
  <si>
    <t>18816987008</t>
  </si>
  <si>
    <t>王敏玉</t>
  </si>
  <si>
    <t>511121194211216933</t>
  </si>
  <si>
    <t>15397702014</t>
  </si>
  <si>
    <t>王敏则</t>
  </si>
  <si>
    <t>511121194305016959</t>
  </si>
  <si>
    <t>18328116658</t>
  </si>
  <si>
    <t>王述文</t>
  </si>
  <si>
    <t>511121195504166938</t>
  </si>
  <si>
    <t>15328740239</t>
  </si>
  <si>
    <t>王良均</t>
  </si>
  <si>
    <t>511121197601086939</t>
  </si>
  <si>
    <t>15680766601</t>
  </si>
  <si>
    <t>张桂先</t>
  </si>
  <si>
    <t>511121195902066940</t>
  </si>
  <si>
    <t>17608104852</t>
  </si>
  <si>
    <t>汪金辉</t>
  </si>
  <si>
    <t>511027197106228832</t>
  </si>
  <si>
    <t>18828075631</t>
  </si>
  <si>
    <t>王根明</t>
  </si>
  <si>
    <t>511121195609136938</t>
  </si>
  <si>
    <t>15991875642</t>
  </si>
  <si>
    <t>王敏仲
(原合力4组）</t>
  </si>
  <si>
    <t>511121196510296936</t>
  </si>
  <si>
    <t>王光财</t>
  </si>
  <si>
    <t>511121194904026956</t>
  </si>
  <si>
    <t>18244324186</t>
  </si>
  <si>
    <t>王德华</t>
  </si>
  <si>
    <t>511121196607236956</t>
  </si>
  <si>
    <t>15892714513</t>
  </si>
  <si>
    <t>王木均</t>
  </si>
  <si>
    <t>511121196712086953</t>
  </si>
  <si>
    <t>15883316986</t>
  </si>
  <si>
    <t>刘云仲</t>
  </si>
  <si>
    <t>511121197008086938</t>
  </si>
  <si>
    <t>15208298039</t>
  </si>
  <si>
    <t>郑长清</t>
  </si>
  <si>
    <t>511121197011306938</t>
  </si>
  <si>
    <t>15282369630</t>
  </si>
  <si>
    <t>李英</t>
  </si>
  <si>
    <t>511121197112116949</t>
  </si>
  <si>
    <t>13739432982</t>
  </si>
  <si>
    <t>郑铃</t>
  </si>
  <si>
    <t>513822199701256945</t>
  </si>
  <si>
    <t>13547669493</t>
  </si>
  <si>
    <t>任菊花</t>
  </si>
  <si>
    <t>511121196607186944</t>
  </si>
  <si>
    <t>18280287223</t>
  </si>
  <si>
    <t>杨立全</t>
  </si>
  <si>
    <t>511121198106106933</t>
  </si>
  <si>
    <t>17380946652</t>
  </si>
  <si>
    <t>梁玉清</t>
  </si>
  <si>
    <t>511121197510296930</t>
  </si>
  <si>
    <t>15902370177</t>
  </si>
  <si>
    <t>王勇</t>
  </si>
  <si>
    <t>511121197609036952</t>
  </si>
  <si>
    <t>13568246609</t>
  </si>
  <si>
    <t>吴凯</t>
  </si>
  <si>
    <t>511121196610156957</t>
  </si>
  <si>
    <t>18381152116</t>
  </si>
  <si>
    <t>王敏祥</t>
  </si>
  <si>
    <t>511121197902276939</t>
  </si>
  <si>
    <t>13999889461</t>
  </si>
  <si>
    <t>王进</t>
  </si>
  <si>
    <t>513822198812066939</t>
  </si>
  <si>
    <t>15378330450</t>
  </si>
  <si>
    <t>王俊华</t>
  </si>
  <si>
    <t>511121197105266930</t>
  </si>
  <si>
    <t>18398671072</t>
  </si>
  <si>
    <t>王德会</t>
  </si>
  <si>
    <t>51112119640204693X</t>
  </si>
  <si>
    <t>17360623261</t>
  </si>
  <si>
    <t>王树根</t>
  </si>
  <si>
    <t>51112119740627693X</t>
  </si>
  <si>
    <t>13899314030</t>
  </si>
  <si>
    <t>王建</t>
  </si>
  <si>
    <t>511121197007166936</t>
  </si>
  <si>
    <t>13550048266</t>
  </si>
  <si>
    <t>王强</t>
  </si>
  <si>
    <t>511121197110196930</t>
  </si>
  <si>
    <t>18709959088</t>
  </si>
  <si>
    <t>刘金国</t>
  </si>
  <si>
    <t>51112119560407693X</t>
  </si>
  <si>
    <t>13678012889</t>
  </si>
  <si>
    <t>成玉清</t>
  </si>
  <si>
    <t>511121194501146945</t>
  </si>
  <si>
    <t>13146507598</t>
  </si>
  <si>
    <t>刘碧英</t>
  </si>
  <si>
    <t>511121198101276941</t>
  </si>
  <si>
    <t>18628304738</t>
  </si>
  <si>
    <t>王照明</t>
  </si>
  <si>
    <t>511121196503126939</t>
  </si>
  <si>
    <t>13980610132</t>
  </si>
  <si>
    <t>汪淑先</t>
  </si>
  <si>
    <t>51112119520628694X</t>
  </si>
  <si>
    <t>18228136198</t>
  </si>
  <si>
    <t>王志理</t>
  </si>
  <si>
    <t>511121196110096935</t>
  </si>
  <si>
    <t>18728378548</t>
  </si>
  <si>
    <t>陈雪华</t>
  </si>
  <si>
    <t>511121195506086931</t>
  </si>
  <si>
    <t>16228693583</t>
  </si>
  <si>
    <t>王松柏</t>
  </si>
  <si>
    <t>511121194811166933</t>
  </si>
  <si>
    <t>15378645103</t>
  </si>
  <si>
    <t>王信均</t>
  </si>
  <si>
    <t>51112119680919693X</t>
  </si>
  <si>
    <t>13540332614</t>
  </si>
  <si>
    <t>王祥彬</t>
  </si>
  <si>
    <t>511121197903046959</t>
  </si>
  <si>
    <t>15828474978</t>
  </si>
  <si>
    <t>王文均</t>
  </si>
  <si>
    <t>511121196709126934</t>
  </si>
  <si>
    <t>13340951874</t>
  </si>
  <si>
    <t>王会选</t>
  </si>
  <si>
    <t>511121195212286954</t>
  </si>
  <si>
    <t>17382998241</t>
  </si>
  <si>
    <t>王海燕</t>
  </si>
  <si>
    <t>511121196504116935</t>
  </si>
  <si>
    <t>17380946182</t>
  </si>
  <si>
    <t>王会南</t>
  </si>
  <si>
    <t>511121197112086954</t>
  </si>
  <si>
    <t>13440167566</t>
  </si>
  <si>
    <t>王会元</t>
  </si>
  <si>
    <t>王会崇</t>
  </si>
  <si>
    <t>511121198202036939</t>
  </si>
  <si>
    <t>15828223851</t>
  </si>
  <si>
    <t>王信三</t>
  </si>
  <si>
    <t>511121195808066952</t>
  </si>
  <si>
    <t>17721830814</t>
  </si>
  <si>
    <t>王水和</t>
  </si>
  <si>
    <t>511121195212076930</t>
  </si>
  <si>
    <t>18583879385</t>
  </si>
  <si>
    <t>王信良</t>
  </si>
  <si>
    <t>511121195801286936</t>
  </si>
  <si>
    <t>17380959384</t>
  </si>
  <si>
    <t>王燕勤</t>
  </si>
  <si>
    <t>511121197704046948</t>
  </si>
  <si>
    <t>13882141317</t>
  </si>
  <si>
    <t>王敏辉</t>
  </si>
  <si>
    <t>511121196608186938</t>
  </si>
  <si>
    <t>15902820226</t>
  </si>
  <si>
    <t>王信明</t>
  </si>
  <si>
    <t>511121194207186938</t>
  </si>
  <si>
    <t>18089515344</t>
  </si>
  <si>
    <t>谢成书</t>
  </si>
  <si>
    <t>511121194410046949</t>
  </si>
  <si>
    <t>15108214444</t>
  </si>
  <si>
    <t>王志修</t>
  </si>
  <si>
    <t>511121195308056934</t>
  </si>
  <si>
    <t>18096377182</t>
  </si>
  <si>
    <t>王会良</t>
  </si>
  <si>
    <t>511121196601276957</t>
  </si>
  <si>
    <t>13890338389</t>
  </si>
  <si>
    <t>王敏勋</t>
  </si>
  <si>
    <t>511121195205186939</t>
  </si>
  <si>
    <t>18384735461</t>
  </si>
  <si>
    <t>王敏才</t>
  </si>
  <si>
    <t>511121195205086938</t>
  </si>
  <si>
    <t>15378335075</t>
  </si>
  <si>
    <t>王东琴</t>
  </si>
  <si>
    <t>511121198009086942</t>
  </si>
  <si>
    <t>15983346415</t>
  </si>
  <si>
    <t>王会庸</t>
  </si>
  <si>
    <t>51112119680814699X</t>
  </si>
  <si>
    <t>13198360419</t>
  </si>
  <si>
    <t>王守明</t>
  </si>
  <si>
    <t>511121195612056939</t>
  </si>
  <si>
    <t>13088385125</t>
  </si>
  <si>
    <t>王海霞</t>
  </si>
  <si>
    <t>513822200110056760</t>
  </si>
  <si>
    <t>18398697251</t>
  </si>
  <si>
    <t>郑长明</t>
  </si>
  <si>
    <t>511121196911116932</t>
  </si>
  <si>
    <t>17713633784</t>
  </si>
  <si>
    <t>郑兴云</t>
  </si>
  <si>
    <t>511121195511206934</t>
  </si>
  <si>
    <t>18384788198</t>
  </si>
  <si>
    <t>王国明</t>
  </si>
  <si>
    <t>511121196303029050</t>
  </si>
  <si>
    <t>李秀英</t>
  </si>
  <si>
    <t>511121194705186949</t>
  </si>
  <si>
    <t>15883327160</t>
  </si>
  <si>
    <t>王建明</t>
  </si>
  <si>
    <t>511121198106146935</t>
  </si>
  <si>
    <t>13438327566</t>
  </si>
  <si>
    <t>王建国</t>
  </si>
  <si>
    <t>511121196904136935</t>
  </si>
  <si>
    <t>13890314230</t>
  </si>
  <si>
    <t>王海波</t>
  </si>
  <si>
    <t>王满均</t>
  </si>
  <si>
    <t>511121197209166950</t>
  </si>
  <si>
    <t>15881079334</t>
  </si>
  <si>
    <t>王艮川</t>
  </si>
  <si>
    <t>511121196202286939</t>
  </si>
  <si>
    <t>18381027294</t>
  </si>
  <si>
    <t>王七均</t>
  </si>
  <si>
    <t>511121197011266956</t>
  </si>
  <si>
    <t>13568304516</t>
  </si>
  <si>
    <t>王长清</t>
  </si>
  <si>
    <t>51112119671120695X</t>
  </si>
  <si>
    <t>13980812790</t>
  </si>
  <si>
    <t>王敏会</t>
  </si>
  <si>
    <t>511121196511076935</t>
  </si>
  <si>
    <t>15822935446</t>
  </si>
  <si>
    <t>王敏生</t>
  </si>
  <si>
    <t>王学成</t>
  </si>
  <si>
    <t>511121196807126938</t>
  </si>
  <si>
    <t>13540464691</t>
  </si>
  <si>
    <t>王勇均</t>
  </si>
  <si>
    <t>51112119680820693X</t>
  </si>
  <si>
    <t>13540426249</t>
  </si>
  <si>
    <t>王文金</t>
  </si>
  <si>
    <t>511121196710256939</t>
  </si>
  <si>
    <t>13908014212</t>
  </si>
  <si>
    <t>晏华英</t>
  </si>
  <si>
    <t>511027197205248740</t>
  </si>
  <si>
    <t>15182201270</t>
  </si>
  <si>
    <t>徐自群</t>
  </si>
  <si>
    <t>王长久</t>
  </si>
  <si>
    <t>511121197510046931</t>
  </si>
  <si>
    <t>15928846886</t>
  </si>
  <si>
    <t>王书文</t>
  </si>
  <si>
    <t>511121197105046938</t>
  </si>
  <si>
    <t>18227805711</t>
  </si>
  <si>
    <t>王刚</t>
  </si>
  <si>
    <t>王水明</t>
  </si>
  <si>
    <t>511121196801166939</t>
  </si>
  <si>
    <t>13880039025</t>
  </si>
  <si>
    <t>王敏树</t>
  </si>
  <si>
    <t>511121194805136930</t>
  </si>
  <si>
    <t>13679649081</t>
  </si>
  <si>
    <t>王敏志</t>
  </si>
  <si>
    <t>51112119551201693X</t>
  </si>
  <si>
    <t>13679649216</t>
  </si>
  <si>
    <t>王俊良</t>
  </si>
  <si>
    <t>511121196104146932</t>
  </si>
  <si>
    <t>13558839983</t>
  </si>
  <si>
    <t>王火明</t>
  </si>
  <si>
    <t>511121196308046933</t>
  </si>
  <si>
    <t>王华均</t>
  </si>
  <si>
    <t>511121197412016931</t>
  </si>
  <si>
    <t>13882085738</t>
  </si>
  <si>
    <t>王华均（75年）</t>
  </si>
  <si>
    <t>王敏方(1947)</t>
  </si>
  <si>
    <t>511121194708266936</t>
  </si>
  <si>
    <t>王敏方（51年）</t>
  </si>
  <si>
    <t>511121195106056936</t>
  </si>
  <si>
    <t>集体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</si>
</sst>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8" borderId="7">
      <alignment vertical="center"/>
    </xf>
    <xf numFmtId="0" fontId="12" fillId="9" borderId="8">
      <alignment vertical="center"/>
    </xf>
    <xf numFmtId="0" fontId="13" fillId="9" borderId="7">
      <alignment vertical="center"/>
    </xf>
    <xf numFmtId="0" fontId="14" fillId="10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4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5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Fill="1"/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1" fillId="0" borderId="2" xfId="0" applyFont="1" applyFill="1" applyBorder="1"/>
    <xf numFmtId="0" fontId="1" fillId="0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2" xfId="0" applyFont="1" applyFill="1" applyBorder="1"/>
    <xf numFmtId="0" fontId="1" fillId="0" borderId="3" xfId="0" applyFont="1" applyFill="1" applyBorder="1" applyAlignment="1" quotePrefix="1">
      <alignment horizontal="center" vertical="center"/>
    </xf>
    <xf numFmtId="0" fontId="1" fillId="0" borderId="3" xfId="0" applyFont="1" applyFill="1" applyBorder="1" applyAlignment="1" quotePrefix="1">
      <alignment horizontal="center" vertical="center"/>
    </xf>
    <xf numFmtId="0" fontId="1" fillId="6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Y244"/>
  <sheetViews>
    <sheetView tabSelected="1" zoomScale="130" zoomScaleNormal="130" zoomScaleSheetLayoutView="175" topLeftCell="A227" workbookViewId="0">
      <selection activeCell="B239" sqref="B239:B240"/>
    </sheetView>
  </sheetViews>
  <sheetFormatPr defaultColWidth="9" defaultRowHeight="30" customHeight="1"/>
  <cols>
    <col min="1" max="1" width="3.77777777777778" style="4" customWidth="1"/>
    <col min="2" max="2" width="15.1111111111111" style="4" customWidth="1"/>
    <col min="3" max="3" width="16.1111111111111" style="4" customWidth="1"/>
    <col min="4" max="4" width="3.66666666666667" style="4" customWidth="1"/>
    <col min="5" max="6" width="5.22222222222222" style="4" customWidth="1"/>
    <col min="7" max="7" width="3.77777777777778" style="4" customWidth="1"/>
    <col min="8" max="9" width="6.11111111111111" style="4" customWidth="1"/>
    <col min="10" max="10" width="3.66666666666667" style="4" customWidth="1"/>
    <col min="11" max="11" width="10" style="4" customWidth="1"/>
    <col min="12" max="12" width="10.4722222222222" style="4" customWidth="1"/>
    <col min="13" max="25" width="9" style="5"/>
  </cols>
  <sheetData>
    <row r="1" ht="14.4" spans="1: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ht="14.4" spans="1:25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ht="14.4" spans="1:25">
      <c r="A3" s="8">
        <v>1</v>
      </c>
      <c r="B3" s="9" t="s">
        <v>11</v>
      </c>
      <c r="C3" s="9" t="s">
        <v>12</v>
      </c>
      <c r="D3" s="8">
        <v>13</v>
      </c>
      <c r="E3" s="9" t="s">
        <v>13</v>
      </c>
      <c r="F3" s="8">
        <v>1.7</v>
      </c>
      <c r="G3" s="8">
        <v>480</v>
      </c>
      <c r="H3" s="8">
        <f>F3*G3</f>
        <v>816</v>
      </c>
      <c r="I3" s="8">
        <f>SUM(H3:H4)</f>
        <v>1222.6</v>
      </c>
      <c r="J3" s="9" t="s">
        <v>14</v>
      </c>
      <c r="K3" s="9" t="s">
        <v>15</v>
      </c>
    </row>
    <row r="4" ht="14.4" spans="1:25">
      <c r="A4" s="10"/>
      <c r="B4" s="10"/>
      <c r="C4" s="10"/>
      <c r="D4" s="10"/>
      <c r="E4" s="9" t="s">
        <v>16</v>
      </c>
      <c r="F4" s="8">
        <v>1.07</v>
      </c>
      <c r="G4" s="8">
        <v>380</v>
      </c>
      <c r="H4" s="8">
        <f>F4*G4</f>
        <v>406.6</v>
      </c>
      <c r="I4" s="10"/>
      <c r="J4" s="10"/>
      <c r="K4" s="10"/>
    </row>
    <row r="5" s="1" customFormat="1" ht="14.4" spans="1:25">
      <c r="A5" s="11">
        <v>2</v>
      </c>
      <c r="B5" s="12" t="s">
        <v>17</v>
      </c>
      <c r="C5" s="23" t="s">
        <v>18</v>
      </c>
      <c r="D5" s="11">
        <v>13</v>
      </c>
      <c r="E5" s="12" t="s">
        <v>13</v>
      </c>
      <c r="F5" s="11">
        <v>1.14</v>
      </c>
      <c r="G5" s="11">
        <v>480</v>
      </c>
      <c r="H5" s="11">
        <f>F5*G5</f>
        <v>547.2</v>
      </c>
      <c r="I5" s="11">
        <f>SUM(H5:H6)</f>
        <v>1725.2</v>
      </c>
      <c r="J5" s="12" t="s">
        <v>14</v>
      </c>
      <c r="K5" s="12" t="s">
        <v>19</v>
      </c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="1" customFormat="1" ht="14.4" spans="1:25">
      <c r="A6" s="15"/>
      <c r="B6" s="15"/>
      <c r="C6" s="15"/>
      <c r="D6" s="15"/>
      <c r="E6" s="12" t="s">
        <v>16</v>
      </c>
      <c r="F6" s="11">
        <v>3.1</v>
      </c>
      <c r="G6" s="11">
        <v>380</v>
      </c>
      <c r="H6" s="11">
        <f>F6*G6</f>
        <v>1178</v>
      </c>
      <c r="I6" s="15"/>
      <c r="J6" s="15"/>
      <c r="K6" s="15"/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t="14.4" spans="1:25">
      <c r="A7" s="8">
        <v>3</v>
      </c>
      <c r="B7" s="9" t="s">
        <v>20</v>
      </c>
      <c r="C7" s="9" t="s">
        <v>21</v>
      </c>
      <c r="D7" s="8">
        <v>13</v>
      </c>
      <c r="E7" s="9" t="s">
        <v>13</v>
      </c>
      <c r="F7" s="8">
        <v>1.37</v>
      </c>
      <c r="G7" s="8">
        <v>480</v>
      </c>
      <c r="H7" s="8">
        <f>F7*G7</f>
        <v>657.6</v>
      </c>
      <c r="I7" s="8">
        <f>SUM(H7:H8)</f>
        <v>1045.2</v>
      </c>
      <c r="J7" s="9" t="s">
        <v>14</v>
      </c>
      <c r="K7" s="9" t="s">
        <v>22</v>
      </c>
    </row>
    <row r="8" ht="14.4" spans="1:25">
      <c r="A8" s="10"/>
      <c r="B8" s="10"/>
      <c r="C8" s="10"/>
      <c r="D8" s="10"/>
      <c r="E8" s="9" t="s">
        <v>16</v>
      </c>
      <c r="F8" s="8">
        <v>1.02</v>
      </c>
      <c r="G8" s="8">
        <v>380</v>
      </c>
      <c r="H8" s="8">
        <f>F8*G8</f>
        <v>387.6</v>
      </c>
      <c r="I8" s="10"/>
      <c r="J8" s="10"/>
      <c r="K8" s="10"/>
    </row>
    <row r="9" ht="14.4" spans="1:25">
      <c r="A9" s="11">
        <v>4</v>
      </c>
      <c r="B9" s="9" t="s">
        <v>23</v>
      </c>
      <c r="C9" s="9" t="s">
        <v>24</v>
      </c>
      <c r="D9" s="8">
        <v>13</v>
      </c>
      <c r="E9" s="9" t="s">
        <v>13</v>
      </c>
      <c r="F9" s="8">
        <v>1.62</v>
      </c>
      <c r="G9" s="8">
        <v>480</v>
      </c>
      <c r="H9" s="8">
        <f>F9*G9</f>
        <v>777.6</v>
      </c>
      <c r="I9" s="8">
        <f>SUM(H9:H10)</f>
        <v>1541.4</v>
      </c>
      <c r="J9" s="9" t="s">
        <v>14</v>
      </c>
      <c r="K9" s="9" t="s">
        <v>25</v>
      </c>
    </row>
    <row r="10" ht="14.4" spans="1:25">
      <c r="A10" s="15"/>
      <c r="B10" s="10"/>
      <c r="C10" s="10"/>
      <c r="D10" s="10"/>
      <c r="E10" s="9" t="s">
        <v>16</v>
      </c>
      <c r="F10" s="8">
        <v>2.01</v>
      </c>
      <c r="G10" s="8">
        <v>380</v>
      </c>
      <c r="H10" s="8">
        <f>F10*G10</f>
        <v>763.8</v>
      </c>
      <c r="I10" s="10"/>
      <c r="J10" s="10"/>
      <c r="K10" s="10"/>
    </row>
    <row r="11" ht="14.4" spans="1:25">
      <c r="A11" s="8">
        <v>5</v>
      </c>
      <c r="B11" s="9" t="s">
        <v>26</v>
      </c>
      <c r="C11" s="9" t="s">
        <v>27</v>
      </c>
      <c r="D11" s="8">
        <v>13</v>
      </c>
      <c r="E11" s="9" t="s">
        <v>13</v>
      </c>
      <c r="F11" s="8">
        <v>2.22</v>
      </c>
      <c r="G11" s="8">
        <v>480</v>
      </c>
      <c r="H11" s="8">
        <f t="shared" ref="H11:H38" si="0">F11*G11</f>
        <v>1065.6</v>
      </c>
      <c r="I11" s="8">
        <f>SUM(H11:H12)</f>
        <v>1601.4</v>
      </c>
      <c r="J11" s="9" t="s">
        <v>14</v>
      </c>
      <c r="K11" s="9" t="s">
        <v>28</v>
      </c>
    </row>
    <row r="12" ht="14.4" spans="1:25">
      <c r="A12" s="10"/>
      <c r="B12" s="10"/>
      <c r="C12" s="10"/>
      <c r="D12" s="10"/>
      <c r="E12" s="9" t="s">
        <v>16</v>
      </c>
      <c r="F12" s="8">
        <v>1.41</v>
      </c>
      <c r="G12" s="8">
        <v>380</v>
      </c>
      <c r="H12" s="8">
        <f t="shared" si="0"/>
        <v>535.8</v>
      </c>
      <c r="I12" s="10"/>
      <c r="J12" s="10"/>
      <c r="K12" s="10"/>
    </row>
    <row r="13" ht="14.4" spans="1:25">
      <c r="A13" s="11">
        <v>6</v>
      </c>
      <c r="B13" s="9" t="s">
        <v>29</v>
      </c>
      <c r="C13" s="9" t="s">
        <v>30</v>
      </c>
      <c r="D13" s="8">
        <v>13</v>
      </c>
      <c r="E13" s="9" t="s">
        <v>13</v>
      </c>
      <c r="F13" s="8">
        <v>1.13</v>
      </c>
      <c r="G13" s="8">
        <v>480</v>
      </c>
      <c r="H13" s="8">
        <f t="shared" si="0"/>
        <v>542.4</v>
      </c>
      <c r="I13" s="8">
        <f>SUM(H13:H14)</f>
        <v>937.6</v>
      </c>
      <c r="J13" s="9" t="s">
        <v>14</v>
      </c>
      <c r="K13" s="9" t="s">
        <v>31</v>
      </c>
    </row>
    <row r="14" ht="14.4" spans="1:25">
      <c r="A14" s="15"/>
      <c r="B14" s="10"/>
      <c r="C14" s="10"/>
      <c r="D14" s="10"/>
      <c r="E14" s="9" t="s">
        <v>16</v>
      </c>
      <c r="F14" s="8">
        <v>1.04</v>
      </c>
      <c r="G14" s="8">
        <v>380</v>
      </c>
      <c r="H14" s="8">
        <f t="shared" si="0"/>
        <v>395.2</v>
      </c>
      <c r="I14" s="10"/>
      <c r="J14" s="10"/>
      <c r="K14" s="10"/>
    </row>
    <row r="15" ht="14.4" spans="1:25">
      <c r="A15" s="8">
        <v>7</v>
      </c>
      <c r="B15" s="9" t="s">
        <v>32</v>
      </c>
      <c r="C15" s="9" t="s">
        <v>33</v>
      </c>
      <c r="D15" s="8">
        <v>13</v>
      </c>
      <c r="E15" s="9" t="s">
        <v>13</v>
      </c>
      <c r="F15" s="8">
        <v>2.23</v>
      </c>
      <c r="G15" s="8">
        <v>480</v>
      </c>
      <c r="H15" s="8">
        <f t="shared" si="0"/>
        <v>1070.4</v>
      </c>
      <c r="I15" s="8">
        <f>SUM(H15:H16)</f>
        <v>2252.2</v>
      </c>
      <c r="J15" s="9" t="s">
        <v>14</v>
      </c>
      <c r="K15" s="9" t="s">
        <v>34</v>
      </c>
    </row>
    <row r="16" ht="14.4" spans="1:25">
      <c r="A16" s="10"/>
      <c r="B16" s="10"/>
      <c r="C16" s="10"/>
      <c r="D16" s="10"/>
      <c r="E16" s="9" t="s">
        <v>16</v>
      </c>
      <c r="F16" s="8">
        <v>3.11</v>
      </c>
      <c r="G16" s="8">
        <v>380</v>
      </c>
      <c r="H16" s="8">
        <f t="shared" si="0"/>
        <v>1181.8</v>
      </c>
      <c r="I16" s="10"/>
      <c r="J16" s="10"/>
      <c r="K16" s="10"/>
    </row>
    <row r="17" ht="14.4" spans="1:11">
      <c r="A17" s="11">
        <v>8</v>
      </c>
      <c r="B17" s="9" t="s">
        <v>35</v>
      </c>
      <c r="C17" s="9" t="s">
        <v>36</v>
      </c>
      <c r="D17" s="8">
        <v>13</v>
      </c>
      <c r="E17" s="9" t="s">
        <v>13</v>
      </c>
      <c r="F17" s="8">
        <v>1.28</v>
      </c>
      <c r="G17" s="8">
        <v>480</v>
      </c>
      <c r="H17" s="8">
        <f t="shared" si="0"/>
        <v>614.4</v>
      </c>
      <c r="I17" s="8">
        <f>SUM(H17:H18)</f>
        <v>1119.8</v>
      </c>
      <c r="J17" s="9" t="s">
        <v>14</v>
      </c>
      <c r="K17" s="9" t="s">
        <v>37</v>
      </c>
    </row>
    <row r="18" ht="14.4" spans="1:11">
      <c r="A18" s="15"/>
      <c r="B18" s="10"/>
      <c r="C18" s="10"/>
      <c r="D18" s="10"/>
      <c r="E18" s="9" t="s">
        <v>16</v>
      </c>
      <c r="F18" s="8">
        <v>1.33</v>
      </c>
      <c r="G18" s="8">
        <v>380</v>
      </c>
      <c r="H18" s="8">
        <f t="shared" si="0"/>
        <v>505.4</v>
      </c>
      <c r="I18" s="10"/>
      <c r="J18" s="10"/>
      <c r="K18" s="10"/>
    </row>
    <row r="19" ht="14.4" spans="1:11">
      <c r="A19" s="8">
        <v>9</v>
      </c>
      <c r="B19" s="9" t="s">
        <v>38</v>
      </c>
      <c r="C19" s="9" t="s">
        <v>39</v>
      </c>
      <c r="D19" s="8">
        <v>13</v>
      </c>
      <c r="E19" s="9" t="s">
        <v>13</v>
      </c>
      <c r="F19" s="8">
        <v>1.96</v>
      </c>
      <c r="G19" s="8">
        <v>480</v>
      </c>
      <c r="H19" s="8">
        <f t="shared" si="0"/>
        <v>940.8</v>
      </c>
      <c r="I19" s="8">
        <f>SUM(H19:H20)</f>
        <v>1849</v>
      </c>
      <c r="J19" s="9" t="s">
        <v>14</v>
      </c>
      <c r="K19" s="9" t="s">
        <v>34</v>
      </c>
    </row>
    <row r="20" ht="14.4" spans="1:11">
      <c r="A20" s="10"/>
      <c r="B20" s="10"/>
      <c r="C20" s="10"/>
      <c r="D20" s="10"/>
      <c r="E20" s="9" t="s">
        <v>16</v>
      </c>
      <c r="F20" s="8">
        <v>2.39</v>
      </c>
      <c r="G20" s="8">
        <v>380</v>
      </c>
      <c r="H20" s="8">
        <f t="shared" si="0"/>
        <v>908.2</v>
      </c>
      <c r="I20" s="10"/>
      <c r="J20" s="10"/>
      <c r="K20" s="10"/>
    </row>
    <row r="21" ht="14.4" spans="1:11">
      <c r="A21" s="11">
        <v>10</v>
      </c>
      <c r="B21" s="9" t="s">
        <v>40</v>
      </c>
      <c r="C21" s="9"/>
      <c r="D21" s="8">
        <v>13</v>
      </c>
      <c r="E21" s="9" t="s">
        <v>13</v>
      </c>
      <c r="F21" s="8">
        <v>0.61</v>
      </c>
      <c r="G21" s="8">
        <v>480</v>
      </c>
      <c r="H21" s="8">
        <f t="shared" si="0"/>
        <v>292.8</v>
      </c>
      <c r="I21" s="8">
        <f>SUM(H21:H22)</f>
        <v>1113.6</v>
      </c>
      <c r="J21" s="9" t="s">
        <v>14</v>
      </c>
      <c r="K21" s="9">
        <v>15821170362</v>
      </c>
    </row>
    <row r="22" ht="14.4" spans="1:11">
      <c r="A22" s="15"/>
      <c r="B22" s="10"/>
      <c r="C22" s="10"/>
      <c r="D22" s="10"/>
      <c r="E22" s="9" t="s">
        <v>16</v>
      </c>
      <c r="F22" s="8">
        <v>2.16</v>
      </c>
      <c r="G22" s="8">
        <v>380</v>
      </c>
      <c r="H22" s="8">
        <f t="shared" si="0"/>
        <v>820.8</v>
      </c>
      <c r="I22" s="10"/>
      <c r="J22" s="10"/>
      <c r="K22" s="10"/>
    </row>
    <row r="23" ht="14.4" spans="1:11">
      <c r="A23" s="8">
        <v>11</v>
      </c>
      <c r="B23" s="9" t="s">
        <v>41</v>
      </c>
      <c r="C23" s="9" t="s">
        <v>42</v>
      </c>
      <c r="D23" s="8">
        <v>13</v>
      </c>
      <c r="E23" s="9" t="s">
        <v>13</v>
      </c>
      <c r="F23" s="8">
        <v>1.4</v>
      </c>
      <c r="G23" s="8">
        <v>480</v>
      </c>
      <c r="H23" s="8">
        <f t="shared" si="0"/>
        <v>672</v>
      </c>
      <c r="I23" s="8">
        <f>SUM(H23:H24)</f>
        <v>1971.6</v>
      </c>
      <c r="J23" s="9" t="s">
        <v>14</v>
      </c>
      <c r="K23" s="9" t="s">
        <v>43</v>
      </c>
    </row>
    <row r="24" ht="14.4" spans="1:11">
      <c r="A24" s="10"/>
      <c r="B24" s="10"/>
      <c r="C24" s="10"/>
      <c r="D24" s="10"/>
      <c r="E24" s="9" t="s">
        <v>16</v>
      </c>
      <c r="F24" s="8">
        <v>3.42</v>
      </c>
      <c r="G24" s="8">
        <v>380</v>
      </c>
      <c r="H24" s="8">
        <f t="shared" si="0"/>
        <v>1299.6</v>
      </c>
      <c r="I24" s="10"/>
      <c r="J24" s="10"/>
      <c r="K24" s="10"/>
    </row>
    <row r="25" ht="14.4" spans="1:11">
      <c r="A25" s="11">
        <v>12</v>
      </c>
      <c r="B25" s="9" t="s">
        <v>44</v>
      </c>
      <c r="C25" s="24" t="s">
        <v>45</v>
      </c>
      <c r="D25" s="8">
        <v>13</v>
      </c>
      <c r="E25" s="9" t="s">
        <v>13</v>
      </c>
      <c r="F25" s="8">
        <v>2.96</v>
      </c>
      <c r="G25" s="8">
        <v>480</v>
      </c>
      <c r="H25" s="8">
        <f t="shared" si="0"/>
        <v>1420.8</v>
      </c>
      <c r="I25" s="8">
        <f>SUM(H25:H26)</f>
        <v>2458.2</v>
      </c>
      <c r="J25" s="9" t="s">
        <v>14</v>
      </c>
      <c r="K25" s="9" t="s">
        <v>46</v>
      </c>
    </row>
    <row r="26" ht="14.4" spans="1:11">
      <c r="A26" s="15"/>
      <c r="B26" s="10"/>
      <c r="C26" s="10"/>
      <c r="D26" s="10"/>
      <c r="E26" s="9" t="s">
        <v>16</v>
      </c>
      <c r="F26" s="8">
        <v>2.73</v>
      </c>
      <c r="G26" s="8">
        <v>380</v>
      </c>
      <c r="H26" s="8">
        <f t="shared" si="0"/>
        <v>1037.4</v>
      </c>
      <c r="I26" s="10"/>
      <c r="J26" s="10"/>
      <c r="K26" s="10"/>
    </row>
    <row r="27" ht="14.4" spans="1:11">
      <c r="A27" s="8">
        <v>13</v>
      </c>
      <c r="B27" s="9" t="s">
        <v>47</v>
      </c>
      <c r="C27" s="9" t="s">
        <v>48</v>
      </c>
      <c r="D27" s="8">
        <v>13</v>
      </c>
      <c r="E27" s="9" t="s">
        <v>13</v>
      </c>
      <c r="F27" s="8">
        <v>1.59</v>
      </c>
      <c r="G27" s="8">
        <v>480</v>
      </c>
      <c r="H27" s="8">
        <f t="shared" si="0"/>
        <v>763.2</v>
      </c>
      <c r="I27" s="8">
        <f>SUM(H27:H28)</f>
        <v>1907</v>
      </c>
      <c r="J27" s="9" t="s">
        <v>14</v>
      </c>
      <c r="K27" s="9" t="s">
        <v>49</v>
      </c>
    </row>
    <row r="28" ht="14.4" spans="1:11">
      <c r="A28" s="10"/>
      <c r="B28" s="10"/>
      <c r="C28" s="10"/>
      <c r="D28" s="10"/>
      <c r="E28" s="9" t="s">
        <v>16</v>
      </c>
      <c r="F28" s="8">
        <v>3.01</v>
      </c>
      <c r="G28" s="8">
        <v>380</v>
      </c>
      <c r="H28" s="8">
        <f t="shared" si="0"/>
        <v>1143.8</v>
      </c>
      <c r="I28" s="10"/>
      <c r="J28" s="10"/>
      <c r="K28" s="10"/>
    </row>
    <row r="29" ht="14.4" spans="1:11">
      <c r="A29" s="11">
        <v>14</v>
      </c>
      <c r="B29" s="9" t="s">
        <v>50</v>
      </c>
      <c r="C29" s="9" t="s">
        <v>51</v>
      </c>
      <c r="D29" s="8">
        <v>13</v>
      </c>
      <c r="E29" s="9" t="s">
        <v>13</v>
      </c>
      <c r="F29" s="8">
        <v>1.44</v>
      </c>
      <c r="G29" s="8">
        <v>480</v>
      </c>
      <c r="H29" s="8">
        <f t="shared" si="0"/>
        <v>691.2</v>
      </c>
      <c r="I29" s="8">
        <f>SUM(H29:H30)</f>
        <v>1827.4</v>
      </c>
      <c r="J29" s="9" t="s">
        <v>14</v>
      </c>
      <c r="K29" s="9" t="s">
        <v>52</v>
      </c>
    </row>
    <row r="30" ht="14.4" spans="1:11">
      <c r="A30" s="15"/>
      <c r="B30" s="10"/>
      <c r="C30" s="10"/>
      <c r="D30" s="10"/>
      <c r="E30" s="9" t="s">
        <v>16</v>
      </c>
      <c r="F30" s="8">
        <v>2.99</v>
      </c>
      <c r="G30" s="8">
        <v>380</v>
      </c>
      <c r="H30" s="8">
        <f t="shared" si="0"/>
        <v>1136.2</v>
      </c>
      <c r="I30" s="10"/>
      <c r="J30" s="10"/>
      <c r="K30" s="10"/>
    </row>
    <row r="31" ht="14.4" spans="1:11">
      <c r="A31" s="8">
        <v>15</v>
      </c>
      <c r="B31" s="9" t="s">
        <v>53</v>
      </c>
      <c r="C31" s="9" t="s">
        <v>54</v>
      </c>
      <c r="D31" s="8">
        <v>13</v>
      </c>
      <c r="E31" s="9" t="s">
        <v>13</v>
      </c>
      <c r="F31" s="8">
        <v>2.36</v>
      </c>
      <c r="G31" s="8">
        <v>480</v>
      </c>
      <c r="H31" s="8">
        <f t="shared" si="0"/>
        <v>1132.8</v>
      </c>
      <c r="I31" s="8">
        <f>SUM(H31:H32)</f>
        <v>2709.8</v>
      </c>
      <c r="J31" s="9" t="s">
        <v>14</v>
      </c>
      <c r="K31" s="9" t="s">
        <v>55</v>
      </c>
    </row>
    <row r="32" ht="14.4" spans="1:11">
      <c r="A32" s="10"/>
      <c r="B32" s="10"/>
      <c r="C32" s="10"/>
      <c r="D32" s="10"/>
      <c r="E32" s="9" t="s">
        <v>16</v>
      </c>
      <c r="F32" s="8">
        <v>4.15</v>
      </c>
      <c r="G32" s="8">
        <v>380</v>
      </c>
      <c r="H32" s="8">
        <f t="shared" si="0"/>
        <v>1577</v>
      </c>
      <c r="I32" s="10"/>
      <c r="J32" s="10"/>
      <c r="K32" s="10"/>
    </row>
    <row r="33" ht="14.4" spans="1:11">
      <c r="A33" s="11">
        <v>16</v>
      </c>
      <c r="B33" s="9" t="s">
        <v>56</v>
      </c>
      <c r="C33" s="9" t="s">
        <v>57</v>
      </c>
      <c r="D33" s="8">
        <v>13</v>
      </c>
      <c r="E33" s="9" t="s">
        <v>13</v>
      </c>
      <c r="F33" s="8">
        <v>3.67</v>
      </c>
      <c r="G33" s="8">
        <v>480</v>
      </c>
      <c r="H33" s="8">
        <f t="shared" si="0"/>
        <v>1761.6</v>
      </c>
      <c r="I33" s="8">
        <f>SUM(H33:H34)</f>
        <v>3566.6</v>
      </c>
      <c r="J33" s="9" t="s">
        <v>14</v>
      </c>
      <c r="K33" s="9" t="s">
        <v>58</v>
      </c>
    </row>
    <row r="34" ht="14.4" spans="1:11">
      <c r="A34" s="15"/>
      <c r="B34" s="10"/>
      <c r="C34" s="10"/>
      <c r="D34" s="10"/>
      <c r="E34" s="9" t="s">
        <v>16</v>
      </c>
      <c r="F34" s="8">
        <v>4.75</v>
      </c>
      <c r="G34" s="8">
        <v>380</v>
      </c>
      <c r="H34" s="8">
        <f t="shared" si="0"/>
        <v>1805</v>
      </c>
      <c r="I34" s="10"/>
      <c r="J34" s="10"/>
      <c r="K34" s="10"/>
    </row>
    <row r="35" ht="14.4" spans="1:11">
      <c r="A35" s="8">
        <v>17</v>
      </c>
      <c r="B35" s="9" t="s">
        <v>59</v>
      </c>
      <c r="C35" s="9" t="s">
        <v>60</v>
      </c>
      <c r="D35" s="8">
        <v>13</v>
      </c>
      <c r="E35" s="9" t="s">
        <v>13</v>
      </c>
      <c r="F35" s="8">
        <v>1.75</v>
      </c>
      <c r="G35" s="8">
        <v>480</v>
      </c>
      <c r="H35" s="8">
        <f t="shared" si="0"/>
        <v>840</v>
      </c>
      <c r="I35" s="8">
        <f>SUM(H35:H36)</f>
        <v>1436.6</v>
      </c>
      <c r="J35" s="9" t="s">
        <v>14</v>
      </c>
      <c r="K35" s="9" t="s">
        <v>61</v>
      </c>
    </row>
    <row r="36" ht="14.4" spans="1:11">
      <c r="A36" s="10"/>
      <c r="B36" s="10"/>
      <c r="C36" s="10"/>
      <c r="D36" s="10"/>
      <c r="E36" s="9" t="s">
        <v>16</v>
      </c>
      <c r="F36" s="8">
        <v>1.57</v>
      </c>
      <c r="G36" s="8">
        <v>380</v>
      </c>
      <c r="H36" s="8">
        <f t="shared" si="0"/>
        <v>596.6</v>
      </c>
      <c r="I36" s="10"/>
      <c r="J36" s="10"/>
      <c r="K36" s="10"/>
    </row>
    <row r="37" ht="14.4" spans="1:11">
      <c r="A37" s="11">
        <v>18</v>
      </c>
      <c r="B37" s="9" t="s">
        <v>62</v>
      </c>
      <c r="C37" s="9" t="s">
        <v>63</v>
      </c>
      <c r="D37" s="8">
        <v>13</v>
      </c>
      <c r="E37" s="9" t="s">
        <v>13</v>
      </c>
      <c r="F37" s="8">
        <v>1.83</v>
      </c>
      <c r="G37" s="8">
        <v>480</v>
      </c>
      <c r="H37" s="8">
        <f t="shared" si="0"/>
        <v>878.4</v>
      </c>
      <c r="I37" s="8">
        <f>SUM(H37:H38)</f>
        <v>2413.6</v>
      </c>
      <c r="J37" s="9" t="s">
        <v>14</v>
      </c>
      <c r="K37" s="9" t="s">
        <v>64</v>
      </c>
    </row>
    <row r="38" ht="14.4" spans="1:11">
      <c r="A38" s="15"/>
      <c r="B38" s="10"/>
      <c r="C38" s="10"/>
      <c r="D38" s="10"/>
      <c r="E38" s="9" t="s">
        <v>16</v>
      </c>
      <c r="F38" s="8">
        <v>4.04</v>
      </c>
      <c r="G38" s="8">
        <v>380</v>
      </c>
      <c r="H38" s="8">
        <f t="shared" si="0"/>
        <v>1535.2</v>
      </c>
      <c r="I38" s="10"/>
      <c r="J38" s="10"/>
      <c r="K38" s="10"/>
    </row>
    <row r="39" ht="14.4" spans="1:11">
      <c r="A39" s="8">
        <v>19</v>
      </c>
      <c r="B39" s="9" t="s">
        <v>65</v>
      </c>
      <c r="C39" s="9" t="s">
        <v>66</v>
      </c>
      <c r="D39" s="8">
        <v>13</v>
      </c>
      <c r="E39" s="9" t="s">
        <v>13</v>
      </c>
      <c r="F39" s="8">
        <v>0</v>
      </c>
      <c r="G39" s="8">
        <v>480</v>
      </c>
      <c r="H39" s="8">
        <f>F39*G39</f>
        <v>0</v>
      </c>
      <c r="I39" s="8">
        <f>SUM(H39:H40)</f>
        <v>224.2</v>
      </c>
      <c r="J39" s="9" t="s">
        <v>14</v>
      </c>
      <c r="K39" s="9" t="s">
        <v>67</v>
      </c>
    </row>
    <row r="40" ht="14.4" spans="1:11">
      <c r="A40" s="10"/>
      <c r="B40" s="10"/>
      <c r="C40" s="10"/>
      <c r="D40" s="10"/>
      <c r="E40" s="9" t="s">
        <v>16</v>
      </c>
      <c r="F40" s="8">
        <v>0.59</v>
      </c>
      <c r="G40" s="8">
        <v>380</v>
      </c>
      <c r="H40" s="8">
        <f>F40*G40</f>
        <v>224.2</v>
      </c>
      <c r="I40" s="10"/>
      <c r="J40" s="10"/>
      <c r="K40" s="10"/>
    </row>
    <row r="41" ht="14.4" spans="1:11">
      <c r="A41" s="11">
        <v>20</v>
      </c>
      <c r="B41" s="9" t="s">
        <v>68</v>
      </c>
      <c r="C41" s="9" t="s">
        <v>69</v>
      </c>
      <c r="D41" s="8">
        <v>13</v>
      </c>
      <c r="E41" s="9" t="s">
        <v>13</v>
      </c>
      <c r="F41" s="8">
        <v>1.71</v>
      </c>
      <c r="G41" s="8">
        <v>480</v>
      </c>
      <c r="H41" s="8">
        <f>F41*G41</f>
        <v>820.8</v>
      </c>
      <c r="I41" s="8">
        <f>SUM(H41:H42)</f>
        <v>1900</v>
      </c>
      <c r="J41" s="9" t="s">
        <v>14</v>
      </c>
      <c r="K41" s="9" t="s">
        <v>70</v>
      </c>
    </row>
    <row r="42" ht="14.4" spans="1:11">
      <c r="A42" s="15"/>
      <c r="B42" s="10"/>
      <c r="C42" s="10"/>
      <c r="D42" s="10"/>
      <c r="E42" s="9" t="s">
        <v>16</v>
      </c>
      <c r="F42" s="8">
        <v>2.84</v>
      </c>
      <c r="G42" s="8">
        <v>380</v>
      </c>
      <c r="H42" s="8">
        <f>F42*G42</f>
        <v>1079.2</v>
      </c>
      <c r="I42" s="10"/>
      <c r="J42" s="10"/>
      <c r="K42" s="10"/>
    </row>
    <row r="43" ht="14.4" spans="1:11">
      <c r="A43" s="8">
        <v>21</v>
      </c>
      <c r="B43" s="9" t="s">
        <v>71</v>
      </c>
      <c r="C43" s="9" t="s">
        <v>72</v>
      </c>
      <c r="D43" s="8">
        <v>13</v>
      </c>
      <c r="E43" s="9" t="s">
        <v>13</v>
      </c>
      <c r="F43" s="8">
        <v>2.05</v>
      </c>
      <c r="G43" s="8">
        <v>480</v>
      </c>
      <c r="H43" s="8">
        <f>F43*G43</f>
        <v>984</v>
      </c>
      <c r="I43" s="8">
        <f>SUM(H43:H44)</f>
        <v>2352</v>
      </c>
      <c r="J43" s="9" t="s">
        <v>14</v>
      </c>
      <c r="K43" s="9" t="s">
        <v>73</v>
      </c>
    </row>
    <row r="44" ht="14.4" spans="1:11">
      <c r="A44" s="10"/>
      <c r="B44" s="10"/>
      <c r="C44" s="10"/>
      <c r="D44" s="10"/>
      <c r="E44" s="9" t="s">
        <v>16</v>
      </c>
      <c r="F44" s="8">
        <v>3.6</v>
      </c>
      <c r="G44" s="8">
        <v>380</v>
      </c>
      <c r="H44" s="8">
        <f>F44*G44</f>
        <v>1368</v>
      </c>
      <c r="I44" s="10"/>
      <c r="J44" s="10"/>
      <c r="K44" s="10"/>
    </row>
    <row r="45" ht="14.4" spans="1:11">
      <c r="A45" s="11">
        <v>22</v>
      </c>
      <c r="B45" s="9" t="s">
        <v>74</v>
      </c>
      <c r="C45" s="9" t="s">
        <v>75</v>
      </c>
      <c r="D45" s="8">
        <v>13</v>
      </c>
      <c r="E45" s="9" t="s">
        <v>13</v>
      </c>
      <c r="F45" s="8">
        <v>2.53</v>
      </c>
      <c r="G45" s="8">
        <v>480</v>
      </c>
      <c r="H45" s="8">
        <f>F45*G45</f>
        <v>1214.4</v>
      </c>
      <c r="I45" s="8">
        <f>SUM(H45:H46)</f>
        <v>2578.6</v>
      </c>
      <c r="J45" s="9" t="s">
        <v>14</v>
      </c>
      <c r="K45" s="9" t="s">
        <v>76</v>
      </c>
    </row>
    <row r="46" ht="14.4" spans="1:11">
      <c r="A46" s="15"/>
      <c r="B46" s="10"/>
      <c r="C46" s="10"/>
      <c r="D46" s="10"/>
      <c r="E46" s="9" t="s">
        <v>16</v>
      </c>
      <c r="F46" s="8">
        <v>3.59</v>
      </c>
      <c r="G46" s="8">
        <v>380</v>
      </c>
      <c r="H46" s="8">
        <f>F46*G46</f>
        <v>1364.2</v>
      </c>
      <c r="I46" s="10"/>
      <c r="J46" s="10"/>
      <c r="K46" s="10"/>
    </row>
    <row r="47" ht="14.4" spans="1:11">
      <c r="A47" s="8">
        <v>23</v>
      </c>
      <c r="B47" s="9" t="s">
        <v>77</v>
      </c>
      <c r="C47" s="9" t="s">
        <v>78</v>
      </c>
      <c r="D47" s="8">
        <v>13</v>
      </c>
      <c r="E47" s="9" t="s">
        <v>13</v>
      </c>
      <c r="F47" s="8">
        <v>2.1</v>
      </c>
      <c r="G47" s="8">
        <v>480</v>
      </c>
      <c r="H47" s="8">
        <f>F47*G47</f>
        <v>1008</v>
      </c>
      <c r="I47" s="8">
        <f>SUM(H47:H48)</f>
        <v>1103</v>
      </c>
      <c r="J47" s="9" t="s">
        <v>14</v>
      </c>
      <c r="K47" s="9" t="s">
        <v>79</v>
      </c>
    </row>
    <row r="48" ht="14.4" spans="1:11">
      <c r="A48" s="10"/>
      <c r="B48" s="10"/>
      <c r="C48" s="10"/>
      <c r="D48" s="10"/>
      <c r="E48" s="9" t="s">
        <v>16</v>
      </c>
      <c r="F48" s="8">
        <v>0.25</v>
      </c>
      <c r="G48" s="8">
        <v>380</v>
      </c>
      <c r="H48" s="8">
        <f>F48*G48</f>
        <v>95</v>
      </c>
      <c r="I48" s="10"/>
      <c r="J48" s="10"/>
      <c r="K48" s="10"/>
    </row>
    <row r="49" ht="14.4" spans="1:11">
      <c r="A49" s="11">
        <v>24</v>
      </c>
      <c r="B49" s="9" t="s">
        <v>80</v>
      </c>
      <c r="C49" s="9" t="s">
        <v>81</v>
      </c>
      <c r="D49" s="8">
        <v>13</v>
      </c>
      <c r="E49" s="9" t="s">
        <v>13</v>
      </c>
      <c r="F49" s="8">
        <v>3.02</v>
      </c>
      <c r="G49" s="8">
        <v>480</v>
      </c>
      <c r="H49" s="8">
        <f>F49*G49</f>
        <v>1449.6</v>
      </c>
      <c r="I49" s="8">
        <f>SUM(H49:H50)</f>
        <v>2354</v>
      </c>
      <c r="J49" s="9" t="s">
        <v>14</v>
      </c>
      <c r="K49" s="9" t="s">
        <v>82</v>
      </c>
    </row>
    <row r="50" ht="14.4" spans="1:11">
      <c r="A50" s="15"/>
      <c r="B50" s="10"/>
      <c r="C50" s="10"/>
      <c r="D50" s="10"/>
      <c r="E50" s="9" t="s">
        <v>16</v>
      </c>
      <c r="F50" s="8">
        <v>2.38</v>
      </c>
      <c r="G50" s="8">
        <v>380</v>
      </c>
      <c r="H50" s="8">
        <f>F50*G50</f>
        <v>904.4</v>
      </c>
      <c r="I50" s="10"/>
      <c r="J50" s="10"/>
      <c r="K50" s="10"/>
    </row>
    <row r="51" ht="14.4" spans="1:11">
      <c r="A51" s="8">
        <v>25</v>
      </c>
      <c r="B51" s="9" t="s">
        <v>83</v>
      </c>
      <c r="C51" s="9" t="s">
        <v>84</v>
      </c>
      <c r="D51" s="8">
        <v>13</v>
      </c>
      <c r="E51" s="9" t="s">
        <v>13</v>
      </c>
      <c r="F51" s="8">
        <v>1.66</v>
      </c>
      <c r="G51" s="8">
        <v>480</v>
      </c>
      <c r="H51" s="8">
        <f>F51*G51</f>
        <v>796.8</v>
      </c>
      <c r="I51" s="8">
        <f>SUM(H51:H52)</f>
        <v>2058.4</v>
      </c>
      <c r="J51" s="9" t="s">
        <v>14</v>
      </c>
      <c r="K51" s="9" t="s">
        <v>61</v>
      </c>
    </row>
    <row r="52" ht="14.4" spans="1:11">
      <c r="A52" s="10"/>
      <c r="B52" s="10"/>
      <c r="C52" s="10"/>
      <c r="D52" s="10"/>
      <c r="E52" s="9" t="s">
        <v>16</v>
      </c>
      <c r="F52" s="8">
        <v>3.32</v>
      </c>
      <c r="G52" s="8">
        <v>380</v>
      </c>
      <c r="H52" s="8">
        <f>F52*G52</f>
        <v>1261.6</v>
      </c>
      <c r="I52" s="10"/>
      <c r="J52" s="10"/>
      <c r="K52" s="10"/>
    </row>
    <row r="53" ht="14.4" spans="1:11">
      <c r="A53" s="11">
        <v>26</v>
      </c>
      <c r="B53" s="9" t="s">
        <v>85</v>
      </c>
      <c r="C53" s="9" t="s">
        <v>86</v>
      </c>
      <c r="D53" s="8">
        <v>13</v>
      </c>
      <c r="E53" s="9" t="s">
        <v>13</v>
      </c>
      <c r="F53" s="8">
        <v>3.45</v>
      </c>
      <c r="G53" s="8">
        <v>480</v>
      </c>
      <c r="H53" s="8">
        <f>F53*G53</f>
        <v>1656</v>
      </c>
      <c r="I53" s="8">
        <f>SUM(H53:H54)</f>
        <v>2651.6</v>
      </c>
      <c r="J53" s="9" t="s">
        <v>14</v>
      </c>
      <c r="K53" s="9" t="s">
        <v>87</v>
      </c>
    </row>
    <row r="54" ht="14.4" spans="1:11">
      <c r="A54" s="15"/>
      <c r="B54" s="10"/>
      <c r="C54" s="10"/>
      <c r="D54" s="10"/>
      <c r="E54" s="9" t="s">
        <v>16</v>
      </c>
      <c r="F54" s="8">
        <v>2.62</v>
      </c>
      <c r="G54" s="8">
        <v>380</v>
      </c>
      <c r="H54" s="8">
        <f>F54*G54</f>
        <v>995.6</v>
      </c>
      <c r="I54" s="10"/>
      <c r="J54" s="10"/>
      <c r="K54" s="10"/>
    </row>
    <row r="55" ht="14.4" spans="1:11">
      <c r="A55" s="8">
        <v>27</v>
      </c>
      <c r="B55" s="9" t="s">
        <v>88</v>
      </c>
      <c r="C55" s="9" t="s">
        <v>89</v>
      </c>
      <c r="D55" s="8">
        <v>13</v>
      </c>
      <c r="E55" s="9" t="s">
        <v>13</v>
      </c>
      <c r="F55" s="8">
        <v>0</v>
      </c>
      <c r="G55" s="8">
        <v>480</v>
      </c>
      <c r="H55" s="8">
        <f>F55*G55</f>
        <v>0</v>
      </c>
      <c r="I55" s="8">
        <f>SUM(H55:H56)</f>
        <v>402.8</v>
      </c>
      <c r="J55" s="9" t="s">
        <v>14</v>
      </c>
      <c r="K55" s="9" t="s">
        <v>90</v>
      </c>
    </row>
    <row r="56" ht="14.4" spans="1:11">
      <c r="A56" s="10"/>
      <c r="B56" s="10"/>
      <c r="C56" s="10"/>
      <c r="D56" s="10"/>
      <c r="E56" s="9" t="s">
        <v>16</v>
      </c>
      <c r="F56" s="8">
        <v>1.06</v>
      </c>
      <c r="G56" s="8">
        <v>380</v>
      </c>
      <c r="H56" s="8">
        <f>F56*G56</f>
        <v>402.8</v>
      </c>
      <c r="I56" s="10"/>
      <c r="J56" s="10"/>
      <c r="K56" s="10"/>
    </row>
    <row r="57" ht="14.4" spans="1:11">
      <c r="A57" s="11">
        <v>28</v>
      </c>
      <c r="B57" s="9" t="s">
        <v>91</v>
      </c>
      <c r="C57" s="9" t="s">
        <v>92</v>
      </c>
      <c r="D57" s="8">
        <v>13</v>
      </c>
      <c r="E57" s="9" t="s">
        <v>13</v>
      </c>
      <c r="F57" s="8">
        <v>2.82</v>
      </c>
      <c r="G57" s="8">
        <v>480</v>
      </c>
      <c r="H57" s="8">
        <f>F57*G57</f>
        <v>1353.6</v>
      </c>
      <c r="I57" s="8">
        <f>SUM(H57:H58)</f>
        <v>2752</v>
      </c>
      <c r="J57" s="9" t="s">
        <v>14</v>
      </c>
      <c r="K57" s="9" t="s">
        <v>93</v>
      </c>
    </row>
    <row r="58" ht="14.4" spans="1:11">
      <c r="A58" s="15"/>
      <c r="B58" s="10"/>
      <c r="C58" s="10"/>
      <c r="D58" s="10"/>
      <c r="E58" s="9" t="s">
        <v>16</v>
      </c>
      <c r="F58" s="8">
        <v>3.68</v>
      </c>
      <c r="G58" s="8">
        <v>380</v>
      </c>
      <c r="H58" s="8">
        <f>F58*G58</f>
        <v>1398.4</v>
      </c>
      <c r="I58" s="10"/>
      <c r="J58" s="10"/>
      <c r="K58" s="10"/>
    </row>
    <row r="59" ht="14.4" spans="1:11">
      <c r="A59" s="8">
        <v>29</v>
      </c>
      <c r="B59" s="9" t="s">
        <v>94</v>
      </c>
      <c r="C59" s="9" t="s">
        <v>95</v>
      </c>
      <c r="D59" s="8">
        <v>13</v>
      </c>
      <c r="E59" s="9" t="s">
        <v>13</v>
      </c>
      <c r="F59" s="8">
        <v>0.65</v>
      </c>
      <c r="G59" s="8">
        <v>480</v>
      </c>
      <c r="H59" s="8">
        <f>F59*G59</f>
        <v>312</v>
      </c>
      <c r="I59" s="8">
        <f>SUM(H59:H60)</f>
        <v>312</v>
      </c>
      <c r="J59" s="9" t="s">
        <v>14</v>
      </c>
      <c r="K59" s="9" t="s">
        <v>96</v>
      </c>
    </row>
    <row r="60" ht="14.4" spans="1:11">
      <c r="A60" s="10"/>
      <c r="B60" s="10"/>
      <c r="C60" s="10"/>
      <c r="D60" s="10"/>
      <c r="E60" s="9" t="s">
        <v>16</v>
      </c>
      <c r="F60" s="8">
        <v>0</v>
      </c>
      <c r="G60" s="8">
        <v>380</v>
      </c>
      <c r="H60" s="8">
        <f>F60*G60</f>
        <v>0</v>
      </c>
      <c r="I60" s="10"/>
      <c r="J60" s="10"/>
      <c r="K60" s="10"/>
    </row>
    <row r="61" ht="14.4" spans="1:11">
      <c r="A61" s="11">
        <v>30</v>
      </c>
      <c r="B61" s="9" t="s">
        <v>97</v>
      </c>
      <c r="C61" s="9" t="s">
        <v>98</v>
      </c>
      <c r="D61" s="8">
        <v>13</v>
      </c>
      <c r="E61" s="9" t="s">
        <v>13</v>
      </c>
      <c r="F61" s="8">
        <v>1.18</v>
      </c>
      <c r="G61" s="8">
        <v>480</v>
      </c>
      <c r="H61" s="8">
        <f>F61*G61</f>
        <v>566.4</v>
      </c>
      <c r="I61" s="8">
        <f>SUM(H61:H62)</f>
        <v>680.4</v>
      </c>
      <c r="J61" s="9" t="s">
        <v>14</v>
      </c>
      <c r="K61" s="9" t="s">
        <v>99</v>
      </c>
    </row>
    <row r="62" ht="14.4" spans="1:11">
      <c r="A62" s="15"/>
      <c r="B62" s="10"/>
      <c r="C62" s="10"/>
      <c r="D62" s="10"/>
      <c r="E62" s="9" t="s">
        <v>16</v>
      </c>
      <c r="F62" s="8">
        <v>0.3</v>
      </c>
      <c r="G62" s="8">
        <v>380</v>
      </c>
      <c r="H62" s="8">
        <f>F62*G62</f>
        <v>114</v>
      </c>
      <c r="I62" s="10"/>
      <c r="J62" s="10"/>
      <c r="K62" s="10"/>
    </row>
    <row r="63" ht="14.4" spans="1:11">
      <c r="A63" s="8">
        <v>31</v>
      </c>
      <c r="B63" s="9" t="s">
        <v>100</v>
      </c>
      <c r="C63" s="9" t="s">
        <v>101</v>
      </c>
      <c r="D63" s="8">
        <v>13</v>
      </c>
      <c r="E63" s="9" t="s">
        <v>13</v>
      </c>
      <c r="F63" s="8">
        <v>1.29</v>
      </c>
      <c r="G63" s="8">
        <v>480</v>
      </c>
      <c r="H63" s="8">
        <f>F63*G63</f>
        <v>619.2</v>
      </c>
      <c r="I63" s="8">
        <f>SUM(H63:H64)</f>
        <v>968.8</v>
      </c>
      <c r="J63" s="9" t="s">
        <v>14</v>
      </c>
      <c r="K63" s="9" t="s">
        <v>102</v>
      </c>
    </row>
    <row r="64" ht="14.4" spans="1:11">
      <c r="A64" s="10"/>
      <c r="B64" s="10"/>
      <c r="C64" s="10"/>
      <c r="D64" s="10"/>
      <c r="E64" s="9" t="s">
        <v>16</v>
      </c>
      <c r="F64" s="8">
        <v>0.92</v>
      </c>
      <c r="G64" s="8">
        <v>380</v>
      </c>
      <c r="H64" s="8">
        <f>F64*G64</f>
        <v>349.6</v>
      </c>
      <c r="I64" s="10"/>
      <c r="J64" s="10"/>
      <c r="K64" s="10"/>
    </row>
    <row r="65" ht="14.4" spans="1:25">
      <c r="A65" s="11">
        <v>32</v>
      </c>
      <c r="B65" s="9" t="s">
        <v>103</v>
      </c>
      <c r="C65" s="9" t="s">
        <v>104</v>
      </c>
      <c r="D65" s="8">
        <v>13</v>
      </c>
      <c r="E65" s="9" t="s">
        <v>13</v>
      </c>
      <c r="F65" s="8">
        <v>3.87</v>
      </c>
      <c r="G65" s="8">
        <v>480</v>
      </c>
      <c r="H65" s="8">
        <f>F65*G65</f>
        <v>1857.6</v>
      </c>
      <c r="I65" s="8">
        <f>SUM(H65:H66)</f>
        <v>2670.8</v>
      </c>
      <c r="J65" s="9" t="s">
        <v>14</v>
      </c>
      <c r="K65" s="9" t="s">
        <v>105</v>
      </c>
    </row>
    <row r="66" ht="14.4" spans="1:25">
      <c r="A66" s="15"/>
      <c r="B66" s="10"/>
      <c r="C66" s="10"/>
      <c r="D66" s="10"/>
      <c r="E66" s="9" t="s">
        <v>16</v>
      </c>
      <c r="F66" s="8">
        <f>2.44-0.3</f>
        <v>2.14</v>
      </c>
      <c r="G66" s="8">
        <v>380</v>
      </c>
      <c r="H66" s="8">
        <f>F66*G66</f>
        <v>813.2</v>
      </c>
      <c r="I66" s="10"/>
      <c r="J66" s="10"/>
      <c r="K66" s="10"/>
    </row>
    <row r="67" ht="14.4" spans="1:25">
      <c r="A67" s="8">
        <v>33</v>
      </c>
      <c r="B67" s="9" t="s">
        <v>106</v>
      </c>
      <c r="C67" s="9" t="s">
        <v>107</v>
      </c>
      <c r="D67" s="8">
        <v>13</v>
      </c>
      <c r="E67" s="9" t="s">
        <v>13</v>
      </c>
      <c r="F67" s="8">
        <v>2.45</v>
      </c>
      <c r="G67" s="8">
        <v>480</v>
      </c>
      <c r="H67" s="8">
        <f>F67*G67</f>
        <v>1176</v>
      </c>
      <c r="I67" s="8">
        <f>SUM(H67:H68)</f>
        <v>1176</v>
      </c>
      <c r="J67" s="9" t="s">
        <v>14</v>
      </c>
      <c r="K67" s="9" t="s">
        <v>108</v>
      </c>
    </row>
    <row r="68" ht="14.4" spans="1:25">
      <c r="A68" s="10"/>
      <c r="B68" s="10"/>
      <c r="C68" s="10"/>
      <c r="D68" s="10"/>
      <c r="E68" s="9" t="s">
        <v>16</v>
      </c>
      <c r="F68" s="8">
        <v>0</v>
      </c>
      <c r="G68" s="8">
        <v>380</v>
      </c>
      <c r="H68" s="8">
        <f>F68*G68</f>
        <v>0</v>
      </c>
      <c r="I68" s="10"/>
      <c r="J68" s="10"/>
      <c r="K68" s="10"/>
    </row>
    <row r="69" ht="14.4" spans="1:25">
      <c r="A69" s="11">
        <v>34</v>
      </c>
      <c r="B69" s="9" t="s">
        <v>109</v>
      </c>
      <c r="C69" s="24" t="s">
        <v>110</v>
      </c>
      <c r="D69" s="8">
        <v>13</v>
      </c>
      <c r="E69" s="9" t="s">
        <v>13</v>
      </c>
      <c r="F69" s="8">
        <v>0.36</v>
      </c>
      <c r="G69" s="8">
        <v>480</v>
      </c>
      <c r="H69" s="8">
        <f>F69*G69</f>
        <v>172.8</v>
      </c>
      <c r="I69" s="8">
        <f>SUM(H69:H70)</f>
        <v>210.8</v>
      </c>
      <c r="J69" s="9" t="s">
        <v>14</v>
      </c>
      <c r="K69" s="9" t="s">
        <v>111</v>
      </c>
    </row>
    <row r="70" ht="14.4" spans="1:25">
      <c r="A70" s="15"/>
      <c r="B70" s="10"/>
      <c r="C70" s="10"/>
      <c r="D70" s="10"/>
      <c r="E70" s="9" t="s">
        <v>16</v>
      </c>
      <c r="F70" s="8">
        <v>0.1</v>
      </c>
      <c r="G70" s="8">
        <v>380</v>
      </c>
      <c r="H70" s="8">
        <f>F70*G70</f>
        <v>38</v>
      </c>
      <c r="I70" s="10"/>
      <c r="J70" s="10"/>
      <c r="K70" s="10"/>
    </row>
    <row r="71" ht="14.4" spans="1:25">
      <c r="A71" s="8">
        <v>35</v>
      </c>
      <c r="B71" s="9" t="s">
        <v>112</v>
      </c>
      <c r="C71" s="9" t="s">
        <v>113</v>
      </c>
      <c r="D71" s="8">
        <v>13</v>
      </c>
      <c r="E71" s="9" t="s">
        <v>13</v>
      </c>
      <c r="F71" s="8">
        <v>3.4</v>
      </c>
      <c r="G71" s="8">
        <v>480</v>
      </c>
      <c r="H71" s="8">
        <f>F71*G71</f>
        <v>1632</v>
      </c>
      <c r="I71" s="8">
        <f>SUM(H71:H72)</f>
        <v>1958.8</v>
      </c>
      <c r="J71" s="9" t="s">
        <v>14</v>
      </c>
      <c r="K71" s="9" t="s">
        <v>114</v>
      </c>
    </row>
    <row r="72" ht="14.4" spans="1:25">
      <c r="A72" s="10"/>
      <c r="B72" s="10"/>
      <c r="C72" s="10"/>
      <c r="D72" s="10"/>
      <c r="E72" s="9" t="s">
        <v>16</v>
      </c>
      <c r="F72" s="8">
        <v>0.86</v>
      </c>
      <c r="G72" s="8">
        <v>380</v>
      </c>
      <c r="H72" s="8">
        <f>F72*G72</f>
        <v>326.8</v>
      </c>
      <c r="I72" s="10"/>
      <c r="J72" s="10"/>
      <c r="K72" s="10"/>
    </row>
    <row r="73" ht="14.4" spans="1:25">
      <c r="A73" s="11">
        <v>36</v>
      </c>
      <c r="B73" s="9" t="s">
        <v>115</v>
      </c>
      <c r="C73" s="9" t="s">
        <v>116</v>
      </c>
      <c r="D73" s="8">
        <v>13</v>
      </c>
      <c r="E73" s="9" t="s">
        <v>13</v>
      </c>
      <c r="F73" s="8">
        <v>1.79</v>
      </c>
      <c r="G73" s="8">
        <v>480</v>
      </c>
      <c r="H73" s="8">
        <f>F73*G73</f>
        <v>859.2</v>
      </c>
      <c r="I73" s="8">
        <f>SUM(H73:H74)</f>
        <v>999.8</v>
      </c>
      <c r="J73" s="9" t="s">
        <v>14</v>
      </c>
      <c r="K73" s="9" t="s">
        <v>117</v>
      </c>
    </row>
    <row r="74" ht="14.4" spans="1:25">
      <c r="A74" s="15"/>
      <c r="B74" s="10"/>
      <c r="C74" s="10"/>
      <c r="D74" s="10"/>
      <c r="E74" s="9" t="s">
        <v>16</v>
      </c>
      <c r="F74" s="8">
        <v>0.37</v>
      </c>
      <c r="G74" s="8">
        <v>380</v>
      </c>
      <c r="H74" s="8">
        <f>F74*G74</f>
        <v>140.6</v>
      </c>
      <c r="I74" s="10"/>
      <c r="J74" s="10"/>
      <c r="K74" s="10"/>
    </row>
    <row r="75" ht="14.4" spans="1:25">
      <c r="A75" s="8">
        <v>37</v>
      </c>
      <c r="B75" s="9" t="s">
        <v>118</v>
      </c>
      <c r="C75" s="9" t="s">
        <v>119</v>
      </c>
      <c r="D75" s="8">
        <v>13</v>
      </c>
      <c r="E75" s="9" t="s">
        <v>13</v>
      </c>
      <c r="F75" s="8">
        <v>2.68</v>
      </c>
      <c r="G75" s="8">
        <v>480</v>
      </c>
      <c r="H75" s="8">
        <f>F75*G75</f>
        <v>1286.4</v>
      </c>
      <c r="I75" s="8">
        <f>SUM(H75:H76)</f>
        <v>2810.2</v>
      </c>
      <c r="J75" s="9" t="s">
        <v>14</v>
      </c>
      <c r="K75" s="9" t="s">
        <v>120</v>
      </c>
    </row>
    <row r="76" ht="14.4" spans="1:25">
      <c r="A76" s="10"/>
      <c r="B76" s="10"/>
      <c r="C76" s="10"/>
      <c r="D76" s="10"/>
      <c r="E76" s="9" t="s">
        <v>16</v>
      </c>
      <c r="F76" s="8">
        <v>4.01</v>
      </c>
      <c r="G76" s="8">
        <v>380</v>
      </c>
      <c r="H76" s="8">
        <f>F76*G76</f>
        <v>1523.8</v>
      </c>
      <c r="I76" s="10"/>
      <c r="J76" s="10"/>
      <c r="K76" s="10"/>
    </row>
    <row r="77" ht="14.4" spans="1:25">
      <c r="A77" s="11">
        <v>38</v>
      </c>
      <c r="B77" s="9" t="s">
        <v>121</v>
      </c>
      <c r="C77" s="9" t="s">
        <v>122</v>
      </c>
      <c r="D77" s="8">
        <v>13</v>
      </c>
      <c r="E77" s="9" t="s">
        <v>13</v>
      </c>
      <c r="F77" s="8">
        <v>2.99</v>
      </c>
      <c r="G77" s="8">
        <v>480</v>
      </c>
      <c r="H77" s="8">
        <f t="shared" ref="H77:H114" si="1">F77*G77</f>
        <v>1435.2</v>
      </c>
      <c r="I77" s="8">
        <f>SUM(H77:H78)</f>
        <v>2852.6</v>
      </c>
      <c r="J77" s="9" t="s">
        <v>14</v>
      </c>
      <c r="K77" s="9" t="s">
        <v>123</v>
      </c>
    </row>
    <row r="78" ht="14.4" spans="1:25">
      <c r="A78" s="15"/>
      <c r="B78" s="10"/>
      <c r="C78" s="10"/>
      <c r="D78" s="10"/>
      <c r="E78" s="9" t="s">
        <v>16</v>
      </c>
      <c r="F78" s="8">
        <v>3.73</v>
      </c>
      <c r="G78" s="8">
        <v>380</v>
      </c>
      <c r="H78" s="8">
        <f t="shared" si="1"/>
        <v>1417.4</v>
      </c>
      <c r="I78" s="10"/>
      <c r="J78" s="10"/>
      <c r="K78" s="10"/>
    </row>
    <row r="79" s="1" customFormat="1" ht="14.4" spans="1:25">
      <c r="A79" s="8">
        <v>39</v>
      </c>
      <c r="B79" s="16" t="s">
        <v>124</v>
      </c>
      <c r="C79" s="23" t="s">
        <v>125</v>
      </c>
      <c r="D79" s="11">
        <v>13</v>
      </c>
      <c r="E79" s="12" t="s">
        <v>13</v>
      </c>
      <c r="F79" s="11">
        <v>2.66</v>
      </c>
      <c r="G79" s="11">
        <v>480</v>
      </c>
      <c r="H79" s="11">
        <f t="shared" si="1"/>
        <v>1276.8</v>
      </c>
      <c r="I79" s="11">
        <f>SUM(H79:H80)</f>
        <v>2029.2</v>
      </c>
      <c r="J79" s="12" t="s">
        <v>14</v>
      </c>
      <c r="K79" s="12">
        <v>13688003093</v>
      </c>
      <c r="L79" s="13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="1" customFormat="1" ht="14.4" spans="1:25">
      <c r="A80" s="10"/>
      <c r="B80" s="15"/>
      <c r="C80" s="15"/>
      <c r="D80" s="15"/>
      <c r="E80" s="12" t="s">
        <v>16</v>
      </c>
      <c r="F80" s="11">
        <v>1.98</v>
      </c>
      <c r="G80" s="11">
        <v>380</v>
      </c>
      <c r="H80" s="11">
        <f t="shared" si="1"/>
        <v>752.4</v>
      </c>
      <c r="I80" s="15"/>
      <c r="J80" s="15"/>
      <c r="K80" s="15"/>
      <c r="L80" s="13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4.4" spans="1:11">
      <c r="A81" s="11">
        <v>40</v>
      </c>
      <c r="B81" s="9" t="s">
        <v>126</v>
      </c>
      <c r="C81" s="9" t="s">
        <v>127</v>
      </c>
      <c r="D81" s="8">
        <v>13</v>
      </c>
      <c r="E81" s="9" t="s">
        <v>13</v>
      </c>
      <c r="F81" s="8">
        <v>2.3</v>
      </c>
      <c r="G81" s="8">
        <v>480</v>
      </c>
      <c r="H81" s="8">
        <f t="shared" si="1"/>
        <v>1104</v>
      </c>
      <c r="I81" s="8">
        <f>SUM(H81:H82)</f>
        <v>1130.6</v>
      </c>
      <c r="J81" s="9" t="s">
        <v>14</v>
      </c>
      <c r="K81" s="9" t="s">
        <v>128</v>
      </c>
    </row>
    <row r="82" ht="14.4" spans="1:11">
      <c r="A82" s="15"/>
      <c r="B82" s="10"/>
      <c r="C82" s="10"/>
      <c r="D82" s="10"/>
      <c r="E82" s="9" t="s">
        <v>16</v>
      </c>
      <c r="F82" s="8">
        <v>0.07</v>
      </c>
      <c r="G82" s="8">
        <v>380</v>
      </c>
      <c r="H82" s="8">
        <f t="shared" si="1"/>
        <v>26.6</v>
      </c>
      <c r="I82" s="10"/>
      <c r="J82" s="10"/>
      <c r="K82" s="10"/>
    </row>
    <row r="83" ht="14.4" spans="1:11">
      <c r="A83" s="8">
        <v>41</v>
      </c>
      <c r="B83" s="9" t="s">
        <v>129</v>
      </c>
      <c r="C83" s="9" t="s">
        <v>130</v>
      </c>
      <c r="D83" s="8">
        <v>13</v>
      </c>
      <c r="E83" s="9" t="s">
        <v>13</v>
      </c>
      <c r="F83" s="8">
        <v>2.22</v>
      </c>
      <c r="G83" s="8">
        <v>480</v>
      </c>
      <c r="H83" s="8">
        <f t="shared" si="1"/>
        <v>1065.6</v>
      </c>
      <c r="I83" s="8">
        <f>SUM(H83:H84)</f>
        <v>1278.4</v>
      </c>
      <c r="J83" s="9" t="s">
        <v>14</v>
      </c>
      <c r="K83" s="9" t="s">
        <v>131</v>
      </c>
    </row>
    <row r="84" ht="14.4" spans="1:11">
      <c r="A84" s="10"/>
      <c r="B84" s="10"/>
      <c r="C84" s="10"/>
      <c r="D84" s="10"/>
      <c r="E84" s="9" t="s">
        <v>16</v>
      </c>
      <c r="F84" s="8">
        <v>0.56</v>
      </c>
      <c r="G84" s="8">
        <v>380</v>
      </c>
      <c r="H84" s="8">
        <f t="shared" si="1"/>
        <v>212.8</v>
      </c>
      <c r="I84" s="10"/>
      <c r="J84" s="10"/>
      <c r="K84" s="10"/>
    </row>
    <row r="85" ht="14.4" spans="1:11">
      <c r="A85" s="11">
        <v>42</v>
      </c>
      <c r="B85" s="9" t="s">
        <v>132</v>
      </c>
      <c r="C85" s="9" t="s">
        <v>133</v>
      </c>
      <c r="D85" s="8">
        <v>13</v>
      </c>
      <c r="E85" s="9" t="s">
        <v>13</v>
      </c>
      <c r="F85" s="8">
        <v>1.08</v>
      </c>
      <c r="G85" s="8">
        <v>480</v>
      </c>
      <c r="H85" s="8">
        <f t="shared" si="1"/>
        <v>518.4</v>
      </c>
      <c r="I85" s="8">
        <f>SUM(H85:H86)</f>
        <v>518.4</v>
      </c>
      <c r="J85" s="9" t="s">
        <v>14</v>
      </c>
      <c r="K85" s="9" t="s">
        <v>134</v>
      </c>
    </row>
    <row r="86" ht="14.4" spans="1:11">
      <c r="A86" s="15"/>
      <c r="B86" s="10"/>
      <c r="C86" s="10"/>
      <c r="D86" s="10"/>
      <c r="E86" s="9" t="s">
        <v>16</v>
      </c>
      <c r="F86" s="8">
        <v>0</v>
      </c>
      <c r="G86" s="8">
        <v>380</v>
      </c>
      <c r="H86" s="8">
        <f t="shared" si="1"/>
        <v>0</v>
      </c>
      <c r="I86" s="10"/>
      <c r="J86" s="10"/>
      <c r="K86" s="10"/>
    </row>
    <row r="87" ht="14.4" spans="1:11">
      <c r="A87" s="8">
        <v>43</v>
      </c>
      <c r="B87" s="9" t="s">
        <v>135</v>
      </c>
      <c r="C87" s="9" t="s">
        <v>136</v>
      </c>
      <c r="D87" s="8">
        <v>13</v>
      </c>
      <c r="E87" s="9" t="s">
        <v>13</v>
      </c>
      <c r="F87" s="8">
        <v>3.06</v>
      </c>
      <c r="G87" s="8">
        <v>480</v>
      </c>
      <c r="H87" s="8">
        <f t="shared" si="1"/>
        <v>1468.8</v>
      </c>
      <c r="I87" s="8">
        <f>SUM(H87:H88)</f>
        <v>1468.8</v>
      </c>
      <c r="J87" s="9" t="s">
        <v>14</v>
      </c>
      <c r="K87" s="9" t="s">
        <v>137</v>
      </c>
    </row>
    <row r="88" ht="14.4" spans="1:11">
      <c r="A88" s="10"/>
      <c r="B88" s="10"/>
      <c r="C88" s="10"/>
      <c r="D88" s="10"/>
      <c r="E88" s="9" t="s">
        <v>16</v>
      </c>
      <c r="F88" s="8">
        <v>0</v>
      </c>
      <c r="G88" s="8">
        <v>380</v>
      </c>
      <c r="H88" s="8">
        <f t="shared" si="1"/>
        <v>0</v>
      </c>
      <c r="I88" s="10"/>
      <c r="J88" s="10"/>
      <c r="K88" s="10"/>
    </row>
    <row r="89" ht="14.4" spans="1:11">
      <c r="A89" s="11">
        <v>44</v>
      </c>
      <c r="B89" s="9" t="s">
        <v>138</v>
      </c>
      <c r="C89" s="9" t="s">
        <v>139</v>
      </c>
      <c r="D89" s="8">
        <v>13</v>
      </c>
      <c r="E89" s="9" t="s">
        <v>13</v>
      </c>
      <c r="F89" s="8">
        <v>1.97</v>
      </c>
      <c r="G89" s="8">
        <v>480</v>
      </c>
      <c r="H89" s="8">
        <f t="shared" si="1"/>
        <v>945.6</v>
      </c>
      <c r="I89" s="8">
        <f>SUM(H89:H90)</f>
        <v>1489</v>
      </c>
      <c r="J89" s="9" t="s">
        <v>14</v>
      </c>
      <c r="K89" s="9" t="s">
        <v>140</v>
      </c>
    </row>
    <row r="90" ht="14.4" spans="1:11">
      <c r="A90" s="15"/>
      <c r="B90" s="10"/>
      <c r="C90" s="10"/>
      <c r="D90" s="10"/>
      <c r="E90" s="9" t="s">
        <v>16</v>
      </c>
      <c r="F90" s="8">
        <v>1.43</v>
      </c>
      <c r="G90" s="8">
        <v>380</v>
      </c>
      <c r="H90" s="8">
        <f t="shared" si="1"/>
        <v>543.4</v>
      </c>
      <c r="I90" s="10"/>
      <c r="J90" s="10"/>
      <c r="K90" s="10"/>
    </row>
    <row r="91" ht="14.4" spans="1:11">
      <c r="A91" s="8">
        <v>45</v>
      </c>
      <c r="B91" s="9" t="s">
        <v>141</v>
      </c>
      <c r="C91" s="9" t="s">
        <v>142</v>
      </c>
      <c r="D91" s="8">
        <v>13</v>
      </c>
      <c r="E91" s="9" t="s">
        <v>13</v>
      </c>
      <c r="F91" s="8">
        <v>3.67</v>
      </c>
      <c r="G91" s="8">
        <v>480</v>
      </c>
      <c r="H91" s="8">
        <f t="shared" si="1"/>
        <v>1761.6</v>
      </c>
      <c r="I91" s="8">
        <f>SUM(H91:H92)</f>
        <v>2939.6</v>
      </c>
      <c r="J91" s="9" t="s">
        <v>14</v>
      </c>
      <c r="K91" s="9" t="s">
        <v>143</v>
      </c>
    </row>
    <row r="92" ht="14.4" spans="1:11">
      <c r="A92" s="10"/>
      <c r="B92" s="10"/>
      <c r="C92" s="10"/>
      <c r="D92" s="10"/>
      <c r="E92" s="9" t="s">
        <v>16</v>
      </c>
      <c r="F92" s="8">
        <v>3.1</v>
      </c>
      <c r="G92" s="8">
        <v>380</v>
      </c>
      <c r="H92" s="8">
        <f t="shared" si="1"/>
        <v>1178</v>
      </c>
      <c r="I92" s="10"/>
      <c r="J92" s="10"/>
      <c r="K92" s="10"/>
    </row>
    <row r="93" ht="14.4" spans="1:11">
      <c r="A93" s="11">
        <v>46</v>
      </c>
      <c r="B93" s="9" t="s">
        <v>144</v>
      </c>
      <c r="C93" s="9" t="s">
        <v>145</v>
      </c>
      <c r="D93" s="8">
        <v>13</v>
      </c>
      <c r="E93" s="9" t="s">
        <v>13</v>
      </c>
      <c r="F93" s="8">
        <v>1.4</v>
      </c>
      <c r="G93" s="8">
        <v>480</v>
      </c>
      <c r="H93" s="8">
        <f t="shared" si="1"/>
        <v>672</v>
      </c>
      <c r="I93" s="8">
        <f>SUM(H93:H94)</f>
        <v>1010.2</v>
      </c>
      <c r="J93" s="9" t="s">
        <v>14</v>
      </c>
      <c r="K93" s="9" t="s">
        <v>146</v>
      </c>
    </row>
    <row r="94" ht="14.4" spans="1:11">
      <c r="A94" s="15"/>
      <c r="B94" s="10"/>
      <c r="C94" s="10"/>
      <c r="D94" s="10"/>
      <c r="E94" s="9" t="s">
        <v>16</v>
      </c>
      <c r="F94" s="8">
        <v>0.89</v>
      </c>
      <c r="G94" s="8">
        <v>380</v>
      </c>
      <c r="H94" s="8">
        <f t="shared" si="1"/>
        <v>338.2</v>
      </c>
      <c r="I94" s="10"/>
      <c r="J94" s="10"/>
      <c r="K94" s="10"/>
    </row>
    <row r="95" ht="14.4" spans="1:11">
      <c r="A95" s="8">
        <v>47</v>
      </c>
      <c r="B95" s="9" t="s">
        <v>147</v>
      </c>
      <c r="C95" s="9" t="s">
        <v>148</v>
      </c>
      <c r="D95" s="8">
        <v>13</v>
      </c>
      <c r="E95" s="9" t="s">
        <v>13</v>
      </c>
      <c r="F95" s="8">
        <v>2.25</v>
      </c>
      <c r="G95" s="8">
        <v>480</v>
      </c>
      <c r="H95" s="8">
        <f t="shared" si="1"/>
        <v>1080</v>
      </c>
      <c r="I95" s="8">
        <f>SUM(H95:H96)</f>
        <v>1862.8</v>
      </c>
      <c r="J95" s="9" t="s">
        <v>14</v>
      </c>
      <c r="K95" s="9" t="s">
        <v>149</v>
      </c>
    </row>
    <row r="96" ht="14.4" spans="1:11">
      <c r="A96" s="10"/>
      <c r="B96" s="10"/>
      <c r="C96" s="10"/>
      <c r="D96" s="10"/>
      <c r="E96" s="9" t="s">
        <v>16</v>
      </c>
      <c r="F96" s="8">
        <v>2.06</v>
      </c>
      <c r="G96" s="8">
        <v>380</v>
      </c>
      <c r="H96" s="8">
        <f t="shared" si="1"/>
        <v>782.8</v>
      </c>
      <c r="I96" s="10"/>
      <c r="J96" s="10"/>
      <c r="K96" s="10"/>
    </row>
    <row r="97" ht="14.4" spans="1:11">
      <c r="A97" s="11">
        <v>48</v>
      </c>
      <c r="B97" s="9" t="s">
        <v>150</v>
      </c>
      <c r="C97" s="9" t="s">
        <v>151</v>
      </c>
      <c r="D97" s="8">
        <v>13</v>
      </c>
      <c r="E97" s="9" t="s">
        <v>13</v>
      </c>
      <c r="F97" s="8">
        <v>5.04</v>
      </c>
      <c r="G97" s="8">
        <v>480</v>
      </c>
      <c r="H97" s="8">
        <f t="shared" si="1"/>
        <v>2419.2</v>
      </c>
      <c r="I97" s="8">
        <f>SUM(H97:H98)</f>
        <v>3350.2</v>
      </c>
      <c r="J97" s="9" t="s">
        <v>14</v>
      </c>
      <c r="K97" s="9" t="s">
        <v>152</v>
      </c>
    </row>
    <row r="98" ht="14.4" spans="1:11">
      <c r="A98" s="15"/>
      <c r="B98" s="10"/>
      <c r="C98" s="10"/>
      <c r="D98" s="10"/>
      <c r="E98" s="9" t="s">
        <v>16</v>
      </c>
      <c r="F98" s="8">
        <v>2.45</v>
      </c>
      <c r="G98" s="8">
        <v>380</v>
      </c>
      <c r="H98" s="8">
        <f t="shared" si="1"/>
        <v>931</v>
      </c>
      <c r="I98" s="10"/>
      <c r="J98" s="10"/>
      <c r="K98" s="10"/>
    </row>
    <row r="99" ht="14.4" spans="1:11">
      <c r="A99" s="8">
        <v>49</v>
      </c>
      <c r="B99" s="9" t="s">
        <v>153</v>
      </c>
      <c r="C99" s="9" t="s">
        <v>154</v>
      </c>
      <c r="D99" s="8">
        <v>13</v>
      </c>
      <c r="E99" s="9" t="s">
        <v>13</v>
      </c>
      <c r="F99" s="8">
        <v>2.63</v>
      </c>
      <c r="G99" s="8">
        <v>480</v>
      </c>
      <c r="H99" s="8">
        <f t="shared" si="1"/>
        <v>1262.4</v>
      </c>
      <c r="I99" s="8">
        <f>SUM(H99:H100)</f>
        <v>1262.4</v>
      </c>
      <c r="J99" s="9" t="s">
        <v>14</v>
      </c>
      <c r="K99" s="9" t="s">
        <v>155</v>
      </c>
    </row>
    <row r="100" ht="14.4" spans="1:11">
      <c r="A100" s="10"/>
      <c r="B100" s="10"/>
      <c r="C100" s="10"/>
      <c r="D100" s="10"/>
      <c r="E100" s="9" t="s">
        <v>16</v>
      </c>
      <c r="F100" s="8">
        <v>0</v>
      </c>
      <c r="G100" s="8">
        <v>380</v>
      </c>
      <c r="H100" s="8">
        <f t="shared" si="1"/>
        <v>0</v>
      </c>
      <c r="I100" s="10"/>
      <c r="J100" s="10"/>
      <c r="K100" s="10"/>
    </row>
    <row r="101" ht="14.4" spans="1:11">
      <c r="A101" s="11">
        <v>50</v>
      </c>
      <c r="B101" s="9" t="s">
        <v>156</v>
      </c>
      <c r="C101" s="9" t="s">
        <v>157</v>
      </c>
      <c r="D101" s="8">
        <v>13</v>
      </c>
      <c r="E101" s="9" t="s">
        <v>13</v>
      </c>
      <c r="F101" s="8">
        <v>2.34</v>
      </c>
      <c r="G101" s="8">
        <v>480</v>
      </c>
      <c r="H101" s="8">
        <f t="shared" si="1"/>
        <v>1123.2</v>
      </c>
      <c r="I101" s="8">
        <f>SUM(H101:H102)</f>
        <v>1963</v>
      </c>
      <c r="J101" s="9" t="s">
        <v>14</v>
      </c>
      <c r="K101" s="9" t="s">
        <v>158</v>
      </c>
    </row>
    <row r="102" ht="14.4" spans="1:11">
      <c r="A102" s="15"/>
      <c r="B102" s="10"/>
      <c r="C102" s="10"/>
      <c r="D102" s="10"/>
      <c r="E102" s="9" t="s">
        <v>16</v>
      </c>
      <c r="F102" s="8">
        <v>2.21</v>
      </c>
      <c r="G102" s="8">
        <v>380</v>
      </c>
      <c r="H102" s="8">
        <f t="shared" si="1"/>
        <v>839.8</v>
      </c>
      <c r="I102" s="10"/>
      <c r="J102" s="10"/>
      <c r="K102" s="10"/>
    </row>
    <row r="103" ht="14.4" spans="1:11">
      <c r="A103" s="8">
        <v>51</v>
      </c>
      <c r="B103" s="9" t="s">
        <v>159</v>
      </c>
      <c r="C103" s="9" t="s">
        <v>160</v>
      </c>
      <c r="D103" s="8">
        <v>13</v>
      </c>
      <c r="E103" s="9" t="s">
        <v>13</v>
      </c>
      <c r="F103" s="8">
        <v>1.22</v>
      </c>
      <c r="G103" s="8">
        <v>480</v>
      </c>
      <c r="H103" s="8">
        <f t="shared" si="1"/>
        <v>585.6</v>
      </c>
      <c r="I103" s="8">
        <f>SUM(H103:H104)</f>
        <v>851.6</v>
      </c>
      <c r="J103" s="9" t="s">
        <v>14</v>
      </c>
      <c r="K103" s="9" t="s">
        <v>161</v>
      </c>
    </row>
    <row r="104" ht="14.4" spans="1:11">
      <c r="A104" s="10"/>
      <c r="B104" s="10"/>
      <c r="C104" s="10"/>
      <c r="D104" s="10"/>
      <c r="E104" s="9" t="s">
        <v>16</v>
      </c>
      <c r="F104" s="8">
        <v>0.7</v>
      </c>
      <c r="G104" s="8">
        <v>380</v>
      </c>
      <c r="H104" s="8">
        <f t="shared" si="1"/>
        <v>266</v>
      </c>
      <c r="I104" s="10"/>
      <c r="J104" s="10"/>
      <c r="K104" s="10"/>
    </row>
    <row r="105" ht="14.4" spans="1:11">
      <c r="A105" s="11">
        <v>52</v>
      </c>
      <c r="B105" s="9" t="s">
        <v>162</v>
      </c>
      <c r="C105" s="9" t="s">
        <v>163</v>
      </c>
      <c r="D105" s="8">
        <v>13</v>
      </c>
      <c r="E105" s="9" t="s">
        <v>13</v>
      </c>
      <c r="F105" s="8">
        <v>0.59</v>
      </c>
      <c r="G105" s="8">
        <v>480</v>
      </c>
      <c r="H105" s="8">
        <f t="shared" si="1"/>
        <v>283.2</v>
      </c>
      <c r="I105" s="8">
        <f>SUM(H105:H106)</f>
        <v>678.4</v>
      </c>
      <c r="J105" s="9" t="s">
        <v>14</v>
      </c>
      <c r="K105" s="9" t="s">
        <v>164</v>
      </c>
    </row>
    <row r="106" ht="14.4" spans="1:11">
      <c r="A106" s="15"/>
      <c r="B106" s="10"/>
      <c r="C106" s="10"/>
      <c r="D106" s="10"/>
      <c r="E106" s="9" t="s">
        <v>16</v>
      </c>
      <c r="F106" s="8">
        <v>1.04</v>
      </c>
      <c r="G106" s="8">
        <v>380</v>
      </c>
      <c r="H106" s="8">
        <f t="shared" si="1"/>
        <v>395.2</v>
      </c>
      <c r="I106" s="10"/>
      <c r="J106" s="10"/>
      <c r="K106" s="10"/>
    </row>
    <row r="107" ht="14.4" spans="1:11">
      <c r="A107" s="8">
        <v>53</v>
      </c>
      <c r="B107" s="9" t="s">
        <v>165</v>
      </c>
      <c r="C107" s="9" t="s">
        <v>166</v>
      </c>
      <c r="D107" s="8">
        <v>13</v>
      </c>
      <c r="E107" s="9" t="s">
        <v>13</v>
      </c>
      <c r="F107" s="8">
        <v>1.82</v>
      </c>
      <c r="G107" s="8">
        <v>480</v>
      </c>
      <c r="H107" s="8">
        <f t="shared" si="1"/>
        <v>873.6</v>
      </c>
      <c r="I107" s="8">
        <f>SUM(H107:H108)</f>
        <v>2583.6</v>
      </c>
      <c r="J107" s="9" t="s">
        <v>14</v>
      </c>
      <c r="K107" s="9" t="s">
        <v>167</v>
      </c>
    </row>
    <row r="108" ht="14.4" spans="1:11">
      <c r="A108" s="10"/>
      <c r="B108" s="10"/>
      <c r="C108" s="10"/>
      <c r="D108" s="10"/>
      <c r="E108" s="9" t="s">
        <v>16</v>
      </c>
      <c r="F108" s="8">
        <v>4.5</v>
      </c>
      <c r="G108" s="8">
        <v>380</v>
      </c>
      <c r="H108" s="8">
        <f t="shared" si="1"/>
        <v>1710</v>
      </c>
      <c r="I108" s="10"/>
      <c r="J108" s="10"/>
      <c r="K108" s="10"/>
    </row>
    <row r="109" ht="14.4" spans="1:11">
      <c r="A109" s="11">
        <v>54</v>
      </c>
      <c r="B109" s="9" t="s">
        <v>168</v>
      </c>
      <c r="C109" s="9" t="s">
        <v>169</v>
      </c>
      <c r="D109" s="8">
        <v>13</v>
      </c>
      <c r="E109" s="9" t="s">
        <v>13</v>
      </c>
      <c r="F109" s="8">
        <v>0.4</v>
      </c>
      <c r="G109" s="8">
        <v>480</v>
      </c>
      <c r="H109" s="8">
        <f t="shared" si="1"/>
        <v>192</v>
      </c>
      <c r="I109" s="8">
        <f>SUM(H109:H110)</f>
        <v>192</v>
      </c>
      <c r="J109" s="9" t="s">
        <v>14</v>
      </c>
      <c r="K109" s="9" t="s">
        <v>170</v>
      </c>
    </row>
    <row r="110" ht="14.4" spans="1:11">
      <c r="A110" s="15"/>
      <c r="B110" s="10"/>
      <c r="C110" s="10"/>
      <c r="D110" s="10"/>
      <c r="E110" s="9" t="s">
        <v>16</v>
      </c>
      <c r="F110" s="8">
        <v>0</v>
      </c>
      <c r="G110" s="8">
        <v>380</v>
      </c>
      <c r="H110" s="8">
        <f t="shared" si="1"/>
        <v>0</v>
      </c>
      <c r="I110" s="10"/>
      <c r="J110" s="10"/>
      <c r="K110" s="10"/>
    </row>
    <row r="111" ht="14.4" spans="1:11">
      <c r="A111" s="8">
        <v>55</v>
      </c>
      <c r="B111" s="9" t="s">
        <v>171</v>
      </c>
      <c r="C111" s="9" t="s">
        <v>172</v>
      </c>
      <c r="D111" s="8">
        <v>13</v>
      </c>
      <c r="E111" s="9" t="s">
        <v>13</v>
      </c>
      <c r="F111" s="8">
        <v>0.67</v>
      </c>
      <c r="G111" s="8">
        <v>480</v>
      </c>
      <c r="H111" s="8">
        <f t="shared" si="1"/>
        <v>321.6</v>
      </c>
      <c r="I111" s="8">
        <f>SUM(H111:H112)</f>
        <v>492.6</v>
      </c>
      <c r="J111" s="9" t="s">
        <v>14</v>
      </c>
      <c r="K111" s="9" t="s">
        <v>173</v>
      </c>
    </row>
    <row r="112" ht="14.4" spans="1:11">
      <c r="A112" s="10"/>
      <c r="B112" s="10"/>
      <c r="C112" s="10"/>
      <c r="D112" s="10"/>
      <c r="E112" s="9" t="s">
        <v>16</v>
      </c>
      <c r="F112" s="8">
        <v>0.45</v>
      </c>
      <c r="G112" s="8">
        <v>380</v>
      </c>
      <c r="H112" s="8">
        <f t="shared" si="1"/>
        <v>171</v>
      </c>
      <c r="I112" s="10"/>
      <c r="J112" s="10"/>
      <c r="K112" s="10"/>
    </row>
    <row r="113" ht="14.4" spans="1:11">
      <c r="A113" s="11">
        <v>56</v>
      </c>
      <c r="B113" s="9" t="s">
        <v>174</v>
      </c>
      <c r="C113" s="9" t="s">
        <v>175</v>
      </c>
      <c r="D113" s="8">
        <v>13</v>
      </c>
      <c r="E113" s="9" t="s">
        <v>13</v>
      </c>
      <c r="F113" s="8">
        <v>1.4</v>
      </c>
      <c r="G113" s="8">
        <v>480</v>
      </c>
      <c r="H113" s="8">
        <f t="shared" si="1"/>
        <v>672</v>
      </c>
      <c r="I113" s="8">
        <f>SUM(H113:H114)</f>
        <v>1040.6</v>
      </c>
      <c r="J113" s="9" t="s">
        <v>14</v>
      </c>
      <c r="K113" s="9" t="s">
        <v>176</v>
      </c>
    </row>
    <row r="114" ht="14.4" spans="1:11">
      <c r="A114" s="15"/>
      <c r="B114" s="10"/>
      <c r="C114" s="10"/>
      <c r="D114" s="10"/>
      <c r="E114" s="9" t="s">
        <v>16</v>
      </c>
      <c r="F114" s="8">
        <v>0.97</v>
      </c>
      <c r="G114" s="8">
        <v>380</v>
      </c>
      <c r="H114" s="8">
        <f t="shared" si="1"/>
        <v>368.6</v>
      </c>
      <c r="I114" s="10"/>
      <c r="J114" s="10"/>
      <c r="K114" s="10"/>
    </row>
    <row r="115" ht="14.4" spans="1:11">
      <c r="A115" s="8">
        <v>57</v>
      </c>
      <c r="B115" s="9" t="s">
        <v>177</v>
      </c>
      <c r="C115" s="9" t="s">
        <v>178</v>
      </c>
      <c r="D115" s="8">
        <v>13</v>
      </c>
      <c r="E115" s="9" t="s">
        <v>13</v>
      </c>
      <c r="F115" s="8">
        <v>2.24</v>
      </c>
      <c r="G115" s="8">
        <v>480</v>
      </c>
      <c r="H115" s="8">
        <f>F115*G115</f>
        <v>1075.2</v>
      </c>
      <c r="I115" s="8">
        <f>SUM(H115:H116)</f>
        <v>1888.4</v>
      </c>
      <c r="J115" s="9" t="s">
        <v>14</v>
      </c>
      <c r="K115" s="9" t="s">
        <v>179</v>
      </c>
    </row>
    <row r="116" ht="14.4" spans="1:11">
      <c r="A116" s="10"/>
      <c r="B116" s="10"/>
      <c r="C116" s="10"/>
      <c r="D116" s="10"/>
      <c r="E116" s="9" t="s">
        <v>16</v>
      </c>
      <c r="F116" s="8">
        <v>2.14</v>
      </c>
      <c r="G116" s="8">
        <v>380</v>
      </c>
      <c r="H116" s="8">
        <f>F116*G116</f>
        <v>813.2</v>
      </c>
      <c r="I116" s="10"/>
      <c r="J116" s="10"/>
      <c r="K116" s="10"/>
    </row>
    <row r="117" ht="14.4" spans="1:11">
      <c r="A117" s="11">
        <v>58</v>
      </c>
      <c r="B117" s="9" t="s">
        <v>180</v>
      </c>
      <c r="C117" s="9" t="s">
        <v>181</v>
      </c>
      <c r="D117" s="8">
        <v>13</v>
      </c>
      <c r="E117" s="9" t="s">
        <v>13</v>
      </c>
      <c r="F117" s="8">
        <v>2.56</v>
      </c>
      <c r="G117" s="8">
        <v>480</v>
      </c>
      <c r="H117" s="8">
        <f>F117*G117</f>
        <v>1228.8</v>
      </c>
      <c r="I117" s="8">
        <f>SUM(H117:H118)</f>
        <v>1760.8</v>
      </c>
      <c r="J117" s="9" t="s">
        <v>14</v>
      </c>
      <c r="K117" s="9" t="s">
        <v>182</v>
      </c>
    </row>
    <row r="118" ht="14.4" spans="1:11">
      <c r="A118" s="15"/>
      <c r="B118" s="10"/>
      <c r="C118" s="10"/>
      <c r="D118" s="10"/>
      <c r="E118" s="9" t="s">
        <v>16</v>
      </c>
      <c r="F118" s="8">
        <v>1.4</v>
      </c>
      <c r="G118" s="8">
        <v>380</v>
      </c>
      <c r="H118" s="8">
        <f>F118*G118</f>
        <v>532</v>
      </c>
      <c r="I118" s="10"/>
      <c r="J118" s="10"/>
      <c r="K118" s="10"/>
    </row>
    <row r="119" ht="14.4" spans="1:11">
      <c r="A119" s="8">
        <v>59</v>
      </c>
      <c r="B119" s="9" t="s">
        <v>183</v>
      </c>
      <c r="C119" s="9" t="s">
        <v>184</v>
      </c>
      <c r="D119" s="8">
        <v>13</v>
      </c>
      <c r="E119" s="9" t="s">
        <v>13</v>
      </c>
      <c r="F119" s="8">
        <v>0</v>
      </c>
      <c r="G119" s="8">
        <v>480</v>
      </c>
      <c r="H119" s="8">
        <f>F119*G119</f>
        <v>0</v>
      </c>
      <c r="I119" s="8">
        <f>SUM(H119:H120)</f>
        <v>387.6</v>
      </c>
      <c r="J119" s="9" t="s">
        <v>14</v>
      </c>
      <c r="K119" s="9" t="s">
        <v>185</v>
      </c>
    </row>
    <row r="120" ht="14.4" spans="1:11">
      <c r="A120" s="10"/>
      <c r="B120" s="10"/>
      <c r="C120" s="10"/>
      <c r="D120" s="10"/>
      <c r="E120" s="9" t="s">
        <v>16</v>
      </c>
      <c r="F120" s="8">
        <v>1.02</v>
      </c>
      <c r="G120" s="8">
        <v>380</v>
      </c>
      <c r="H120" s="8">
        <f>F120*G120</f>
        <v>387.6</v>
      </c>
      <c r="I120" s="10"/>
      <c r="J120" s="10"/>
      <c r="K120" s="10"/>
    </row>
    <row r="121" ht="14.4" spans="1:11">
      <c r="A121" s="11">
        <v>60</v>
      </c>
      <c r="B121" s="9" t="s">
        <v>186</v>
      </c>
      <c r="C121" s="9" t="s">
        <v>187</v>
      </c>
      <c r="D121" s="8">
        <v>13</v>
      </c>
      <c r="E121" s="9" t="s">
        <v>13</v>
      </c>
      <c r="F121" s="8">
        <v>0.33</v>
      </c>
      <c r="G121" s="8">
        <v>480</v>
      </c>
      <c r="H121" s="8">
        <f>F121*G121</f>
        <v>158.4</v>
      </c>
      <c r="I121" s="8">
        <f>SUM(H121:H122)</f>
        <v>1047.6</v>
      </c>
      <c r="J121" s="9" t="s">
        <v>14</v>
      </c>
      <c r="K121" s="9" t="s">
        <v>188</v>
      </c>
    </row>
    <row r="122" ht="14.4" spans="1:11">
      <c r="A122" s="15"/>
      <c r="B122" s="10"/>
      <c r="C122" s="10"/>
      <c r="D122" s="10"/>
      <c r="E122" s="9" t="s">
        <v>16</v>
      </c>
      <c r="F122" s="8">
        <v>2.34</v>
      </c>
      <c r="G122" s="8">
        <v>380</v>
      </c>
      <c r="H122" s="8">
        <f>F122*G122</f>
        <v>889.2</v>
      </c>
      <c r="I122" s="10"/>
      <c r="J122" s="10"/>
      <c r="K122" s="10"/>
    </row>
    <row r="123" ht="14.4" spans="1:11">
      <c r="A123" s="8">
        <v>61</v>
      </c>
      <c r="B123" s="9" t="s">
        <v>189</v>
      </c>
      <c r="C123" s="9" t="s">
        <v>190</v>
      </c>
      <c r="D123" s="8">
        <v>13</v>
      </c>
      <c r="E123" s="9" t="s">
        <v>13</v>
      </c>
      <c r="F123" s="8">
        <v>2.01</v>
      </c>
      <c r="G123" s="8">
        <v>480</v>
      </c>
      <c r="H123" s="8">
        <f>F123*G123</f>
        <v>964.8</v>
      </c>
      <c r="I123" s="8">
        <f>SUM(H123:H124)</f>
        <v>2120</v>
      </c>
      <c r="J123" s="9" t="s">
        <v>14</v>
      </c>
      <c r="K123" s="9" t="s">
        <v>191</v>
      </c>
    </row>
    <row r="124" ht="14.4" spans="1:11">
      <c r="A124" s="10"/>
      <c r="B124" s="10"/>
      <c r="C124" s="10"/>
      <c r="D124" s="10"/>
      <c r="E124" s="9" t="s">
        <v>16</v>
      </c>
      <c r="F124" s="8">
        <v>3.04</v>
      </c>
      <c r="G124" s="8">
        <v>380</v>
      </c>
      <c r="H124" s="8">
        <f>F124*G124</f>
        <v>1155.2</v>
      </c>
      <c r="I124" s="10"/>
      <c r="J124" s="10"/>
      <c r="K124" s="10"/>
    </row>
    <row r="125" ht="14.4" spans="1:11">
      <c r="A125" s="11">
        <v>62</v>
      </c>
      <c r="B125" s="9" t="s">
        <v>192</v>
      </c>
      <c r="C125" s="9" t="s">
        <v>193</v>
      </c>
      <c r="D125" s="8">
        <v>13</v>
      </c>
      <c r="E125" s="9" t="s">
        <v>13</v>
      </c>
      <c r="F125" s="8">
        <v>2.04</v>
      </c>
      <c r="G125" s="8">
        <v>480</v>
      </c>
      <c r="H125" s="8">
        <f>F125*G125</f>
        <v>979.2</v>
      </c>
      <c r="I125" s="8">
        <f>SUM(H125:H126)</f>
        <v>2814.6</v>
      </c>
      <c r="J125" s="9" t="s">
        <v>14</v>
      </c>
      <c r="K125" s="9" t="s">
        <v>194</v>
      </c>
    </row>
    <row r="126" ht="14.4" spans="1:11">
      <c r="A126" s="15"/>
      <c r="B126" s="10"/>
      <c r="C126" s="10"/>
      <c r="D126" s="10"/>
      <c r="E126" s="9" t="s">
        <v>16</v>
      </c>
      <c r="F126" s="8">
        <f>4.76+0.07</f>
        <v>4.83</v>
      </c>
      <c r="G126" s="8">
        <v>380</v>
      </c>
      <c r="H126" s="8">
        <f>F126*G126</f>
        <v>1835.4</v>
      </c>
      <c r="I126" s="10"/>
      <c r="J126" s="10"/>
      <c r="K126" s="10"/>
    </row>
    <row r="127" ht="14.4" spans="1:11">
      <c r="A127" s="8">
        <v>63</v>
      </c>
      <c r="B127" s="9" t="s">
        <v>195</v>
      </c>
      <c r="C127" s="9" t="s">
        <v>196</v>
      </c>
      <c r="D127" s="8">
        <v>13</v>
      </c>
      <c r="E127" s="9" t="s">
        <v>13</v>
      </c>
      <c r="F127" s="8">
        <v>0.65</v>
      </c>
      <c r="G127" s="8">
        <v>480</v>
      </c>
      <c r="H127" s="8">
        <f>F127*G127</f>
        <v>312</v>
      </c>
      <c r="I127" s="8">
        <f>SUM(H127:H128)</f>
        <v>988.4</v>
      </c>
      <c r="J127" s="9" t="s">
        <v>14</v>
      </c>
      <c r="K127" s="9" t="s">
        <v>197</v>
      </c>
    </row>
    <row r="128" ht="14.4" spans="1:11">
      <c r="A128" s="10"/>
      <c r="B128" s="10"/>
      <c r="C128" s="10"/>
      <c r="D128" s="10"/>
      <c r="E128" s="9" t="s">
        <v>16</v>
      </c>
      <c r="F128" s="8">
        <f>0.26+1.52</f>
        <v>1.78</v>
      </c>
      <c r="G128" s="8">
        <v>380</v>
      </c>
      <c r="H128" s="8">
        <f>F128*G128</f>
        <v>676.4</v>
      </c>
      <c r="I128" s="10"/>
      <c r="J128" s="10"/>
      <c r="K128" s="10"/>
    </row>
    <row r="129" ht="14.4" spans="1:11">
      <c r="A129" s="11">
        <v>64</v>
      </c>
      <c r="B129" s="9" t="s">
        <v>198</v>
      </c>
      <c r="C129" s="9" t="s">
        <v>199</v>
      </c>
      <c r="D129" s="8">
        <v>13</v>
      </c>
      <c r="E129" s="9" t="s">
        <v>13</v>
      </c>
      <c r="F129" s="8">
        <v>0.1</v>
      </c>
      <c r="G129" s="8">
        <v>480</v>
      </c>
      <c r="H129" s="8">
        <f>F129*G129</f>
        <v>48</v>
      </c>
      <c r="I129" s="8">
        <f>SUM(H129:H130)</f>
        <v>1138.6</v>
      </c>
      <c r="J129" s="9" t="s">
        <v>14</v>
      </c>
      <c r="K129" s="9" t="s">
        <v>200</v>
      </c>
    </row>
    <row r="130" ht="14.4" spans="1:11">
      <c r="A130" s="15"/>
      <c r="B130" s="10"/>
      <c r="C130" s="10"/>
      <c r="D130" s="10"/>
      <c r="E130" s="9" t="s">
        <v>16</v>
      </c>
      <c r="F130" s="8">
        <f>0.64+2.23</f>
        <v>2.87</v>
      </c>
      <c r="G130" s="8">
        <v>380</v>
      </c>
      <c r="H130" s="8">
        <f>F130*G130</f>
        <v>1090.6</v>
      </c>
      <c r="I130" s="10"/>
      <c r="J130" s="10"/>
      <c r="K130" s="10"/>
    </row>
    <row r="131" ht="14.4" spans="1:11">
      <c r="A131" s="8">
        <v>65</v>
      </c>
      <c r="B131" s="9" t="s">
        <v>201</v>
      </c>
      <c r="C131" s="9" t="s">
        <v>202</v>
      </c>
      <c r="D131" s="8">
        <v>13</v>
      </c>
      <c r="E131" s="9" t="s">
        <v>13</v>
      </c>
      <c r="F131" s="8">
        <v>0.22</v>
      </c>
      <c r="G131" s="8">
        <v>480</v>
      </c>
      <c r="H131" s="8">
        <f>F131*G131</f>
        <v>105.6</v>
      </c>
      <c r="I131" s="8">
        <f>SUM(H131:H132)</f>
        <v>1534.4</v>
      </c>
      <c r="J131" s="9" t="s">
        <v>14</v>
      </c>
      <c r="K131" s="9" t="s">
        <v>203</v>
      </c>
    </row>
    <row r="132" ht="14.4" spans="1:11">
      <c r="A132" s="10"/>
      <c r="B132" s="10"/>
      <c r="C132" s="10"/>
      <c r="D132" s="10"/>
      <c r="E132" s="9" t="s">
        <v>16</v>
      </c>
      <c r="F132" s="8">
        <f>1.98+1.78</f>
        <v>3.76</v>
      </c>
      <c r="G132" s="8">
        <v>380</v>
      </c>
      <c r="H132" s="8">
        <f>F132*G132</f>
        <v>1428.8</v>
      </c>
      <c r="I132" s="10"/>
      <c r="J132" s="10"/>
      <c r="K132" s="10"/>
    </row>
    <row r="133" ht="14.4" spans="1:11">
      <c r="A133" s="11">
        <v>66</v>
      </c>
      <c r="B133" s="9" t="s">
        <v>204</v>
      </c>
      <c r="C133" s="9" t="s">
        <v>205</v>
      </c>
      <c r="D133" s="8">
        <v>13</v>
      </c>
      <c r="E133" s="9" t="s">
        <v>13</v>
      </c>
      <c r="F133" s="8">
        <v>0.41</v>
      </c>
      <c r="G133" s="8">
        <v>480</v>
      </c>
      <c r="H133" s="8">
        <f>F133*G133</f>
        <v>196.8</v>
      </c>
      <c r="I133" s="8">
        <f>SUM(H133:H134)</f>
        <v>1492.6</v>
      </c>
      <c r="J133" s="9" t="s">
        <v>14</v>
      </c>
      <c r="K133" s="9" t="s">
        <v>206</v>
      </c>
    </row>
    <row r="134" ht="14.4" spans="1:11">
      <c r="A134" s="15"/>
      <c r="B134" s="10"/>
      <c r="C134" s="10"/>
      <c r="D134" s="10"/>
      <c r="E134" s="9" t="s">
        <v>16</v>
      </c>
      <c r="F134" s="8">
        <f>0.65+2.76</f>
        <v>3.41</v>
      </c>
      <c r="G134" s="8">
        <v>380</v>
      </c>
      <c r="H134" s="8">
        <f>F134*G134</f>
        <v>1295.8</v>
      </c>
      <c r="I134" s="10"/>
      <c r="J134" s="10"/>
      <c r="K134" s="10"/>
    </row>
    <row r="135" ht="14.4" spans="1:11">
      <c r="A135" s="8">
        <v>67</v>
      </c>
      <c r="B135" s="9" t="s">
        <v>207</v>
      </c>
      <c r="C135" s="9" t="s">
        <v>208</v>
      </c>
      <c r="D135" s="8">
        <v>13</v>
      </c>
      <c r="E135" s="9" t="s">
        <v>13</v>
      </c>
      <c r="F135" s="8">
        <v>0</v>
      </c>
      <c r="G135" s="8">
        <v>480</v>
      </c>
      <c r="H135" s="8">
        <f>F135*G135</f>
        <v>0</v>
      </c>
      <c r="I135" s="8">
        <f>SUM(H135:H136)</f>
        <v>657.4</v>
      </c>
      <c r="J135" s="9" t="s">
        <v>14</v>
      </c>
      <c r="K135" s="9" t="s">
        <v>209</v>
      </c>
    </row>
    <row r="136" ht="14.4" spans="1:11">
      <c r="A136" s="10"/>
      <c r="B136" s="10"/>
      <c r="C136" s="10"/>
      <c r="D136" s="10"/>
      <c r="E136" s="9" t="s">
        <v>16</v>
      </c>
      <c r="F136" s="8">
        <f>0.6+1.13</f>
        <v>1.73</v>
      </c>
      <c r="G136" s="8">
        <v>380</v>
      </c>
      <c r="H136" s="8">
        <f>F136*G136</f>
        <v>657.4</v>
      </c>
      <c r="I136" s="10"/>
      <c r="J136" s="10"/>
      <c r="K136" s="10"/>
    </row>
    <row r="137" ht="14.4" spans="1:11">
      <c r="A137" s="11">
        <v>68</v>
      </c>
      <c r="B137" s="9" t="s">
        <v>210</v>
      </c>
      <c r="C137" s="9" t="s">
        <v>211</v>
      </c>
      <c r="D137" s="8">
        <v>13</v>
      </c>
      <c r="E137" s="9" t="s">
        <v>13</v>
      </c>
      <c r="F137" s="8">
        <v>0.43</v>
      </c>
      <c r="G137" s="8">
        <v>480</v>
      </c>
      <c r="H137" s="8">
        <f>F137*G137</f>
        <v>206.4</v>
      </c>
      <c r="I137" s="8">
        <f>SUM(H137:H138)</f>
        <v>1703.6</v>
      </c>
      <c r="J137" s="9" t="s">
        <v>14</v>
      </c>
      <c r="K137" s="9" t="s">
        <v>212</v>
      </c>
    </row>
    <row r="138" ht="14.4" spans="1:11">
      <c r="A138" s="15"/>
      <c r="B138" s="10"/>
      <c r="C138" s="10"/>
      <c r="D138" s="10"/>
      <c r="E138" s="9" t="s">
        <v>16</v>
      </c>
      <c r="F138" s="8">
        <f>2.61+1.33</f>
        <v>3.94</v>
      </c>
      <c r="G138" s="8">
        <v>380</v>
      </c>
      <c r="H138" s="8">
        <f>F138*G138</f>
        <v>1497.2</v>
      </c>
      <c r="I138" s="10"/>
      <c r="J138" s="10"/>
      <c r="K138" s="10"/>
    </row>
    <row r="139" ht="14.4" spans="1:11">
      <c r="A139" s="8">
        <v>69</v>
      </c>
      <c r="B139" s="9" t="s">
        <v>213</v>
      </c>
      <c r="C139" s="9" t="s">
        <v>214</v>
      </c>
      <c r="D139" s="8">
        <v>13</v>
      </c>
      <c r="E139" s="9" t="s">
        <v>13</v>
      </c>
      <c r="F139" s="8">
        <f>0.56</f>
        <v>0.56</v>
      </c>
      <c r="G139" s="8">
        <v>480</v>
      </c>
      <c r="H139" s="8">
        <f>F139*G139</f>
        <v>268.8</v>
      </c>
      <c r="I139" s="8">
        <f>SUM(H139:H140)</f>
        <v>1610.2</v>
      </c>
      <c r="J139" s="9" t="s">
        <v>14</v>
      </c>
      <c r="K139" s="9" t="s">
        <v>215</v>
      </c>
    </row>
    <row r="140" ht="14.4" spans="1:11">
      <c r="A140" s="10"/>
      <c r="B140" s="10"/>
      <c r="C140" s="10"/>
      <c r="D140" s="10"/>
      <c r="E140" s="9" t="s">
        <v>16</v>
      </c>
      <c r="F140" s="8">
        <f>0.69+2.84</f>
        <v>3.53</v>
      </c>
      <c r="G140" s="8">
        <v>380</v>
      </c>
      <c r="H140" s="8">
        <f>F140*G140</f>
        <v>1341.4</v>
      </c>
      <c r="I140" s="10"/>
      <c r="J140" s="10"/>
      <c r="K140" s="10"/>
    </row>
    <row r="141" ht="14.4" spans="1:11">
      <c r="A141" s="11">
        <v>70</v>
      </c>
      <c r="B141" s="9" t="s">
        <v>216</v>
      </c>
      <c r="C141" s="9" t="s">
        <v>217</v>
      </c>
      <c r="D141" s="8">
        <v>13</v>
      </c>
      <c r="E141" s="9" t="s">
        <v>13</v>
      </c>
      <c r="F141" s="8">
        <v>0.67</v>
      </c>
      <c r="G141" s="8">
        <v>480</v>
      </c>
      <c r="H141" s="8">
        <f>F141*G141</f>
        <v>321.6</v>
      </c>
      <c r="I141" s="8">
        <f>SUM(H141:H142)</f>
        <v>3536.4</v>
      </c>
      <c r="J141" s="9" t="s">
        <v>14</v>
      </c>
      <c r="K141" s="9" t="s">
        <v>218</v>
      </c>
    </row>
    <row r="142" ht="14.4" spans="1:11">
      <c r="A142" s="15"/>
      <c r="B142" s="10"/>
      <c r="C142" s="10"/>
      <c r="D142" s="10"/>
      <c r="E142" s="9" t="s">
        <v>16</v>
      </c>
      <c r="F142" s="8">
        <f>2.75+5.71</f>
        <v>8.46</v>
      </c>
      <c r="G142" s="8">
        <v>380</v>
      </c>
      <c r="H142" s="8">
        <f>F142*G142</f>
        <v>3214.8</v>
      </c>
      <c r="I142" s="10"/>
      <c r="J142" s="10"/>
      <c r="K142" s="10"/>
    </row>
    <row r="143" ht="14.4" spans="1:11">
      <c r="A143" s="8">
        <v>71</v>
      </c>
      <c r="B143" s="9" t="s">
        <v>219</v>
      </c>
      <c r="C143" s="9" t="s">
        <v>220</v>
      </c>
      <c r="D143" s="8">
        <v>13</v>
      </c>
      <c r="E143" s="9" t="s">
        <v>13</v>
      </c>
      <c r="F143" s="8">
        <v>0</v>
      </c>
      <c r="G143" s="8">
        <v>480</v>
      </c>
      <c r="H143" s="8">
        <f>F143*G143</f>
        <v>0</v>
      </c>
      <c r="I143" s="8">
        <f>SUM(H143:H144)</f>
        <v>972.8</v>
      </c>
      <c r="J143" s="9" t="s">
        <v>14</v>
      </c>
      <c r="K143" s="9" t="s">
        <v>221</v>
      </c>
    </row>
    <row r="144" ht="14.4" spans="1:11">
      <c r="A144" s="10"/>
      <c r="B144" s="10"/>
      <c r="C144" s="10"/>
      <c r="D144" s="10"/>
      <c r="E144" s="9" t="s">
        <v>16</v>
      </c>
      <c r="F144" s="8">
        <f>1.05+1.51</f>
        <v>2.56</v>
      </c>
      <c r="G144" s="8">
        <v>380</v>
      </c>
      <c r="H144" s="8">
        <f>F144*G144</f>
        <v>972.8</v>
      </c>
      <c r="I144" s="10"/>
      <c r="J144" s="10"/>
      <c r="K144" s="10"/>
    </row>
    <row r="145" ht="14.4" spans="1:11">
      <c r="A145" s="11">
        <v>72</v>
      </c>
      <c r="B145" s="9" t="s">
        <v>222</v>
      </c>
      <c r="C145" s="9" t="s">
        <v>223</v>
      </c>
      <c r="D145" s="8">
        <v>13</v>
      </c>
      <c r="E145" s="9" t="s">
        <v>13</v>
      </c>
      <c r="F145" s="8">
        <v>0.5</v>
      </c>
      <c r="G145" s="8">
        <v>480</v>
      </c>
      <c r="H145" s="8">
        <f>F145*G145</f>
        <v>240</v>
      </c>
      <c r="I145" s="8">
        <f>SUM(H145:H146)</f>
        <v>1961.4</v>
      </c>
      <c r="J145" s="9" t="s">
        <v>14</v>
      </c>
      <c r="K145" s="9" t="s">
        <v>224</v>
      </c>
    </row>
    <row r="146" ht="14.4" spans="1:11">
      <c r="A146" s="15"/>
      <c r="B146" s="10"/>
      <c r="C146" s="10"/>
      <c r="D146" s="10"/>
      <c r="E146" s="9" t="s">
        <v>16</v>
      </c>
      <c r="F146" s="8">
        <f>2.76+1.77</f>
        <v>4.53</v>
      </c>
      <c r="G146" s="8">
        <v>380</v>
      </c>
      <c r="H146" s="8">
        <f>F146*G146</f>
        <v>1721.4</v>
      </c>
      <c r="I146" s="10"/>
      <c r="J146" s="10"/>
      <c r="K146" s="10"/>
    </row>
    <row r="147" ht="14.4" spans="1:11">
      <c r="A147" s="8">
        <v>73</v>
      </c>
      <c r="B147" s="9" t="s">
        <v>225</v>
      </c>
      <c r="C147" s="9"/>
      <c r="D147" s="8">
        <v>13</v>
      </c>
      <c r="E147" s="9" t="s">
        <v>13</v>
      </c>
      <c r="F147" s="8">
        <v>0.4</v>
      </c>
      <c r="G147" s="8">
        <v>480</v>
      </c>
      <c r="H147" s="8">
        <f t="shared" ref="H147:H184" si="2">F147*G147</f>
        <v>192</v>
      </c>
      <c r="I147" s="8">
        <f>SUM(H147:H148)</f>
        <v>792.4</v>
      </c>
      <c r="J147" s="9" t="s">
        <v>14</v>
      </c>
      <c r="K147" s="9" t="s">
        <v>46</v>
      </c>
    </row>
    <row r="148" ht="14.4" spans="1:11">
      <c r="A148" s="10"/>
      <c r="B148" s="10"/>
      <c r="C148" s="10"/>
      <c r="D148" s="10"/>
      <c r="E148" s="9" t="s">
        <v>16</v>
      </c>
      <c r="F148" s="8">
        <f>0.7+0.88</f>
        <v>1.58</v>
      </c>
      <c r="G148" s="8">
        <v>380</v>
      </c>
      <c r="H148" s="8">
        <f t="shared" si="2"/>
        <v>600.4</v>
      </c>
      <c r="I148" s="10"/>
      <c r="J148" s="10"/>
      <c r="K148" s="10"/>
    </row>
    <row r="149" ht="14.4" spans="1:11">
      <c r="A149" s="11">
        <v>74</v>
      </c>
      <c r="B149" s="9" t="s">
        <v>226</v>
      </c>
      <c r="C149" s="9" t="s">
        <v>227</v>
      </c>
      <c r="D149" s="8">
        <v>13</v>
      </c>
      <c r="E149" s="9" t="s">
        <v>13</v>
      </c>
      <c r="F149" s="8">
        <v>0</v>
      </c>
      <c r="G149" s="8">
        <v>480</v>
      </c>
      <c r="H149" s="8">
        <f t="shared" si="2"/>
        <v>0</v>
      </c>
      <c r="I149" s="8">
        <f>SUM(H149:H150)</f>
        <v>1596</v>
      </c>
      <c r="J149" s="9" t="s">
        <v>14</v>
      </c>
      <c r="K149" s="9" t="s">
        <v>228</v>
      </c>
    </row>
    <row r="150" ht="14.4" spans="1:11">
      <c r="A150" s="15"/>
      <c r="B150" s="10"/>
      <c r="C150" s="10"/>
      <c r="D150" s="10"/>
      <c r="E150" s="9" t="s">
        <v>16</v>
      </c>
      <c r="F150" s="8">
        <f>1.06+3.14</f>
        <v>4.2</v>
      </c>
      <c r="G150" s="8">
        <v>380</v>
      </c>
      <c r="H150" s="8">
        <f t="shared" si="2"/>
        <v>1596</v>
      </c>
      <c r="I150" s="10"/>
      <c r="J150" s="10"/>
      <c r="K150" s="10"/>
    </row>
    <row r="151" ht="14.4" spans="1:11">
      <c r="A151" s="8">
        <v>75</v>
      </c>
      <c r="B151" s="9" t="s">
        <v>229</v>
      </c>
      <c r="C151" s="9" t="s">
        <v>230</v>
      </c>
      <c r="D151" s="8">
        <v>13</v>
      </c>
      <c r="E151" s="9" t="s">
        <v>13</v>
      </c>
      <c r="F151" s="8">
        <v>1</v>
      </c>
      <c r="G151" s="8">
        <v>480</v>
      </c>
      <c r="H151" s="8">
        <f t="shared" si="2"/>
        <v>480</v>
      </c>
      <c r="I151" s="8">
        <f>SUM(H151:H152)</f>
        <v>480</v>
      </c>
      <c r="J151" s="9" t="s">
        <v>14</v>
      </c>
      <c r="K151" s="9" t="s">
        <v>231</v>
      </c>
    </row>
    <row r="152" ht="14.4" spans="1:11">
      <c r="A152" s="10"/>
      <c r="B152" s="10"/>
      <c r="C152" s="10"/>
      <c r="D152" s="10"/>
      <c r="E152" s="9" t="s">
        <v>16</v>
      </c>
      <c r="F152" s="8">
        <v>0</v>
      </c>
      <c r="G152" s="8">
        <v>380</v>
      </c>
      <c r="H152" s="8">
        <f t="shared" si="2"/>
        <v>0</v>
      </c>
      <c r="I152" s="10"/>
      <c r="J152" s="10"/>
      <c r="K152" s="10"/>
    </row>
    <row r="153" ht="14.4" spans="1:11">
      <c r="A153" s="11">
        <v>76</v>
      </c>
      <c r="B153" s="9" t="s">
        <v>232</v>
      </c>
      <c r="C153" s="9" t="s">
        <v>233</v>
      </c>
      <c r="D153" s="8">
        <v>13</v>
      </c>
      <c r="E153" s="9" t="s">
        <v>13</v>
      </c>
      <c r="F153" s="8">
        <v>1.78</v>
      </c>
      <c r="G153" s="8">
        <v>480</v>
      </c>
      <c r="H153" s="8">
        <f t="shared" si="2"/>
        <v>854.4</v>
      </c>
      <c r="I153" s="8">
        <f>SUM(H153:H154)</f>
        <v>1207.8</v>
      </c>
      <c r="J153" s="9" t="s">
        <v>14</v>
      </c>
      <c r="K153" s="9" t="s">
        <v>234</v>
      </c>
    </row>
    <row r="154" ht="14.4" spans="1:11">
      <c r="A154" s="15"/>
      <c r="B154" s="10"/>
      <c r="C154" s="10"/>
      <c r="D154" s="10"/>
      <c r="E154" s="9" t="s">
        <v>16</v>
      </c>
      <c r="F154" s="8">
        <v>0.93</v>
      </c>
      <c r="G154" s="8">
        <v>380</v>
      </c>
      <c r="H154" s="8">
        <f t="shared" si="2"/>
        <v>353.4</v>
      </c>
      <c r="I154" s="10"/>
      <c r="J154" s="10"/>
      <c r="K154" s="10"/>
    </row>
    <row r="155" ht="14.4" spans="1:11">
      <c r="A155" s="8">
        <v>77</v>
      </c>
      <c r="B155" s="9" t="s">
        <v>235</v>
      </c>
      <c r="C155" s="9" t="s">
        <v>236</v>
      </c>
      <c r="D155" s="8">
        <v>13</v>
      </c>
      <c r="E155" s="9" t="s">
        <v>13</v>
      </c>
      <c r="F155" s="8">
        <v>0</v>
      </c>
      <c r="G155" s="8">
        <v>480</v>
      </c>
      <c r="H155" s="8">
        <f t="shared" si="2"/>
        <v>0</v>
      </c>
      <c r="I155" s="8">
        <f>SUM(H155:H156)</f>
        <v>657.4</v>
      </c>
      <c r="J155" s="9" t="s">
        <v>14</v>
      </c>
      <c r="K155" s="9" t="s">
        <v>237</v>
      </c>
    </row>
    <row r="156" ht="14.4" spans="1:11">
      <c r="A156" s="10"/>
      <c r="B156" s="10"/>
      <c r="C156" s="10"/>
      <c r="D156" s="10"/>
      <c r="E156" s="9" t="s">
        <v>16</v>
      </c>
      <c r="F156" s="8">
        <v>1.73</v>
      </c>
      <c r="G156" s="8">
        <v>380</v>
      </c>
      <c r="H156" s="8">
        <f t="shared" si="2"/>
        <v>657.4</v>
      </c>
      <c r="I156" s="10"/>
      <c r="J156" s="10"/>
      <c r="K156" s="10"/>
    </row>
    <row r="157" ht="14.4" spans="1:11">
      <c r="A157" s="11">
        <v>78</v>
      </c>
      <c r="B157" s="9" t="s">
        <v>238</v>
      </c>
      <c r="C157" s="9" t="s">
        <v>239</v>
      </c>
      <c r="D157" s="8">
        <v>13</v>
      </c>
      <c r="E157" s="9" t="s">
        <v>13</v>
      </c>
      <c r="F157" s="8">
        <v>0.52</v>
      </c>
      <c r="G157" s="8">
        <v>480</v>
      </c>
      <c r="H157" s="8">
        <f t="shared" si="2"/>
        <v>249.6</v>
      </c>
      <c r="I157" s="8">
        <f>SUM(H157:H158)</f>
        <v>1302.2</v>
      </c>
      <c r="J157" s="9" t="s">
        <v>14</v>
      </c>
      <c r="K157" s="9" t="s">
        <v>240</v>
      </c>
    </row>
    <row r="158" ht="14.4" spans="1:11">
      <c r="A158" s="15"/>
      <c r="B158" s="10"/>
      <c r="C158" s="10"/>
      <c r="D158" s="10"/>
      <c r="E158" s="9" t="s">
        <v>16</v>
      </c>
      <c r="F158" s="8">
        <v>2.77</v>
      </c>
      <c r="G158" s="8">
        <v>380</v>
      </c>
      <c r="H158" s="8">
        <f t="shared" si="2"/>
        <v>1052.6</v>
      </c>
      <c r="I158" s="10"/>
      <c r="J158" s="10"/>
      <c r="K158" s="10"/>
    </row>
    <row r="159" ht="14.4" spans="1:11">
      <c r="A159" s="8">
        <v>79</v>
      </c>
      <c r="B159" s="9" t="s">
        <v>241</v>
      </c>
      <c r="C159" s="9" t="s">
        <v>242</v>
      </c>
      <c r="D159" s="8">
        <v>13</v>
      </c>
      <c r="E159" s="9" t="s">
        <v>13</v>
      </c>
      <c r="F159" s="8">
        <v>0.46</v>
      </c>
      <c r="G159" s="8">
        <v>480</v>
      </c>
      <c r="H159" s="8">
        <f t="shared" si="2"/>
        <v>220.8</v>
      </c>
      <c r="I159" s="8">
        <f>SUM(H159:H160)</f>
        <v>1018.8</v>
      </c>
      <c r="J159" s="9" t="s">
        <v>14</v>
      </c>
      <c r="K159" s="9" t="s">
        <v>243</v>
      </c>
    </row>
    <row r="160" ht="14.4" spans="1:11">
      <c r="A160" s="10"/>
      <c r="B160" s="10"/>
      <c r="C160" s="10"/>
      <c r="D160" s="10"/>
      <c r="E160" s="9" t="s">
        <v>16</v>
      </c>
      <c r="F160" s="8">
        <v>2.1</v>
      </c>
      <c r="G160" s="8">
        <v>380</v>
      </c>
      <c r="H160" s="8">
        <f t="shared" si="2"/>
        <v>798</v>
      </c>
      <c r="I160" s="10"/>
      <c r="J160" s="10"/>
      <c r="K160" s="10"/>
    </row>
    <row r="161" ht="14.4" spans="1:11">
      <c r="A161" s="11">
        <v>80</v>
      </c>
      <c r="B161" s="9" t="s">
        <v>244</v>
      </c>
      <c r="C161" s="9" t="s">
        <v>245</v>
      </c>
      <c r="D161" s="8">
        <v>13</v>
      </c>
      <c r="E161" s="9" t="s">
        <v>13</v>
      </c>
      <c r="F161" s="8">
        <v>0.66</v>
      </c>
      <c r="G161" s="8">
        <v>480</v>
      </c>
      <c r="H161" s="8">
        <f t="shared" si="2"/>
        <v>316.8</v>
      </c>
      <c r="I161" s="8">
        <f>SUM(H161:H162)</f>
        <v>1213.6</v>
      </c>
      <c r="J161" s="9" t="s">
        <v>14</v>
      </c>
      <c r="K161" s="9" t="s">
        <v>246</v>
      </c>
    </row>
    <row r="162" ht="14.4" spans="1:11">
      <c r="A162" s="15"/>
      <c r="B162" s="10"/>
      <c r="C162" s="10"/>
      <c r="D162" s="10"/>
      <c r="E162" s="9" t="s">
        <v>16</v>
      </c>
      <c r="F162" s="8">
        <v>2.36</v>
      </c>
      <c r="G162" s="8">
        <v>380</v>
      </c>
      <c r="H162" s="8">
        <f t="shared" si="2"/>
        <v>896.8</v>
      </c>
      <c r="I162" s="10"/>
      <c r="J162" s="10"/>
      <c r="K162" s="10"/>
    </row>
    <row r="163" ht="14.4" spans="1:11">
      <c r="A163" s="8">
        <v>81</v>
      </c>
      <c r="B163" s="9" t="s">
        <v>247</v>
      </c>
      <c r="C163" s="9" t="s">
        <v>248</v>
      </c>
      <c r="D163" s="8">
        <v>13</v>
      </c>
      <c r="E163" s="9" t="s">
        <v>13</v>
      </c>
      <c r="F163" s="8">
        <v>1.91</v>
      </c>
      <c r="G163" s="8">
        <v>480</v>
      </c>
      <c r="H163" s="8">
        <f t="shared" si="2"/>
        <v>916.8</v>
      </c>
      <c r="I163" s="8">
        <f>SUM(H163:H164)</f>
        <v>2771.2</v>
      </c>
      <c r="J163" s="9" t="s">
        <v>14</v>
      </c>
      <c r="K163" s="9" t="s">
        <v>249</v>
      </c>
    </row>
    <row r="164" ht="14.4" spans="1:11">
      <c r="A164" s="10"/>
      <c r="B164" s="10"/>
      <c r="C164" s="10"/>
      <c r="D164" s="10"/>
      <c r="E164" s="9" t="s">
        <v>16</v>
      </c>
      <c r="F164" s="8">
        <v>4.88</v>
      </c>
      <c r="G164" s="8">
        <v>380</v>
      </c>
      <c r="H164" s="8">
        <f t="shared" si="2"/>
        <v>1854.4</v>
      </c>
      <c r="I164" s="10"/>
      <c r="J164" s="10"/>
      <c r="K164" s="10"/>
    </row>
    <row r="165" ht="14.4" spans="1:11">
      <c r="A165" s="11">
        <v>82</v>
      </c>
      <c r="B165" s="9" t="s">
        <v>250</v>
      </c>
      <c r="C165" s="9" t="s">
        <v>251</v>
      </c>
      <c r="D165" s="8">
        <v>13</v>
      </c>
      <c r="E165" s="9" t="s">
        <v>13</v>
      </c>
      <c r="F165" s="8">
        <v>0</v>
      </c>
      <c r="G165" s="8">
        <v>480</v>
      </c>
      <c r="H165" s="8">
        <f t="shared" si="2"/>
        <v>0</v>
      </c>
      <c r="I165" s="8">
        <f>SUM(H165:H166)</f>
        <v>1052.6</v>
      </c>
      <c r="J165" s="9" t="s">
        <v>14</v>
      </c>
      <c r="K165" s="9" t="s">
        <v>252</v>
      </c>
    </row>
    <row r="166" ht="14.4" spans="1:11">
      <c r="A166" s="15"/>
      <c r="B166" s="10"/>
      <c r="C166" s="10"/>
      <c r="D166" s="10"/>
      <c r="E166" s="9" t="s">
        <v>16</v>
      </c>
      <c r="F166" s="8">
        <v>2.77</v>
      </c>
      <c r="G166" s="8">
        <v>380</v>
      </c>
      <c r="H166" s="8">
        <f t="shared" si="2"/>
        <v>1052.6</v>
      </c>
      <c r="I166" s="10"/>
      <c r="J166" s="10"/>
      <c r="K166" s="10"/>
    </row>
    <row r="167" ht="14.4" spans="1:11">
      <c r="A167" s="8">
        <v>83</v>
      </c>
      <c r="B167" s="9" t="s">
        <v>253</v>
      </c>
      <c r="C167" s="9" t="s">
        <v>254</v>
      </c>
      <c r="D167" s="8">
        <v>13</v>
      </c>
      <c r="E167" s="9" t="s">
        <v>13</v>
      </c>
      <c r="F167" s="8">
        <v>0.34</v>
      </c>
      <c r="G167" s="8">
        <v>480</v>
      </c>
      <c r="H167" s="8">
        <f>F167*G167</f>
        <v>163.2</v>
      </c>
      <c r="I167" s="8">
        <f>SUM(H167:H168)</f>
        <v>881.4</v>
      </c>
      <c r="J167" s="9" t="s">
        <v>14</v>
      </c>
      <c r="K167" s="9" t="s">
        <v>255</v>
      </c>
    </row>
    <row r="168" ht="14.4" spans="1:11">
      <c r="A168" s="10"/>
      <c r="B168" s="10"/>
      <c r="C168" s="10"/>
      <c r="D168" s="10"/>
      <c r="E168" s="9" t="s">
        <v>16</v>
      </c>
      <c r="F168" s="8">
        <v>1.89</v>
      </c>
      <c r="G168" s="8">
        <v>380</v>
      </c>
      <c r="H168" s="8">
        <f>F168*G168</f>
        <v>718.2</v>
      </c>
      <c r="I168" s="10"/>
      <c r="J168" s="10"/>
      <c r="K168" s="10"/>
    </row>
    <row r="169" ht="14.4" spans="1:11">
      <c r="A169" s="11">
        <v>84</v>
      </c>
      <c r="B169" s="9" t="s">
        <v>256</v>
      </c>
      <c r="C169" s="9" t="s">
        <v>257</v>
      </c>
      <c r="D169" s="8">
        <v>13</v>
      </c>
      <c r="E169" s="9" t="s">
        <v>13</v>
      </c>
      <c r="F169" s="8">
        <v>0.53</v>
      </c>
      <c r="G169" s="8">
        <v>480</v>
      </c>
      <c r="H169" s="8">
        <f>F169*G169</f>
        <v>254.4</v>
      </c>
      <c r="I169" s="8">
        <f>SUM(H169:H170)</f>
        <v>1918.8</v>
      </c>
      <c r="J169" s="9" t="s">
        <v>14</v>
      </c>
      <c r="K169" s="9" t="s">
        <v>258</v>
      </c>
    </row>
    <row r="170" ht="14.4" spans="1:11">
      <c r="A170" s="15"/>
      <c r="B170" s="10"/>
      <c r="C170" s="10"/>
      <c r="D170" s="10"/>
      <c r="E170" s="9" t="s">
        <v>16</v>
      </c>
      <c r="F170" s="8">
        <v>4.38</v>
      </c>
      <c r="G170" s="8">
        <v>380</v>
      </c>
      <c r="H170" s="8">
        <f>F170*G170</f>
        <v>1664.4</v>
      </c>
      <c r="I170" s="10"/>
      <c r="J170" s="10"/>
      <c r="K170" s="10"/>
    </row>
    <row r="171" ht="14.4" spans="1:11">
      <c r="A171" s="8">
        <v>85</v>
      </c>
      <c r="B171" s="9" t="s">
        <v>259</v>
      </c>
      <c r="C171" s="9" t="s">
        <v>260</v>
      </c>
      <c r="D171" s="8">
        <v>13</v>
      </c>
      <c r="E171" s="9" t="s">
        <v>13</v>
      </c>
      <c r="F171" s="8">
        <v>0.2</v>
      </c>
      <c r="G171" s="8">
        <v>480</v>
      </c>
      <c r="H171" s="8">
        <f>F171*G171</f>
        <v>96</v>
      </c>
      <c r="I171" s="8">
        <f>SUM(H171:H172)</f>
        <v>1452.6</v>
      </c>
      <c r="J171" s="9" t="s">
        <v>14</v>
      </c>
      <c r="K171" s="9" t="s">
        <v>261</v>
      </c>
    </row>
    <row r="172" ht="14.4" spans="1:11">
      <c r="A172" s="10"/>
      <c r="B172" s="10"/>
      <c r="C172" s="10"/>
      <c r="D172" s="10"/>
      <c r="E172" s="9" t="s">
        <v>16</v>
      </c>
      <c r="F172" s="8">
        <v>3.57</v>
      </c>
      <c r="G172" s="8">
        <v>380</v>
      </c>
      <c r="H172" s="8">
        <f>F172*G172</f>
        <v>1356.6</v>
      </c>
      <c r="I172" s="10"/>
      <c r="J172" s="10"/>
      <c r="K172" s="10"/>
    </row>
    <row r="173" ht="14.4" spans="1:11">
      <c r="A173" s="11">
        <v>86</v>
      </c>
      <c r="B173" s="9" t="s">
        <v>262</v>
      </c>
      <c r="C173" s="9" t="s">
        <v>263</v>
      </c>
      <c r="D173" s="8">
        <v>13</v>
      </c>
      <c r="E173" s="9" t="s">
        <v>13</v>
      </c>
      <c r="F173" s="8">
        <v>0.38</v>
      </c>
      <c r="G173" s="8">
        <v>480</v>
      </c>
      <c r="H173" s="8">
        <f>F173*G173</f>
        <v>182.4</v>
      </c>
      <c r="I173" s="8">
        <f>SUM(H173:H174)</f>
        <v>513</v>
      </c>
      <c r="J173" s="9" t="s">
        <v>14</v>
      </c>
      <c r="K173" s="9" t="s">
        <v>264</v>
      </c>
    </row>
    <row r="174" ht="14.4" spans="1:11">
      <c r="A174" s="15"/>
      <c r="B174" s="10"/>
      <c r="C174" s="10"/>
      <c r="D174" s="10"/>
      <c r="E174" s="9" t="s">
        <v>16</v>
      </c>
      <c r="F174" s="8">
        <v>0.87</v>
      </c>
      <c r="G174" s="8">
        <v>380</v>
      </c>
      <c r="H174" s="8">
        <f>F174*G174</f>
        <v>330.6</v>
      </c>
      <c r="I174" s="10"/>
      <c r="J174" s="10"/>
      <c r="K174" s="10"/>
    </row>
    <row r="175" ht="14.4" spans="1:11">
      <c r="A175" s="8">
        <v>87</v>
      </c>
      <c r="B175" s="9" t="s">
        <v>265</v>
      </c>
      <c r="C175" s="9" t="s">
        <v>266</v>
      </c>
      <c r="D175" s="8">
        <v>13</v>
      </c>
      <c r="E175" s="9" t="s">
        <v>13</v>
      </c>
      <c r="F175" s="8">
        <v>2.34</v>
      </c>
      <c r="G175" s="8">
        <v>480</v>
      </c>
      <c r="H175" s="8">
        <f>F175*G175</f>
        <v>1123.2</v>
      </c>
      <c r="I175" s="8">
        <f>SUM(H175:H176)</f>
        <v>2297.4</v>
      </c>
      <c r="J175" s="9" t="s">
        <v>14</v>
      </c>
      <c r="K175" s="9" t="s">
        <v>267</v>
      </c>
    </row>
    <row r="176" ht="14.4" spans="1:11">
      <c r="A176" s="10"/>
      <c r="B176" s="10"/>
      <c r="C176" s="10"/>
      <c r="D176" s="10"/>
      <c r="E176" s="9" t="s">
        <v>16</v>
      </c>
      <c r="F176" s="8">
        <v>3.09</v>
      </c>
      <c r="G176" s="8">
        <v>380</v>
      </c>
      <c r="H176" s="8">
        <f>F176*G176</f>
        <v>1174.2</v>
      </c>
      <c r="I176" s="10"/>
      <c r="J176" s="10"/>
      <c r="K176" s="10"/>
    </row>
    <row r="177" ht="14.4" spans="1:11">
      <c r="A177" s="11">
        <v>88</v>
      </c>
      <c r="B177" s="9" t="s">
        <v>268</v>
      </c>
      <c r="C177" s="9" t="s">
        <v>269</v>
      </c>
      <c r="D177" s="8">
        <v>13</v>
      </c>
      <c r="E177" s="9" t="s">
        <v>13</v>
      </c>
      <c r="F177" s="8">
        <v>0</v>
      </c>
      <c r="G177" s="8">
        <v>480</v>
      </c>
      <c r="H177" s="8">
        <f>F177*G177</f>
        <v>0</v>
      </c>
      <c r="I177" s="8">
        <f>SUM(H177:H178)</f>
        <v>1478.2</v>
      </c>
      <c r="J177" s="9" t="s">
        <v>14</v>
      </c>
      <c r="K177" s="9" t="s">
        <v>270</v>
      </c>
    </row>
    <row r="178" ht="14.4" spans="1:11">
      <c r="A178" s="15"/>
      <c r="B178" s="10"/>
      <c r="C178" s="10"/>
      <c r="D178" s="10"/>
      <c r="E178" s="9" t="s">
        <v>16</v>
      </c>
      <c r="F178" s="8">
        <v>3.89</v>
      </c>
      <c r="G178" s="8">
        <v>380</v>
      </c>
      <c r="H178" s="8">
        <f>F178*G178</f>
        <v>1478.2</v>
      </c>
      <c r="I178" s="10"/>
      <c r="J178" s="10"/>
      <c r="K178" s="10"/>
    </row>
    <row r="179" ht="14.4" spans="1:11">
      <c r="A179" s="8">
        <v>89</v>
      </c>
      <c r="B179" s="9" t="s">
        <v>271</v>
      </c>
      <c r="C179" s="9" t="s">
        <v>272</v>
      </c>
      <c r="D179" s="8">
        <v>13</v>
      </c>
      <c r="E179" s="9" t="s">
        <v>13</v>
      </c>
      <c r="F179" s="8">
        <v>0.3</v>
      </c>
      <c r="G179" s="8">
        <v>480</v>
      </c>
      <c r="H179" s="8">
        <f>F179*G179</f>
        <v>144</v>
      </c>
      <c r="I179" s="8">
        <f>SUM(H179:H180)</f>
        <v>828</v>
      </c>
      <c r="J179" s="9" t="s">
        <v>14</v>
      </c>
      <c r="K179" s="9" t="s">
        <v>273</v>
      </c>
    </row>
    <row r="180" ht="14.4" spans="1:11">
      <c r="A180" s="10"/>
      <c r="B180" s="10"/>
      <c r="C180" s="10"/>
      <c r="D180" s="10"/>
      <c r="E180" s="9" t="s">
        <v>16</v>
      </c>
      <c r="F180" s="8">
        <v>1.8</v>
      </c>
      <c r="G180" s="8">
        <v>380</v>
      </c>
      <c r="H180" s="8">
        <f>F180*G180</f>
        <v>684</v>
      </c>
      <c r="I180" s="10"/>
      <c r="J180" s="10"/>
      <c r="K180" s="10"/>
    </row>
    <row r="181" ht="14.4" spans="1:11">
      <c r="A181" s="11">
        <v>90</v>
      </c>
      <c r="B181" s="9" t="s">
        <v>274</v>
      </c>
      <c r="C181" s="9" t="s">
        <v>275</v>
      </c>
      <c r="D181" s="8">
        <v>13</v>
      </c>
      <c r="E181" s="9" t="s">
        <v>13</v>
      </c>
      <c r="F181" s="8">
        <v>2.46</v>
      </c>
      <c r="G181" s="8">
        <v>480</v>
      </c>
      <c r="H181" s="8">
        <f>F181*G181</f>
        <v>1180.8</v>
      </c>
      <c r="I181" s="8">
        <f>SUM(H181:H182)</f>
        <v>1477.2</v>
      </c>
      <c r="J181" s="9" t="s">
        <v>14</v>
      </c>
      <c r="K181" s="9" t="s">
        <v>276</v>
      </c>
    </row>
    <row r="182" ht="14.4" spans="1:11">
      <c r="A182" s="15"/>
      <c r="B182" s="10"/>
      <c r="C182" s="10"/>
      <c r="D182" s="10"/>
      <c r="E182" s="9" t="s">
        <v>16</v>
      </c>
      <c r="F182" s="8">
        <v>0.78</v>
      </c>
      <c r="G182" s="8">
        <v>380</v>
      </c>
      <c r="H182" s="8">
        <f>F182*G182</f>
        <v>296.4</v>
      </c>
      <c r="I182" s="10"/>
      <c r="J182" s="10"/>
      <c r="K182" s="10"/>
    </row>
    <row r="183" ht="14.4" spans="1:11">
      <c r="A183" s="8">
        <v>91</v>
      </c>
      <c r="B183" s="9" t="s">
        <v>277</v>
      </c>
      <c r="C183" s="9" t="s">
        <v>278</v>
      </c>
      <c r="D183" s="8">
        <v>13</v>
      </c>
      <c r="E183" s="9" t="s">
        <v>13</v>
      </c>
      <c r="F183" s="8">
        <v>1.31</v>
      </c>
      <c r="G183" s="8">
        <v>480</v>
      </c>
      <c r="H183" s="8">
        <f>F183*G183</f>
        <v>628.8</v>
      </c>
      <c r="I183" s="8">
        <f>SUM(H183:H184)</f>
        <v>1442</v>
      </c>
      <c r="J183" s="9" t="s">
        <v>14</v>
      </c>
      <c r="K183" s="9" t="s">
        <v>279</v>
      </c>
    </row>
    <row r="184" ht="14.4" spans="1:11">
      <c r="A184" s="10"/>
      <c r="B184" s="10"/>
      <c r="C184" s="10"/>
      <c r="D184" s="10"/>
      <c r="E184" s="9" t="s">
        <v>16</v>
      </c>
      <c r="F184" s="8">
        <f>2.08+0.06</f>
        <v>2.14</v>
      </c>
      <c r="G184" s="8">
        <v>380</v>
      </c>
      <c r="H184" s="8">
        <f>F184*G184</f>
        <v>813.2</v>
      </c>
      <c r="I184" s="10"/>
      <c r="J184" s="10"/>
      <c r="K184" s="10"/>
    </row>
    <row r="185" ht="14.4" spans="1:11">
      <c r="A185" s="11">
        <v>92</v>
      </c>
      <c r="B185" s="9" t="s">
        <v>280</v>
      </c>
      <c r="C185" s="9" t="s">
        <v>281</v>
      </c>
      <c r="D185" s="8">
        <v>13</v>
      </c>
      <c r="E185" s="9" t="s">
        <v>13</v>
      </c>
      <c r="F185" s="8">
        <v>0.56</v>
      </c>
      <c r="G185" s="8">
        <v>480</v>
      </c>
      <c r="H185" s="8">
        <f t="shared" ref="H185:H220" si="3">F185*G185</f>
        <v>268.8</v>
      </c>
      <c r="I185" s="8">
        <f>SUM(H185:H186)</f>
        <v>428.4</v>
      </c>
      <c r="J185" s="9" t="s">
        <v>14</v>
      </c>
      <c r="K185" s="9" t="s">
        <v>61</v>
      </c>
    </row>
    <row r="186" ht="14.4" spans="1:11">
      <c r="A186" s="15"/>
      <c r="B186" s="10"/>
      <c r="C186" s="10"/>
      <c r="D186" s="10"/>
      <c r="E186" s="9" t="s">
        <v>16</v>
      </c>
      <c r="F186" s="8">
        <v>0.42</v>
      </c>
      <c r="G186" s="8">
        <v>380</v>
      </c>
      <c r="H186" s="8">
        <f t="shared" si="3"/>
        <v>159.6</v>
      </c>
      <c r="I186" s="10"/>
      <c r="J186" s="10"/>
      <c r="K186" s="10"/>
    </row>
    <row r="187" ht="14.4" spans="1:11">
      <c r="A187" s="8">
        <v>93</v>
      </c>
      <c r="B187" s="9" t="s">
        <v>282</v>
      </c>
      <c r="C187" s="9" t="s">
        <v>283</v>
      </c>
      <c r="D187" s="8">
        <v>13</v>
      </c>
      <c r="E187" s="9" t="s">
        <v>13</v>
      </c>
      <c r="F187" s="8">
        <v>1.68</v>
      </c>
      <c r="G187" s="8">
        <v>480</v>
      </c>
      <c r="H187" s="8">
        <f t="shared" si="3"/>
        <v>806.4</v>
      </c>
      <c r="I187" s="8">
        <f>SUM(H187:H188)</f>
        <v>1661.4</v>
      </c>
      <c r="J187" s="9" t="s">
        <v>14</v>
      </c>
      <c r="K187" s="9" t="s">
        <v>284</v>
      </c>
    </row>
    <row r="188" ht="14.4" spans="1:11">
      <c r="A188" s="10"/>
      <c r="B188" s="10"/>
      <c r="C188" s="10"/>
      <c r="D188" s="10"/>
      <c r="E188" s="9" t="s">
        <v>16</v>
      </c>
      <c r="F188" s="8">
        <v>2.25</v>
      </c>
      <c r="G188" s="8">
        <v>380</v>
      </c>
      <c r="H188" s="8">
        <f t="shared" si="3"/>
        <v>855</v>
      </c>
      <c r="I188" s="10"/>
      <c r="J188" s="10"/>
      <c r="K188" s="10"/>
    </row>
    <row r="189" ht="14.4" spans="1:11">
      <c r="A189" s="11">
        <v>94</v>
      </c>
      <c r="B189" s="9" t="s">
        <v>285</v>
      </c>
      <c r="C189" s="9" t="s">
        <v>286</v>
      </c>
      <c r="D189" s="8">
        <v>13</v>
      </c>
      <c r="E189" s="9" t="s">
        <v>13</v>
      </c>
      <c r="F189" s="8">
        <v>1.49</v>
      </c>
      <c r="G189" s="8">
        <v>480</v>
      </c>
      <c r="H189" s="8">
        <f t="shared" si="3"/>
        <v>715.2</v>
      </c>
      <c r="I189" s="8">
        <f>SUM(H189:H190)</f>
        <v>1802</v>
      </c>
      <c r="J189" s="9" t="s">
        <v>14</v>
      </c>
      <c r="K189" s="9" t="s">
        <v>287</v>
      </c>
    </row>
    <row r="190" ht="14.4" spans="1:11">
      <c r="A190" s="15"/>
      <c r="B190" s="10"/>
      <c r="C190" s="10"/>
      <c r="D190" s="10"/>
      <c r="E190" s="9" t="s">
        <v>16</v>
      </c>
      <c r="F190" s="8">
        <v>2.86</v>
      </c>
      <c r="G190" s="8">
        <v>380</v>
      </c>
      <c r="H190" s="8">
        <f t="shared" si="3"/>
        <v>1086.8</v>
      </c>
      <c r="I190" s="10"/>
      <c r="J190" s="10"/>
      <c r="K190" s="10"/>
    </row>
    <row r="191" ht="14.4" spans="1:11">
      <c r="A191" s="8">
        <v>95</v>
      </c>
      <c r="B191" s="9" t="s">
        <v>288</v>
      </c>
      <c r="C191" s="9" t="s">
        <v>289</v>
      </c>
      <c r="D191" s="8">
        <v>13</v>
      </c>
      <c r="E191" s="9" t="s">
        <v>13</v>
      </c>
      <c r="F191" s="8">
        <v>2.41</v>
      </c>
      <c r="G191" s="8">
        <v>480</v>
      </c>
      <c r="H191" s="8">
        <f t="shared" si="3"/>
        <v>1156.8</v>
      </c>
      <c r="I191" s="8">
        <f>SUM(H191:H192)</f>
        <v>2258.8</v>
      </c>
      <c r="J191" s="9" t="s">
        <v>14</v>
      </c>
      <c r="K191" s="9" t="s">
        <v>290</v>
      </c>
    </row>
    <row r="192" ht="14.4" spans="1:11">
      <c r="A192" s="10"/>
      <c r="B192" s="10"/>
      <c r="C192" s="10"/>
      <c r="D192" s="10"/>
      <c r="E192" s="9" t="s">
        <v>16</v>
      </c>
      <c r="F192" s="8">
        <v>2.9</v>
      </c>
      <c r="G192" s="8">
        <v>380</v>
      </c>
      <c r="H192" s="8">
        <f t="shared" si="3"/>
        <v>1102</v>
      </c>
      <c r="I192" s="10"/>
      <c r="J192" s="10"/>
      <c r="K192" s="10"/>
    </row>
    <row r="193" ht="14.4" spans="1:11">
      <c r="A193" s="11">
        <v>96</v>
      </c>
      <c r="B193" s="9" t="s">
        <v>291</v>
      </c>
      <c r="C193" s="9"/>
      <c r="D193" s="8">
        <v>13</v>
      </c>
      <c r="E193" s="9" t="s">
        <v>13</v>
      </c>
      <c r="F193" s="8">
        <v>1.59</v>
      </c>
      <c r="G193" s="8">
        <v>480</v>
      </c>
      <c r="H193" s="8">
        <f t="shared" si="3"/>
        <v>763.2</v>
      </c>
      <c r="I193" s="8">
        <f>SUM(H193:H194)</f>
        <v>1435.8</v>
      </c>
      <c r="J193" s="9" t="s">
        <v>14</v>
      </c>
      <c r="K193" s="9" t="s">
        <v>46</v>
      </c>
    </row>
    <row r="194" ht="14.4" spans="1:11">
      <c r="A194" s="15"/>
      <c r="B194" s="10"/>
      <c r="C194" s="10"/>
      <c r="D194" s="10"/>
      <c r="E194" s="9" t="s">
        <v>16</v>
      </c>
      <c r="F194" s="8">
        <v>1.77</v>
      </c>
      <c r="G194" s="8">
        <v>380</v>
      </c>
      <c r="H194" s="8">
        <f t="shared" si="3"/>
        <v>672.6</v>
      </c>
      <c r="I194" s="10"/>
      <c r="J194" s="10"/>
      <c r="K194" s="10"/>
    </row>
    <row r="195" ht="14.4" spans="1:11">
      <c r="A195" s="8">
        <v>97</v>
      </c>
      <c r="B195" s="9" t="s">
        <v>292</v>
      </c>
      <c r="C195" s="9" t="s">
        <v>293</v>
      </c>
      <c r="D195" s="8">
        <v>13</v>
      </c>
      <c r="E195" s="9" t="s">
        <v>13</v>
      </c>
      <c r="F195" s="8">
        <v>0.53</v>
      </c>
      <c r="G195" s="8">
        <v>480</v>
      </c>
      <c r="H195" s="8">
        <f t="shared" si="3"/>
        <v>254.4</v>
      </c>
      <c r="I195" s="8">
        <f>SUM(H195:H196)</f>
        <v>752.2</v>
      </c>
      <c r="J195" s="9" t="s">
        <v>14</v>
      </c>
      <c r="K195" s="9" t="s">
        <v>294</v>
      </c>
    </row>
    <row r="196" ht="14.4" spans="1:11">
      <c r="A196" s="10"/>
      <c r="B196" s="10"/>
      <c r="C196" s="10"/>
      <c r="D196" s="10"/>
      <c r="E196" s="9" t="s">
        <v>16</v>
      </c>
      <c r="F196" s="8">
        <v>1.31</v>
      </c>
      <c r="G196" s="8">
        <v>380</v>
      </c>
      <c r="H196" s="8">
        <f t="shared" si="3"/>
        <v>497.8</v>
      </c>
      <c r="I196" s="10"/>
      <c r="J196" s="10"/>
      <c r="K196" s="10"/>
    </row>
    <row r="197" ht="14.4" spans="1:11">
      <c r="A197" s="11">
        <v>98</v>
      </c>
      <c r="B197" s="9" t="s">
        <v>295</v>
      </c>
      <c r="C197" s="9" t="s">
        <v>296</v>
      </c>
      <c r="D197" s="8">
        <v>13</v>
      </c>
      <c r="E197" s="9" t="s">
        <v>13</v>
      </c>
      <c r="F197" s="8">
        <v>0.36</v>
      </c>
      <c r="G197" s="8">
        <v>480</v>
      </c>
      <c r="H197" s="8">
        <f t="shared" si="3"/>
        <v>172.8</v>
      </c>
      <c r="I197" s="8">
        <f>SUM(H197:H198)</f>
        <v>708.6</v>
      </c>
      <c r="J197" s="9" t="s">
        <v>14</v>
      </c>
      <c r="K197" s="9" t="s">
        <v>297</v>
      </c>
    </row>
    <row r="198" ht="14.4" spans="1:11">
      <c r="A198" s="15"/>
      <c r="B198" s="10"/>
      <c r="C198" s="10"/>
      <c r="D198" s="10"/>
      <c r="E198" s="9" t="s">
        <v>16</v>
      </c>
      <c r="F198" s="8">
        <v>1.41</v>
      </c>
      <c r="G198" s="8">
        <v>380</v>
      </c>
      <c r="H198" s="8">
        <f t="shared" si="3"/>
        <v>535.8</v>
      </c>
      <c r="I198" s="10"/>
      <c r="J198" s="10"/>
      <c r="K198" s="10"/>
    </row>
    <row r="199" ht="14.4" spans="1:11">
      <c r="A199" s="8">
        <v>99</v>
      </c>
      <c r="B199" s="9" t="s">
        <v>298</v>
      </c>
      <c r="C199" s="9" t="s">
        <v>299</v>
      </c>
      <c r="D199" s="8">
        <v>13</v>
      </c>
      <c r="E199" s="9" t="s">
        <v>13</v>
      </c>
      <c r="F199" s="8">
        <v>1</v>
      </c>
      <c r="G199" s="8">
        <v>480</v>
      </c>
      <c r="H199" s="8">
        <f t="shared" si="3"/>
        <v>480</v>
      </c>
      <c r="I199" s="8">
        <f>SUM(H199:H200)</f>
        <v>757.4</v>
      </c>
      <c r="J199" s="9" t="s">
        <v>14</v>
      </c>
      <c r="K199" s="9" t="s">
        <v>300</v>
      </c>
    </row>
    <row r="200" ht="14.4" spans="1:11">
      <c r="A200" s="10"/>
      <c r="B200" s="10"/>
      <c r="C200" s="10"/>
      <c r="D200" s="10"/>
      <c r="E200" s="9" t="s">
        <v>16</v>
      </c>
      <c r="F200" s="8">
        <v>0.73</v>
      </c>
      <c r="G200" s="8">
        <v>380</v>
      </c>
      <c r="H200" s="8">
        <f t="shared" si="3"/>
        <v>277.4</v>
      </c>
      <c r="I200" s="10"/>
      <c r="J200" s="10"/>
      <c r="K200" s="10"/>
    </row>
    <row r="201" ht="14.4" spans="1:11">
      <c r="A201" s="11">
        <v>100</v>
      </c>
      <c r="B201" s="9" t="s">
        <v>301</v>
      </c>
      <c r="C201" s="9" t="s">
        <v>302</v>
      </c>
      <c r="D201" s="8">
        <v>13</v>
      </c>
      <c r="E201" s="9" t="s">
        <v>13</v>
      </c>
      <c r="F201" s="8">
        <v>0.25</v>
      </c>
      <c r="G201" s="8">
        <v>480</v>
      </c>
      <c r="H201" s="8">
        <f t="shared" si="3"/>
        <v>120</v>
      </c>
      <c r="I201" s="8">
        <f>SUM(H201:H202)</f>
        <v>538</v>
      </c>
      <c r="J201" s="9" t="s">
        <v>14</v>
      </c>
      <c r="K201" s="9" t="s">
        <v>303</v>
      </c>
    </row>
    <row r="202" ht="14.4" spans="1:11">
      <c r="A202" s="15"/>
      <c r="B202" s="10"/>
      <c r="C202" s="10"/>
      <c r="D202" s="10"/>
      <c r="E202" s="9" t="s">
        <v>16</v>
      </c>
      <c r="F202" s="8">
        <v>1.1</v>
      </c>
      <c r="G202" s="8">
        <v>380</v>
      </c>
      <c r="H202" s="8">
        <f t="shared" si="3"/>
        <v>418</v>
      </c>
      <c r="I202" s="10"/>
      <c r="J202" s="10"/>
      <c r="K202" s="10"/>
    </row>
    <row r="203" ht="14.4" spans="1:11">
      <c r="A203" s="8">
        <v>101</v>
      </c>
      <c r="B203" s="9" t="s">
        <v>304</v>
      </c>
      <c r="C203" s="9" t="s">
        <v>305</v>
      </c>
      <c r="D203" s="8">
        <v>13</v>
      </c>
      <c r="E203" s="9" t="s">
        <v>13</v>
      </c>
      <c r="F203" s="8">
        <v>0.25</v>
      </c>
      <c r="G203" s="8">
        <v>480</v>
      </c>
      <c r="H203" s="8">
        <f t="shared" si="3"/>
        <v>120</v>
      </c>
      <c r="I203" s="8">
        <f>SUM(H203:H204)</f>
        <v>120</v>
      </c>
      <c r="J203" s="9" t="s">
        <v>14</v>
      </c>
      <c r="K203" s="9" t="s">
        <v>306</v>
      </c>
    </row>
    <row r="204" ht="14.4" spans="1:11">
      <c r="A204" s="10"/>
      <c r="B204" s="10"/>
      <c r="C204" s="10"/>
      <c r="D204" s="10"/>
      <c r="E204" s="9" t="s">
        <v>16</v>
      </c>
      <c r="F204" s="8">
        <v>0</v>
      </c>
      <c r="G204" s="8">
        <v>380</v>
      </c>
      <c r="H204" s="8">
        <f t="shared" si="3"/>
        <v>0</v>
      </c>
      <c r="I204" s="10"/>
      <c r="J204" s="10"/>
      <c r="K204" s="10"/>
    </row>
    <row r="205" ht="14.4" spans="1:11">
      <c r="A205" s="11">
        <v>102</v>
      </c>
      <c r="B205" s="9" t="s">
        <v>307</v>
      </c>
      <c r="C205" s="9"/>
      <c r="D205" s="8">
        <v>13</v>
      </c>
      <c r="E205" s="9" t="s">
        <v>13</v>
      </c>
      <c r="F205" s="8">
        <v>0.08</v>
      </c>
      <c r="G205" s="8">
        <v>480</v>
      </c>
      <c r="H205" s="8">
        <f t="shared" si="3"/>
        <v>38.4</v>
      </c>
      <c r="I205" s="8">
        <f>SUM(H205:H206)</f>
        <v>38.4</v>
      </c>
      <c r="J205" s="9" t="s">
        <v>14</v>
      </c>
      <c r="K205" s="9" t="s">
        <v>46</v>
      </c>
    </row>
    <row r="206" ht="14.4" spans="1:11">
      <c r="A206" s="15"/>
      <c r="B206" s="10"/>
      <c r="C206" s="10"/>
      <c r="D206" s="10"/>
      <c r="E206" s="9" t="s">
        <v>16</v>
      </c>
      <c r="F206" s="8">
        <v>0</v>
      </c>
      <c r="G206" s="8">
        <v>380</v>
      </c>
      <c r="H206" s="8">
        <f t="shared" si="3"/>
        <v>0</v>
      </c>
      <c r="I206" s="10"/>
      <c r="J206" s="10"/>
      <c r="K206" s="10"/>
    </row>
    <row r="207" ht="14.4" spans="1:11">
      <c r="A207" s="8">
        <v>103</v>
      </c>
      <c r="B207" s="9" t="s">
        <v>308</v>
      </c>
      <c r="C207" s="9" t="s">
        <v>309</v>
      </c>
      <c r="D207" s="8">
        <v>13</v>
      </c>
      <c r="E207" s="9" t="s">
        <v>13</v>
      </c>
      <c r="F207" s="8">
        <v>0.07</v>
      </c>
      <c r="G207" s="8">
        <v>480</v>
      </c>
      <c r="H207" s="8">
        <f t="shared" si="3"/>
        <v>33.6</v>
      </c>
      <c r="I207" s="8">
        <f>SUM(H207:H208)</f>
        <v>33.6</v>
      </c>
      <c r="J207" s="9" t="s">
        <v>14</v>
      </c>
      <c r="K207" s="9" t="s">
        <v>310</v>
      </c>
    </row>
    <row r="208" ht="14.4" spans="1:11">
      <c r="A208" s="10"/>
      <c r="B208" s="10"/>
      <c r="C208" s="10"/>
      <c r="D208" s="10"/>
      <c r="E208" s="9" t="s">
        <v>16</v>
      </c>
      <c r="F208" s="8">
        <v>0</v>
      </c>
      <c r="G208" s="8">
        <v>380</v>
      </c>
      <c r="H208" s="8">
        <f t="shared" si="3"/>
        <v>0</v>
      </c>
      <c r="I208" s="10"/>
      <c r="J208" s="10"/>
      <c r="K208" s="10"/>
    </row>
    <row r="209" ht="14.4" spans="1:11">
      <c r="A209" s="11">
        <v>104</v>
      </c>
      <c r="B209" s="9" t="s">
        <v>311</v>
      </c>
      <c r="C209" s="9" t="s">
        <v>312</v>
      </c>
      <c r="D209" s="8">
        <v>13</v>
      </c>
      <c r="E209" s="9" t="s">
        <v>13</v>
      </c>
      <c r="F209" s="8">
        <v>2.5</v>
      </c>
      <c r="G209" s="8">
        <v>480</v>
      </c>
      <c r="H209" s="8">
        <f t="shared" si="3"/>
        <v>1200</v>
      </c>
      <c r="I209" s="8">
        <f>SUM(H209:H210)</f>
        <v>2131</v>
      </c>
      <c r="J209" s="9" t="s">
        <v>14</v>
      </c>
      <c r="K209" s="9" t="s">
        <v>313</v>
      </c>
    </row>
    <row r="210" ht="14.4" spans="1:11">
      <c r="A210" s="15"/>
      <c r="B210" s="10"/>
      <c r="C210" s="10"/>
      <c r="D210" s="10"/>
      <c r="E210" s="9" t="s">
        <v>16</v>
      </c>
      <c r="F210" s="8">
        <v>2.45</v>
      </c>
      <c r="G210" s="8">
        <v>380</v>
      </c>
      <c r="H210" s="8">
        <f t="shared" si="3"/>
        <v>931</v>
      </c>
      <c r="I210" s="10"/>
      <c r="J210" s="10"/>
      <c r="K210" s="10"/>
    </row>
    <row r="211" ht="14.4" spans="1:11">
      <c r="A211" s="8">
        <v>105</v>
      </c>
      <c r="B211" s="9" t="s">
        <v>314</v>
      </c>
      <c r="C211" s="9" t="s">
        <v>315</v>
      </c>
      <c r="D211" s="8">
        <v>13</v>
      </c>
      <c r="E211" s="9" t="s">
        <v>13</v>
      </c>
      <c r="F211" s="8">
        <v>1.31</v>
      </c>
      <c r="G211" s="8">
        <v>480</v>
      </c>
      <c r="H211" s="8">
        <f t="shared" si="3"/>
        <v>628.8</v>
      </c>
      <c r="I211" s="8">
        <f>SUM(H211:H212)</f>
        <v>818.8</v>
      </c>
      <c r="J211" s="9" t="s">
        <v>14</v>
      </c>
      <c r="K211" s="9" t="s">
        <v>316</v>
      </c>
    </row>
    <row r="212" ht="14.4" spans="1:11">
      <c r="A212" s="10"/>
      <c r="B212" s="10"/>
      <c r="C212" s="10"/>
      <c r="D212" s="10"/>
      <c r="E212" s="9" t="s">
        <v>16</v>
      </c>
      <c r="F212" s="8">
        <v>0.5</v>
      </c>
      <c r="G212" s="8">
        <v>380</v>
      </c>
      <c r="H212" s="8">
        <f t="shared" si="3"/>
        <v>190</v>
      </c>
      <c r="I212" s="10"/>
      <c r="J212" s="10"/>
      <c r="K212" s="10"/>
    </row>
    <row r="213" ht="14.4" spans="1:11">
      <c r="A213" s="11">
        <v>106</v>
      </c>
      <c r="B213" s="9" t="s">
        <v>317</v>
      </c>
      <c r="C213" s="9" t="s">
        <v>318</v>
      </c>
      <c r="D213" s="8">
        <v>13</v>
      </c>
      <c r="E213" s="9" t="s">
        <v>13</v>
      </c>
      <c r="F213" s="8">
        <v>0</v>
      </c>
      <c r="G213" s="8">
        <v>480</v>
      </c>
      <c r="H213" s="8">
        <f t="shared" si="3"/>
        <v>0</v>
      </c>
      <c r="I213" s="8">
        <f>SUM(H213:H214)</f>
        <v>368.6</v>
      </c>
      <c r="J213" s="9" t="s">
        <v>14</v>
      </c>
      <c r="K213" s="9" t="s">
        <v>319</v>
      </c>
    </row>
    <row r="214" ht="14.4" spans="1:11">
      <c r="A214" s="15"/>
      <c r="B214" s="10"/>
      <c r="C214" s="10"/>
      <c r="D214" s="10"/>
      <c r="E214" s="9" t="s">
        <v>16</v>
      </c>
      <c r="F214" s="8">
        <v>0.97</v>
      </c>
      <c r="G214" s="8">
        <v>380</v>
      </c>
      <c r="H214" s="8">
        <f t="shared" si="3"/>
        <v>368.6</v>
      </c>
      <c r="I214" s="10"/>
      <c r="J214" s="10"/>
      <c r="K214" s="10"/>
    </row>
    <row r="215" ht="14.4" spans="1:11">
      <c r="A215" s="8">
        <v>107</v>
      </c>
      <c r="B215" s="9" t="s">
        <v>320</v>
      </c>
      <c r="C215" s="9"/>
      <c r="D215" s="8">
        <v>13</v>
      </c>
      <c r="E215" s="9" t="s">
        <v>13</v>
      </c>
      <c r="F215" s="8">
        <v>0</v>
      </c>
      <c r="G215" s="8">
        <v>480</v>
      </c>
      <c r="H215" s="8">
        <f t="shared" si="3"/>
        <v>0</v>
      </c>
      <c r="I215" s="8">
        <f>SUM(H215:H216)</f>
        <v>551</v>
      </c>
      <c r="J215" s="9" t="s">
        <v>14</v>
      </c>
      <c r="K215" s="9" t="s">
        <v>46</v>
      </c>
    </row>
    <row r="216" ht="14.4" spans="1:11">
      <c r="A216" s="10"/>
      <c r="B216" s="10"/>
      <c r="C216" s="10"/>
      <c r="D216" s="10"/>
      <c r="E216" s="9" t="s">
        <v>16</v>
      </c>
      <c r="F216" s="8">
        <v>1.45</v>
      </c>
      <c r="G216" s="8">
        <v>380</v>
      </c>
      <c r="H216" s="8">
        <f t="shared" si="3"/>
        <v>551</v>
      </c>
      <c r="I216" s="10"/>
      <c r="J216" s="10"/>
      <c r="K216" s="10"/>
    </row>
    <row r="217" ht="14.4" spans="1:11">
      <c r="A217" s="11">
        <v>108</v>
      </c>
      <c r="B217" s="9" t="s">
        <v>321</v>
      </c>
      <c r="C217" s="9" t="s">
        <v>322</v>
      </c>
      <c r="D217" s="8">
        <v>13</v>
      </c>
      <c r="E217" s="9" t="s">
        <v>13</v>
      </c>
      <c r="F217" s="8">
        <v>1.41</v>
      </c>
      <c r="G217" s="8">
        <v>480</v>
      </c>
      <c r="H217" s="8">
        <f t="shared" si="3"/>
        <v>676.8</v>
      </c>
      <c r="I217" s="8">
        <f>SUM(H217:H218)</f>
        <v>1037.8</v>
      </c>
      <c r="J217" s="9" t="s">
        <v>14</v>
      </c>
      <c r="K217" s="9" t="s">
        <v>323</v>
      </c>
    </row>
    <row r="218" ht="14.4" spans="1:11">
      <c r="A218" s="15"/>
      <c r="B218" s="10"/>
      <c r="C218" s="10"/>
      <c r="D218" s="10"/>
      <c r="E218" s="9" t="s">
        <v>16</v>
      </c>
      <c r="F218" s="8">
        <v>0.95</v>
      </c>
      <c r="G218" s="8">
        <v>380</v>
      </c>
      <c r="H218" s="8">
        <f t="shared" si="3"/>
        <v>361</v>
      </c>
      <c r="I218" s="10"/>
      <c r="J218" s="10"/>
      <c r="K218" s="10"/>
    </row>
    <row r="219" ht="14.4" spans="1:11">
      <c r="A219" s="8">
        <v>109</v>
      </c>
      <c r="B219" s="9" t="s">
        <v>324</v>
      </c>
      <c r="C219" s="9" t="s">
        <v>325</v>
      </c>
      <c r="D219" s="8">
        <v>13</v>
      </c>
      <c r="E219" s="9" t="s">
        <v>13</v>
      </c>
      <c r="F219" s="8">
        <v>0.46</v>
      </c>
      <c r="G219" s="8">
        <v>480</v>
      </c>
      <c r="H219" s="8">
        <f t="shared" si="3"/>
        <v>220.8</v>
      </c>
      <c r="I219" s="8">
        <f>SUM(H219:H220)</f>
        <v>410.8</v>
      </c>
      <c r="J219" s="9" t="s">
        <v>14</v>
      </c>
      <c r="K219" s="9" t="s">
        <v>326</v>
      </c>
    </row>
    <row r="220" ht="14.4" spans="1:11">
      <c r="A220" s="10"/>
      <c r="B220" s="10"/>
      <c r="C220" s="10"/>
      <c r="D220" s="10"/>
      <c r="E220" s="9" t="s">
        <v>16</v>
      </c>
      <c r="F220" s="8">
        <v>0.5</v>
      </c>
      <c r="G220" s="8">
        <v>380</v>
      </c>
      <c r="H220" s="8">
        <f t="shared" si="3"/>
        <v>190</v>
      </c>
      <c r="I220" s="10"/>
      <c r="J220" s="10"/>
      <c r="K220" s="10"/>
    </row>
    <row r="221" ht="14.4" spans="1:11">
      <c r="A221" s="11">
        <v>110</v>
      </c>
      <c r="B221" s="9" t="s">
        <v>327</v>
      </c>
      <c r="C221" s="9"/>
      <c r="D221" s="8">
        <v>13</v>
      </c>
      <c r="E221" s="9" t="s">
        <v>13</v>
      </c>
      <c r="F221" s="8">
        <v>0.73</v>
      </c>
      <c r="G221" s="8">
        <v>480</v>
      </c>
      <c r="H221" s="8">
        <f>F221*G221</f>
        <v>350.4</v>
      </c>
      <c r="I221" s="8">
        <f>SUM(H221:H222)</f>
        <v>540.4</v>
      </c>
      <c r="J221" s="9" t="s">
        <v>14</v>
      </c>
      <c r="K221" s="9" t="s">
        <v>61</v>
      </c>
    </row>
    <row r="222" ht="14.4" spans="1:11">
      <c r="A222" s="15"/>
      <c r="B222" s="10"/>
      <c r="C222" s="10"/>
      <c r="D222" s="10"/>
      <c r="E222" s="9" t="s">
        <v>16</v>
      </c>
      <c r="F222" s="8">
        <v>0.5</v>
      </c>
      <c r="G222" s="8">
        <v>380</v>
      </c>
      <c r="H222" s="8">
        <f>F222*G222</f>
        <v>190</v>
      </c>
      <c r="I222" s="10"/>
      <c r="J222" s="10"/>
      <c r="K222" s="10"/>
    </row>
    <row r="223" ht="14.4" spans="1:11">
      <c r="A223" s="8">
        <v>111</v>
      </c>
      <c r="B223" s="9" t="s">
        <v>328</v>
      </c>
      <c r="C223" s="9" t="s">
        <v>329</v>
      </c>
      <c r="D223" s="8">
        <v>13</v>
      </c>
      <c r="E223" s="9" t="s">
        <v>13</v>
      </c>
      <c r="F223" s="8">
        <v>2.14</v>
      </c>
      <c r="G223" s="8">
        <v>480</v>
      </c>
      <c r="H223" s="8">
        <f>F223*G223</f>
        <v>1027.2</v>
      </c>
      <c r="I223" s="8">
        <f>SUM(H223:H224)</f>
        <v>1088</v>
      </c>
      <c r="J223" s="9" t="s">
        <v>14</v>
      </c>
      <c r="K223" s="9" t="s">
        <v>330</v>
      </c>
    </row>
    <row r="224" ht="14.4" spans="1:11">
      <c r="A224" s="10"/>
      <c r="B224" s="10"/>
      <c r="C224" s="10"/>
      <c r="D224" s="10"/>
      <c r="E224" s="9" t="s">
        <v>16</v>
      </c>
      <c r="F224" s="8">
        <v>0.16</v>
      </c>
      <c r="G224" s="8">
        <v>380</v>
      </c>
      <c r="H224" s="8">
        <f>F224*G224</f>
        <v>60.8</v>
      </c>
      <c r="I224" s="10"/>
      <c r="J224" s="10"/>
      <c r="K224" s="10"/>
    </row>
    <row r="225" ht="14.4" spans="1:25">
      <c r="A225" s="11">
        <v>112</v>
      </c>
      <c r="B225" s="9" t="s">
        <v>331</v>
      </c>
      <c r="C225" s="9" t="s">
        <v>332</v>
      </c>
      <c r="D225" s="8">
        <v>13</v>
      </c>
      <c r="E225" s="9" t="s">
        <v>13</v>
      </c>
      <c r="F225" s="8">
        <v>4.25</v>
      </c>
      <c r="G225" s="8">
        <v>480</v>
      </c>
      <c r="H225" s="8">
        <f>F225*G225</f>
        <v>2040</v>
      </c>
      <c r="I225" s="8">
        <f>SUM(H225:H226)</f>
        <v>2040</v>
      </c>
      <c r="J225" s="9" t="s">
        <v>14</v>
      </c>
      <c r="K225" s="9" t="s">
        <v>333</v>
      </c>
    </row>
    <row r="226" ht="14.4" spans="1:25">
      <c r="A226" s="15"/>
      <c r="B226" s="10"/>
      <c r="C226" s="10"/>
      <c r="D226" s="10"/>
      <c r="E226" s="9" t="s">
        <v>16</v>
      </c>
      <c r="F226" s="8">
        <v>0</v>
      </c>
      <c r="G226" s="8">
        <v>380</v>
      </c>
      <c r="H226" s="8">
        <f>F226*G226</f>
        <v>0</v>
      </c>
      <c r="I226" s="10"/>
      <c r="J226" s="10"/>
      <c r="K226" s="10"/>
    </row>
    <row r="227" ht="14.4" spans="1:25">
      <c r="A227" s="8">
        <v>113</v>
      </c>
      <c r="B227" s="9" t="s">
        <v>334</v>
      </c>
      <c r="C227" s="9" t="s">
        <v>335</v>
      </c>
      <c r="D227" s="8">
        <v>13</v>
      </c>
      <c r="E227" s="9" t="s">
        <v>13</v>
      </c>
      <c r="F227" s="8">
        <v>1.1</v>
      </c>
      <c r="G227" s="8">
        <v>480</v>
      </c>
      <c r="H227" s="8">
        <f>F227*G227</f>
        <v>528</v>
      </c>
      <c r="I227" s="8">
        <f>SUM(H227:H228)</f>
        <v>1812.4</v>
      </c>
      <c r="J227" s="9" t="s">
        <v>14</v>
      </c>
      <c r="K227" s="9" t="s">
        <v>336</v>
      </c>
    </row>
    <row r="228" ht="14.4" spans="1:25">
      <c r="A228" s="10"/>
      <c r="B228" s="10"/>
      <c r="C228" s="10"/>
      <c r="D228" s="10"/>
      <c r="E228" s="9" t="s">
        <v>16</v>
      </c>
      <c r="F228" s="8">
        <v>3.38</v>
      </c>
      <c r="G228" s="8">
        <v>380</v>
      </c>
      <c r="H228" s="8">
        <f>F228*G228</f>
        <v>1284.4</v>
      </c>
      <c r="I228" s="10"/>
      <c r="J228" s="10"/>
      <c r="K228" s="10"/>
    </row>
    <row r="229" ht="14.4" spans="1:25">
      <c r="A229" s="11">
        <v>114</v>
      </c>
      <c r="B229" s="9" t="s">
        <v>337</v>
      </c>
      <c r="C229" s="24" t="s">
        <v>338</v>
      </c>
      <c r="D229" s="8">
        <v>13</v>
      </c>
      <c r="E229" s="9" t="s">
        <v>13</v>
      </c>
      <c r="F229" s="8">
        <v>0.44</v>
      </c>
      <c r="G229" s="8">
        <v>480</v>
      </c>
      <c r="H229" s="8">
        <f>F229*G229</f>
        <v>211.2</v>
      </c>
      <c r="I229" s="8">
        <f>SUM(H229:H230)</f>
        <v>644.4</v>
      </c>
      <c r="J229" s="9" t="s">
        <v>14</v>
      </c>
      <c r="K229" s="9" t="s">
        <v>339</v>
      </c>
    </row>
    <row r="230" ht="14.4" spans="1:25">
      <c r="A230" s="15"/>
      <c r="B230" s="10"/>
      <c r="C230" s="10"/>
      <c r="D230" s="10"/>
      <c r="E230" s="9" t="s">
        <v>16</v>
      </c>
      <c r="F230" s="8">
        <v>1.14</v>
      </c>
      <c r="G230" s="8">
        <v>380</v>
      </c>
      <c r="H230" s="8">
        <f>F230*G230</f>
        <v>433.2</v>
      </c>
      <c r="I230" s="10"/>
      <c r="J230" s="10"/>
      <c r="K230" s="10"/>
    </row>
    <row r="231" ht="14.4" spans="1:25">
      <c r="A231" s="8">
        <v>115</v>
      </c>
      <c r="B231" s="9" t="s">
        <v>340</v>
      </c>
      <c r="C231" s="9" t="s">
        <v>341</v>
      </c>
      <c r="D231" s="8">
        <v>13</v>
      </c>
      <c r="E231" s="9" t="s">
        <v>13</v>
      </c>
      <c r="F231" s="8">
        <v>3.03</v>
      </c>
      <c r="G231" s="8">
        <v>480</v>
      </c>
      <c r="H231" s="8">
        <f>F231*G231</f>
        <v>1454.4</v>
      </c>
      <c r="I231" s="8">
        <f>SUM(H231:H232)</f>
        <v>2681.8</v>
      </c>
      <c r="J231" s="9"/>
      <c r="K231" s="9">
        <v>15198138449</v>
      </c>
    </row>
    <row r="232" ht="14.4" spans="1:25">
      <c r="A232" s="10"/>
      <c r="B232" s="10"/>
      <c r="C232" s="10"/>
      <c r="D232" s="10"/>
      <c r="E232" s="9" t="s">
        <v>16</v>
      </c>
      <c r="F232" s="8">
        <v>3.23</v>
      </c>
      <c r="G232" s="8">
        <v>380</v>
      </c>
      <c r="H232" s="8">
        <f>F232*G232</f>
        <v>1227.4</v>
      </c>
      <c r="I232" s="10"/>
      <c r="J232" s="10"/>
      <c r="K232" s="10"/>
    </row>
    <row r="233" ht="14.4" spans="1:25">
      <c r="A233" s="11">
        <v>116</v>
      </c>
      <c r="B233" s="17" t="s">
        <v>342</v>
      </c>
      <c r="C233" s="17" t="s">
        <v>343</v>
      </c>
      <c r="D233" s="18">
        <v>13</v>
      </c>
      <c r="E233" s="17" t="s">
        <v>13</v>
      </c>
      <c r="F233" s="18">
        <v>0</v>
      </c>
      <c r="G233" s="18">
        <v>480</v>
      </c>
      <c r="H233" s="18">
        <v>0</v>
      </c>
      <c r="I233" s="18">
        <v>334.4</v>
      </c>
      <c r="J233" s="17" t="s">
        <v>14</v>
      </c>
      <c r="K233" s="17" t="s">
        <v>344</v>
      </c>
    </row>
    <row r="234" ht="14.4" spans="1:25">
      <c r="A234" s="15"/>
      <c r="B234" s="19"/>
      <c r="C234" s="19"/>
      <c r="D234" s="19"/>
      <c r="E234" s="17" t="s">
        <v>16</v>
      </c>
      <c r="F234" s="18">
        <v>0.88</v>
      </c>
      <c r="G234" s="18">
        <v>380</v>
      </c>
      <c r="H234" s="18">
        <v>334.4</v>
      </c>
      <c r="I234" s="19"/>
      <c r="J234" s="19"/>
      <c r="K234" s="19"/>
    </row>
    <row r="235" s="2" customFormat="1" ht="14.4" spans="1:25">
      <c r="A235" s="8">
        <v>117</v>
      </c>
      <c r="B235" s="17" t="s">
        <v>345</v>
      </c>
      <c r="C235" s="17"/>
      <c r="D235" s="18">
        <v>13</v>
      </c>
      <c r="E235" s="17" t="s">
        <v>13</v>
      </c>
      <c r="F235" s="18">
        <v>0</v>
      </c>
      <c r="G235" s="18">
        <v>480</v>
      </c>
      <c r="H235" s="18">
        <v>0</v>
      </c>
      <c r="I235" s="18">
        <v>228</v>
      </c>
      <c r="J235" s="17" t="s">
        <v>14</v>
      </c>
      <c r="K235" s="17" t="s">
        <v>46</v>
      </c>
      <c r="L235" s="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="2" customFormat="1" ht="14.4" spans="1:25">
      <c r="A236" s="10"/>
      <c r="B236" s="19"/>
      <c r="C236" s="19"/>
      <c r="D236" s="19"/>
      <c r="E236" s="17" t="s">
        <v>16</v>
      </c>
      <c r="F236" s="18">
        <v>0.6</v>
      </c>
      <c r="G236" s="18">
        <v>380</v>
      </c>
      <c r="H236" s="18">
        <v>228</v>
      </c>
      <c r="I236" s="19"/>
      <c r="J236" s="19"/>
      <c r="K236" s="19"/>
      <c r="L236" s="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="2" customFormat="1" ht="14.4" spans="1:25">
      <c r="A237" s="11">
        <v>118</v>
      </c>
      <c r="B237" s="17" t="s">
        <v>342</v>
      </c>
      <c r="C237" s="18"/>
      <c r="D237" s="18">
        <v>13</v>
      </c>
      <c r="E237" s="17" t="s">
        <v>13</v>
      </c>
      <c r="F237" s="18">
        <v>0</v>
      </c>
      <c r="G237" s="18">
        <v>480</v>
      </c>
      <c r="H237" s="18">
        <v>0</v>
      </c>
      <c r="I237" s="18">
        <v>228</v>
      </c>
      <c r="J237" s="17" t="s">
        <v>14</v>
      </c>
      <c r="K237" s="17" t="s">
        <v>344</v>
      </c>
      <c r="L237" s="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="2" customFormat="1" ht="14.4" spans="1:25">
      <c r="A238" s="15"/>
      <c r="B238" s="19"/>
      <c r="C238" s="19"/>
      <c r="D238" s="19"/>
      <c r="E238" s="17" t="s">
        <v>16</v>
      </c>
      <c r="F238" s="18">
        <v>0.6</v>
      </c>
      <c r="G238" s="18">
        <v>380</v>
      </c>
      <c r="H238" s="18">
        <v>228</v>
      </c>
      <c r="I238" s="19"/>
      <c r="J238" s="19"/>
      <c r="K238" s="19"/>
      <c r="L238" s="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="2" customFormat="1" ht="14.4" spans="1:25">
      <c r="A239" s="8">
        <v>119</v>
      </c>
      <c r="B239" s="20" t="s">
        <v>346</v>
      </c>
      <c r="C239" s="20" t="s">
        <v>347</v>
      </c>
      <c r="D239" s="21">
        <v>13</v>
      </c>
      <c r="E239" s="20" t="s">
        <v>13</v>
      </c>
      <c r="F239" s="21">
        <v>1.55</v>
      </c>
      <c r="G239" s="21">
        <v>480</v>
      </c>
      <c r="H239" s="21">
        <v>744</v>
      </c>
      <c r="I239" s="21">
        <v>1443.2</v>
      </c>
      <c r="J239" s="20" t="s">
        <v>14</v>
      </c>
      <c r="K239" s="20">
        <v>18089502434</v>
      </c>
      <c r="L239" s="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="2" customFormat="1" ht="14.4" spans="1:25">
      <c r="A240" s="10"/>
      <c r="B240" s="22"/>
      <c r="C240" s="22"/>
      <c r="D240" s="22"/>
      <c r="E240" s="20" t="s">
        <v>16</v>
      </c>
      <c r="F240" s="21">
        <v>1.84</v>
      </c>
      <c r="G240" s="21">
        <v>380</v>
      </c>
      <c r="H240" s="21">
        <v>699.2</v>
      </c>
      <c r="I240" s="22"/>
      <c r="J240" s="22"/>
      <c r="K240" s="22"/>
      <c r="L240" s="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="3" customFormat="1" ht="14.4" spans="1:25">
      <c r="A241" s="11">
        <v>120</v>
      </c>
      <c r="B241" s="20" t="s">
        <v>348</v>
      </c>
      <c r="C241" s="25" t="s">
        <v>349</v>
      </c>
      <c r="D241" s="21">
        <v>13</v>
      </c>
      <c r="E241" s="20" t="s">
        <v>13</v>
      </c>
      <c r="F241" s="21">
        <v>2.9</v>
      </c>
      <c r="G241" s="21">
        <v>480</v>
      </c>
      <c r="H241" s="21">
        <v>1392</v>
      </c>
      <c r="I241" s="21">
        <v>2630.8</v>
      </c>
      <c r="J241" s="20" t="s">
        <v>14</v>
      </c>
      <c r="K241" s="20">
        <v>15770198410</v>
      </c>
      <c r="L241" s="13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="3" customFormat="1" ht="14.4" spans="1:25">
      <c r="A242" s="15"/>
      <c r="B242" s="22"/>
      <c r="C242" s="22"/>
      <c r="D242" s="22"/>
      <c r="E242" s="20" t="s">
        <v>16</v>
      </c>
      <c r="F242" s="21">
        <v>3.26</v>
      </c>
      <c r="G242" s="21">
        <v>380</v>
      </c>
      <c r="H242" s="21">
        <v>1238.8</v>
      </c>
      <c r="I242" s="22"/>
      <c r="J242" s="22"/>
      <c r="K242" s="22"/>
      <c r="L242" s="13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="3" customFormat="1" ht="14.4" spans="1:25">
      <c r="A243" s="8">
        <v>121</v>
      </c>
      <c r="B243" s="9" t="s">
        <v>350</v>
      </c>
      <c r="C243" s="9"/>
      <c r="D243" s="8">
        <v>13</v>
      </c>
      <c r="E243" s="9" t="s">
        <v>13</v>
      </c>
      <c r="F243" s="8">
        <v>1.17</v>
      </c>
      <c r="G243" s="8">
        <v>480</v>
      </c>
      <c r="H243" s="8">
        <f>F243*G243</f>
        <v>561.6</v>
      </c>
      <c r="I243" s="8">
        <f>SUM(H243:H244)</f>
        <v>766.8</v>
      </c>
      <c r="J243" s="9" t="s">
        <v>14</v>
      </c>
      <c r="K243" s="9" t="s">
        <v>46</v>
      </c>
      <c r="L243" s="13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="3" customFormat="1" ht="14.4" spans="1:25">
      <c r="A244" s="10"/>
      <c r="B244" s="10"/>
      <c r="C244" s="10"/>
      <c r="D244" s="10"/>
      <c r="E244" s="9" t="s">
        <v>16</v>
      </c>
      <c r="F244" s="8">
        <v>0.54</v>
      </c>
      <c r="G244" s="8">
        <v>380</v>
      </c>
      <c r="H244" s="8">
        <f>F244*G244</f>
        <v>205.2</v>
      </c>
      <c r="I244" s="10"/>
      <c r="J244" s="10"/>
      <c r="K244" s="10"/>
      <c r="L244" s="13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</sheetData>
  <autoFilter xmlns:etc="http://www.wps.cn/officeDocument/2017/etCustomData" ref="A2:K244" etc:filterBottomFollowUsedRange="0">
    <extLst/>
  </autoFilter>
  <mergeCells count="858"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B1:B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C1:C2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D1:D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E1:E2"/>
    <mergeCell ref="F1:F2"/>
    <mergeCell ref="G1:G2"/>
    <mergeCell ref="H1:H2"/>
    <mergeCell ref="I1:I2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J1:J2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95:J96"/>
    <mergeCell ref="J97:J98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125:J126"/>
    <mergeCell ref="J127:J128"/>
    <mergeCell ref="J129:J130"/>
    <mergeCell ref="J131:J132"/>
    <mergeCell ref="J133:J134"/>
    <mergeCell ref="J135:J136"/>
    <mergeCell ref="J137:J138"/>
    <mergeCell ref="J139:J140"/>
    <mergeCell ref="J141:J142"/>
    <mergeCell ref="J143:J144"/>
    <mergeCell ref="J145:J146"/>
    <mergeCell ref="J147:J148"/>
    <mergeCell ref="J149:J150"/>
    <mergeCell ref="J151:J152"/>
    <mergeCell ref="J153:J154"/>
    <mergeCell ref="J155:J156"/>
    <mergeCell ref="J157:J158"/>
    <mergeCell ref="J159:J160"/>
    <mergeCell ref="J161:J162"/>
    <mergeCell ref="J163:J164"/>
    <mergeCell ref="J165:J166"/>
    <mergeCell ref="J167:J168"/>
    <mergeCell ref="J169:J170"/>
    <mergeCell ref="J171:J172"/>
    <mergeCell ref="J173:J174"/>
    <mergeCell ref="J175:J176"/>
    <mergeCell ref="J177:J178"/>
    <mergeCell ref="J179:J180"/>
    <mergeCell ref="J181:J182"/>
    <mergeCell ref="J183:J184"/>
    <mergeCell ref="J185:J186"/>
    <mergeCell ref="J187:J188"/>
    <mergeCell ref="J189:J190"/>
    <mergeCell ref="J191:J192"/>
    <mergeCell ref="J193:J194"/>
    <mergeCell ref="J195:J196"/>
    <mergeCell ref="J197:J198"/>
    <mergeCell ref="J199:J200"/>
    <mergeCell ref="J201:J202"/>
    <mergeCell ref="J203:J204"/>
    <mergeCell ref="J205:J206"/>
    <mergeCell ref="J207:J208"/>
    <mergeCell ref="J209:J210"/>
    <mergeCell ref="J211:J212"/>
    <mergeCell ref="J213:J214"/>
    <mergeCell ref="J215:J216"/>
    <mergeCell ref="J217:J218"/>
    <mergeCell ref="J219:J220"/>
    <mergeCell ref="J221:J222"/>
    <mergeCell ref="J223:J224"/>
    <mergeCell ref="J225:J226"/>
    <mergeCell ref="J227:J228"/>
    <mergeCell ref="J229:J230"/>
    <mergeCell ref="J231:J232"/>
    <mergeCell ref="J233:J234"/>
    <mergeCell ref="J235:J236"/>
    <mergeCell ref="J237:J238"/>
    <mergeCell ref="J239:J240"/>
    <mergeCell ref="J241:J242"/>
    <mergeCell ref="J243:J244"/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</mergeCells>
  <pageMargins left="0.75" right="0.75" top="1" bottom="1.21944444444444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土地丈量表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2026-04-10T09:05:00Z</dcterms:created>
  <dcterms:modified xsi:type="dcterms:W3CDTF">2026-04-13T08:33:52Z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49EE80CFD97F4D54B2163534520982CC_12</vt:lpwstr>
  </property>
  <property fmtid="{D5CDD505-2E9C-101B-9397-08002B2CF9AE}" pid="3" name="KSOProductBuildVer">
    <vt:lpwstr>2052-12.1.0.23542</vt:lpwstr>
  </property>
</Properties>
</file>