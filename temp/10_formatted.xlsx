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土地丈量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<sst xmlns="http://schemas.openxmlformats.org/spreadsheetml/2006/main" count="491" uniqueCount="240">
  <si>
    <t>序号</t>
  </si>
  <si>
    <t>农户姓名</t>
  </si>
  <si>
    <t>身份证号码</t>
  </si>
  <si>
    <t>组别</t>
  </si>
  <si>
    <t>土块类型（田或土）</t>
  </si>
  <si>
    <t>地块面积（亩）</t>
  </si>
  <si>
    <t>单价（元）</t>
  </si>
  <si>
    <t>金额（元）</t>
  </si>
  <si>
    <t>合计金额（元）</t>
  </si>
  <si>
    <t>农户签字</t>
  </si>
  <si>
    <t>电话</t>
  </si>
  <si>
    <t>王本辉</t>
  </si>
  <si>
    <t>511121196604076934</t>
  </si>
  <si>
    <t>田</t>
  </si>
  <si>
    <t/>
  </si>
  <si>
    <t>13088385171</t>
  </si>
  <si>
    <t>土</t>
  </si>
  <si>
    <t>杨翠华</t>
  </si>
  <si>
    <t>511121194007116943</t>
  </si>
  <si>
    <t>未找到电话</t>
  </si>
  <si>
    <t>王耀龙</t>
  </si>
  <si>
    <t>511121197710246938</t>
  </si>
  <si>
    <t>17708002072</t>
  </si>
  <si>
    <t>王本端</t>
  </si>
  <si>
    <t>511121196706156935</t>
  </si>
  <si>
    <t>18381181398</t>
  </si>
  <si>
    <t>张平中</t>
  </si>
  <si>
    <t>511121196609256934</t>
  </si>
  <si>
    <t>13908959064</t>
  </si>
  <si>
    <t>王本雪</t>
  </si>
  <si>
    <t>511121197010186938</t>
  </si>
  <si>
    <t>18328157981</t>
  </si>
  <si>
    <t>王元奎</t>
  </si>
  <si>
    <t>511121195109106951</t>
  </si>
  <si>
    <t>15884322393</t>
  </si>
  <si>
    <t>夏根华</t>
  </si>
  <si>
    <t>511121197210229007</t>
  </si>
  <si>
    <t>王勇根</t>
  </si>
  <si>
    <t>511121197112106951</t>
  </si>
  <si>
    <t>13714095882</t>
  </si>
  <si>
    <t>王元卓</t>
  </si>
  <si>
    <t>511121194301286935</t>
  </si>
  <si>
    <t>13741975183</t>
  </si>
  <si>
    <t>王水全</t>
  </si>
  <si>
    <t>511121197404176935</t>
  </si>
  <si>
    <t>13568319850</t>
  </si>
  <si>
    <t>王元红</t>
  </si>
  <si>
    <t>511121197109216930</t>
  </si>
  <si>
    <t>13709045951</t>
  </si>
  <si>
    <t>王永先</t>
  </si>
  <si>
    <t>511121197302066954</t>
  </si>
  <si>
    <t>13350092163</t>
  </si>
  <si>
    <t>王金明</t>
  </si>
  <si>
    <t>51112119520904695X</t>
  </si>
  <si>
    <t>15183759890</t>
  </si>
  <si>
    <t>王金文</t>
  </si>
  <si>
    <t>51112119530208693X</t>
  </si>
  <si>
    <t>13108209068</t>
  </si>
  <si>
    <t>王本红</t>
  </si>
  <si>
    <t>511121197303016932</t>
  </si>
  <si>
    <t>13548105655</t>
  </si>
  <si>
    <t>王本根</t>
  </si>
  <si>
    <t>511121197603246959</t>
  </si>
  <si>
    <t>13980601906</t>
  </si>
  <si>
    <t>王杰</t>
  </si>
  <si>
    <t>511121196807056933</t>
  </si>
  <si>
    <t>17085056261</t>
  </si>
  <si>
    <t>王云中</t>
  </si>
  <si>
    <t>511121195709076936</t>
  </si>
  <si>
    <t>17098336209</t>
  </si>
  <si>
    <t>林伟</t>
  </si>
  <si>
    <t>511121197309226930</t>
  </si>
  <si>
    <t>15378455047</t>
  </si>
  <si>
    <t>王耀</t>
  </si>
  <si>
    <t>511121197706196931</t>
  </si>
  <si>
    <t>13438454494</t>
  </si>
  <si>
    <t>王九明</t>
  </si>
  <si>
    <t>511121196204206955</t>
  </si>
  <si>
    <t>17780707147</t>
  </si>
  <si>
    <t>王仲良</t>
  </si>
  <si>
    <t>511121196807206938</t>
  </si>
  <si>
    <t>13540281371</t>
  </si>
  <si>
    <t>林柱军</t>
  </si>
  <si>
    <t>51112119650701693X</t>
  </si>
  <si>
    <t>18880461100</t>
  </si>
  <si>
    <t>林德平</t>
  </si>
  <si>
    <t>511121195106156937</t>
  </si>
  <si>
    <t>13696071235</t>
  </si>
  <si>
    <t>马丙军</t>
  </si>
  <si>
    <t>511121196302036953</t>
  </si>
  <si>
    <t>15108230541</t>
  </si>
  <si>
    <t>马炳良</t>
  </si>
  <si>
    <t>511121196504206930</t>
  </si>
  <si>
    <t>15201482558</t>
  </si>
  <si>
    <t>王久钦</t>
  </si>
  <si>
    <t>511121195702056932</t>
  </si>
  <si>
    <t>15983338310</t>
  </si>
  <si>
    <t>马长生</t>
  </si>
  <si>
    <t>511121195306196933</t>
  </si>
  <si>
    <t>18728378455</t>
  </si>
  <si>
    <t>王久方</t>
  </si>
  <si>
    <t>511121195010096933</t>
  </si>
  <si>
    <t>15228831630</t>
  </si>
  <si>
    <t>申书华</t>
  </si>
  <si>
    <t>51112119531108694X</t>
  </si>
  <si>
    <t>17381762871</t>
  </si>
  <si>
    <t>王久波</t>
  </si>
  <si>
    <t>511121194406106937</t>
  </si>
  <si>
    <t>18728378783</t>
  </si>
  <si>
    <t>马炳全</t>
  </si>
  <si>
    <t>511121197208206914</t>
  </si>
  <si>
    <t>18381162279</t>
  </si>
  <si>
    <t>舒菊花</t>
  </si>
  <si>
    <t>511121194510256943</t>
  </si>
  <si>
    <t>13898663488</t>
  </si>
  <si>
    <t>王久书</t>
  </si>
  <si>
    <t>511121194809166731</t>
  </si>
  <si>
    <t>17828224018</t>
  </si>
  <si>
    <t>王少先</t>
  </si>
  <si>
    <t>511121193910266935</t>
  </si>
  <si>
    <t>18282475843</t>
  </si>
  <si>
    <t>王久高</t>
  </si>
  <si>
    <t>511121193711226930</t>
  </si>
  <si>
    <t>13648139194</t>
  </si>
  <si>
    <t>王本舟</t>
  </si>
  <si>
    <t>511121196502256934</t>
  </si>
  <si>
    <t>13881994029</t>
  </si>
  <si>
    <t>王守才</t>
  </si>
  <si>
    <t>未找到人</t>
  </si>
  <si>
    <t>王守权</t>
  </si>
  <si>
    <t>林柱根</t>
  </si>
  <si>
    <t>511121196006146939</t>
  </si>
  <si>
    <t>15198241004</t>
  </si>
  <si>
    <t>王学明1965年</t>
  </si>
  <si>
    <t>王玉英</t>
  </si>
  <si>
    <t>511121195107226941</t>
  </si>
  <si>
    <t>13219766126</t>
  </si>
  <si>
    <t>王秀英</t>
  </si>
  <si>
    <t>511121194905096948</t>
  </si>
  <si>
    <t>13858878178</t>
  </si>
  <si>
    <t>王本全</t>
  </si>
  <si>
    <t>511121196307186934</t>
  </si>
  <si>
    <t>13550531168</t>
  </si>
  <si>
    <t>王学军</t>
  </si>
  <si>
    <t>511121197305236939</t>
  </si>
  <si>
    <t>18064965189</t>
  </si>
  <si>
    <t>王元树</t>
  </si>
  <si>
    <t>51112119770519693X</t>
  </si>
  <si>
    <t>13541156924</t>
  </si>
  <si>
    <t>夏明杨</t>
  </si>
  <si>
    <t>林泽均</t>
  </si>
  <si>
    <t>511121194807246930</t>
  </si>
  <si>
    <t>15183330572</t>
  </si>
  <si>
    <t>林立平</t>
  </si>
  <si>
    <t>511121197207196937</t>
  </si>
  <si>
    <t>13980088071</t>
  </si>
  <si>
    <t>孟学书</t>
  </si>
  <si>
    <t>511121196509146957</t>
  </si>
  <si>
    <t>13438344858</t>
  </si>
  <si>
    <t>孟水勇</t>
  </si>
  <si>
    <t>511121197110036937</t>
  </si>
  <si>
    <t>18228026278</t>
  </si>
  <si>
    <t>郑东秀</t>
  </si>
  <si>
    <t>511121196211046945</t>
  </si>
  <si>
    <t>17381101962</t>
  </si>
  <si>
    <t>林勇</t>
  </si>
  <si>
    <t>511121197207236951</t>
  </si>
  <si>
    <t>18728342177</t>
  </si>
  <si>
    <t>林自明</t>
  </si>
  <si>
    <t>511121195007226936</t>
  </si>
  <si>
    <t>18328123878</t>
  </si>
  <si>
    <t>林德君</t>
  </si>
  <si>
    <t>王江明</t>
  </si>
  <si>
    <t>林德扬</t>
  </si>
  <si>
    <t>511121196305166972</t>
  </si>
  <si>
    <t>张淑群</t>
  </si>
  <si>
    <t>511121194701106948</t>
  </si>
  <si>
    <t>17032093187</t>
  </si>
  <si>
    <t>王守成</t>
  </si>
  <si>
    <t>511121195405196955</t>
  </si>
  <si>
    <t>15196465308</t>
  </si>
  <si>
    <t>王守军</t>
  </si>
  <si>
    <t>511121197301096932</t>
  </si>
  <si>
    <t>15378458395</t>
  </si>
  <si>
    <t>徐国华</t>
  </si>
  <si>
    <t>51112119430602693X</t>
  </si>
  <si>
    <t>13438307408</t>
  </si>
  <si>
    <t>林德江</t>
  </si>
  <si>
    <t>511121196312236932</t>
  </si>
  <si>
    <t>15386538340</t>
  </si>
  <si>
    <t>林德昆</t>
  </si>
  <si>
    <t>511121196605296939</t>
  </si>
  <si>
    <t>13880849918</t>
  </si>
  <si>
    <t>林德民</t>
  </si>
  <si>
    <t>511121194401296954</t>
  </si>
  <si>
    <t>13118367383</t>
  </si>
  <si>
    <t>王子明</t>
  </si>
  <si>
    <t>511121194812296932</t>
  </si>
  <si>
    <t>17380943642</t>
  </si>
  <si>
    <t>王子根</t>
  </si>
  <si>
    <t>511121195507026930</t>
  </si>
  <si>
    <t>15868447603</t>
  </si>
  <si>
    <t>夏明春</t>
  </si>
  <si>
    <t>511121195309286934</t>
  </si>
  <si>
    <t>18583879513</t>
  </si>
  <si>
    <t>王守金</t>
  </si>
  <si>
    <t>511121196904206999</t>
  </si>
  <si>
    <t>18381431599</t>
  </si>
  <si>
    <t>王述文</t>
  </si>
  <si>
    <t>511121194609126938</t>
  </si>
  <si>
    <t>王守刚</t>
  </si>
  <si>
    <t>513822198301126936</t>
  </si>
  <si>
    <t>13548245059</t>
  </si>
  <si>
    <t>王云发</t>
  </si>
  <si>
    <t>511121194803266934</t>
  </si>
  <si>
    <t>15244846768</t>
  </si>
  <si>
    <t>林杰</t>
  </si>
  <si>
    <t>511121197605176931</t>
  </si>
  <si>
    <t>15823297734</t>
  </si>
  <si>
    <t>王元辉</t>
  </si>
  <si>
    <t>511121196410256937</t>
  </si>
  <si>
    <t>13648053224</t>
  </si>
  <si>
    <t>王元照</t>
  </si>
  <si>
    <t>511121196906306950</t>
  </si>
  <si>
    <t>13541366816</t>
  </si>
  <si>
    <t>严菊花</t>
  </si>
  <si>
    <t>51112119671201698X</t>
  </si>
  <si>
    <t>13730629938</t>
  </si>
  <si>
    <t>王守智</t>
  </si>
  <si>
    <t>511121198202046950</t>
  </si>
  <si>
    <t>13648139096</t>
  </si>
  <si>
    <t>王海潮</t>
  </si>
  <si>
    <t>511121197711106937</t>
  </si>
  <si>
    <t>15828638682</t>
  </si>
  <si>
    <t>王守潮</t>
  </si>
  <si>
    <t>511121197511026959</t>
  </si>
  <si>
    <t>18583366039</t>
  </si>
  <si>
    <t>林德勋</t>
  </si>
  <si>
    <t>511121195704246932</t>
  </si>
  <si>
    <t>17380957256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</si>
</sst>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3" borderId="6">
      <alignment vertical="center"/>
    </xf>
    <xf numFmtId="0" fontId="12" fillId="4" borderId="7">
      <alignment vertical="center"/>
    </xf>
    <xf numFmtId="0" fontId="13" fillId="4" borderId="6">
      <alignment vertical="center"/>
    </xf>
    <xf numFmtId="0" fontId="14" fillId="5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2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1"/>
  <sheetViews>
    <sheetView tabSelected="1" view="pageBreakPreview" zoomScale="70" zoomScaleNormal="100" topLeftCell="A129" workbookViewId="0">
      <selection activeCell="A156" sqref="A156:A157"/>
    </sheetView>
  </sheetViews>
  <sheetFormatPr defaultColWidth="9" defaultRowHeight="30" customHeight="1"/>
  <cols>
    <col min="1" max="1" width="8" style="1" customWidth="1"/>
    <col min="2" max="2" width="12" style="1" customWidth="1"/>
    <col min="3" max="3" width="25" style="1" customWidth="1"/>
    <col min="4" max="4" width="8" style="1" customWidth="1"/>
    <col min="5" max="6" width="12" style="1" customWidth="1"/>
    <col min="7" max="7" width="10" style="1" customWidth="1"/>
    <col min="8" max="10" width="12" style="1" customWidth="1"/>
    <col min="11" max="11" width="17.1111111111111" style="1" customWidth="1"/>
    <col min="12" max="12" width="13" style="1" customWidth="1"/>
    <col min="13" max="16384" width="9" style="1" customWidth="1"/>
  </cols>
  <sheetData>
    <row r="1" ht="40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7.4" spans="1:11">
      <c r="A2" s="3">
        <v>1</v>
      </c>
      <c r="B2" s="3" t="s">
        <v>11</v>
      </c>
      <c r="C2" s="3" t="s">
        <v>12</v>
      </c>
      <c r="D2" s="3">
        <v>10</v>
      </c>
      <c r="E2" s="3" t="s">
        <v>13</v>
      </c>
      <c r="F2" s="3">
        <v>3.24</v>
      </c>
      <c r="G2" s="3">
        <v>480</v>
      </c>
      <c r="H2" s="3">
        <f t="shared" ref="H2:H65" si="0">F2*G2</f>
        <v>1555.2</v>
      </c>
      <c r="I2" s="3">
        <f>SUM(H2:H3)</f>
        <v>1847.8</v>
      </c>
      <c r="J2" s="3" t="s">
        <v>14</v>
      </c>
      <c r="K2" s="3" t="s">
        <v>15</v>
      </c>
    </row>
    <row r="3" ht="17.4" spans="1:11">
      <c r="A3" s="4"/>
      <c r="B3" s="4"/>
      <c r="C3" s="4"/>
      <c r="D3" s="4"/>
      <c r="E3" s="3" t="s">
        <v>16</v>
      </c>
      <c r="F3" s="3">
        <v>0.77</v>
      </c>
      <c r="G3" s="3">
        <v>380</v>
      </c>
      <c r="H3" s="3">
        <f t="shared" si="0"/>
        <v>292.6</v>
      </c>
      <c r="I3" s="4"/>
      <c r="J3" s="4"/>
      <c r="K3" s="4"/>
    </row>
    <row r="4" ht="17.4" spans="1:11">
      <c r="A4" s="3">
        <v>2</v>
      </c>
      <c r="B4" s="3" t="s">
        <v>17</v>
      </c>
      <c r="C4" s="3" t="s">
        <v>18</v>
      </c>
      <c r="D4" s="3">
        <v>10</v>
      </c>
      <c r="E4" s="3" t="s">
        <v>13</v>
      </c>
      <c r="F4" s="3">
        <v>1.35</v>
      </c>
      <c r="G4" s="3">
        <v>480</v>
      </c>
      <c r="H4" s="3">
        <f t="shared" si="0"/>
        <v>648</v>
      </c>
      <c r="I4" s="3">
        <f>SUM(H4:H5)</f>
        <v>990</v>
      </c>
      <c r="J4" s="3" t="s">
        <v>14</v>
      </c>
      <c r="K4" s="3" t="s">
        <v>19</v>
      </c>
    </row>
    <row r="5" ht="17.4" spans="1:11">
      <c r="A5" s="4"/>
      <c r="B5" s="4"/>
      <c r="C5" s="4"/>
      <c r="D5" s="4"/>
      <c r="E5" s="3" t="s">
        <v>16</v>
      </c>
      <c r="F5" s="3">
        <v>0.9</v>
      </c>
      <c r="G5" s="3">
        <v>380</v>
      </c>
      <c r="H5" s="3">
        <f t="shared" si="0"/>
        <v>342</v>
      </c>
      <c r="I5" s="4"/>
      <c r="J5" s="4"/>
      <c r="K5" s="4"/>
    </row>
    <row r="6" ht="17.4" spans="1:11">
      <c r="A6" s="3">
        <v>3</v>
      </c>
      <c r="B6" s="3" t="s">
        <v>20</v>
      </c>
      <c r="C6" s="3" t="s">
        <v>21</v>
      </c>
      <c r="D6" s="3">
        <v>10</v>
      </c>
      <c r="E6" s="3" t="s">
        <v>13</v>
      </c>
      <c r="F6" s="3">
        <v>1.93</v>
      </c>
      <c r="G6" s="3">
        <v>480</v>
      </c>
      <c r="H6" s="3">
        <f t="shared" si="0"/>
        <v>926.4</v>
      </c>
      <c r="I6" s="3">
        <f>SUM(H6:H7)</f>
        <v>1846</v>
      </c>
      <c r="J6" s="3" t="s">
        <v>14</v>
      </c>
      <c r="K6" s="3" t="s">
        <v>22</v>
      </c>
    </row>
    <row r="7" ht="17.4" spans="1:11">
      <c r="A7" s="4"/>
      <c r="B7" s="4"/>
      <c r="C7" s="4"/>
      <c r="D7" s="4"/>
      <c r="E7" s="3" t="s">
        <v>16</v>
      </c>
      <c r="F7" s="3">
        <v>2.42</v>
      </c>
      <c r="G7" s="3">
        <v>380</v>
      </c>
      <c r="H7" s="3">
        <f t="shared" si="0"/>
        <v>919.6</v>
      </c>
      <c r="I7" s="4"/>
      <c r="J7" s="4"/>
      <c r="K7" s="4"/>
    </row>
    <row r="8" ht="17.4" spans="1:11">
      <c r="A8" s="3">
        <v>4</v>
      </c>
      <c r="B8" s="3" t="s">
        <v>23</v>
      </c>
      <c r="C8" s="3" t="s">
        <v>24</v>
      </c>
      <c r="D8" s="3">
        <v>10</v>
      </c>
      <c r="E8" s="3" t="s">
        <v>13</v>
      </c>
      <c r="F8" s="3">
        <v>1.3</v>
      </c>
      <c r="G8" s="3">
        <v>480</v>
      </c>
      <c r="H8" s="3">
        <f t="shared" si="0"/>
        <v>624</v>
      </c>
      <c r="I8" s="3">
        <f>SUM(H8:H9)</f>
        <v>779.8</v>
      </c>
      <c r="J8" s="3" t="s">
        <v>14</v>
      </c>
      <c r="K8" s="3" t="s">
        <v>25</v>
      </c>
    </row>
    <row r="9" ht="17.4" spans="1:11">
      <c r="A9" s="4"/>
      <c r="B9" s="4"/>
      <c r="C9" s="4"/>
      <c r="D9" s="4"/>
      <c r="E9" s="3" t="s">
        <v>16</v>
      </c>
      <c r="F9" s="3">
        <v>0.41</v>
      </c>
      <c r="G9" s="3">
        <v>380</v>
      </c>
      <c r="H9" s="3">
        <f t="shared" si="0"/>
        <v>155.8</v>
      </c>
      <c r="I9" s="4"/>
      <c r="J9" s="4"/>
      <c r="K9" s="4"/>
    </row>
    <row r="10" ht="17.4" spans="1:11">
      <c r="A10" s="3">
        <v>5</v>
      </c>
      <c r="B10" s="3" t="s">
        <v>26</v>
      </c>
      <c r="C10" s="3" t="s">
        <v>27</v>
      </c>
      <c r="D10" s="3">
        <v>10</v>
      </c>
      <c r="E10" s="3" t="s">
        <v>13</v>
      </c>
      <c r="F10" s="3">
        <v>0.93</v>
      </c>
      <c r="G10" s="3">
        <v>480</v>
      </c>
      <c r="H10" s="3">
        <f t="shared" si="0"/>
        <v>446.4</v>
      </c>
      <c r="I10" s="3">
        <f>SUM(H10:H11)</f>
        <v>446.4</v>
      </c>
      <c r="J10" s="3" t="s">
        <v>14</v>
      </c>
      <c r="K10" s="3" t="s">
        <v>28</v>
      </c>
    </row>
    <row r="11" ht="17.4" spans="1:11">
      <c r="A11" s="4"/>
      <c r="B11" s="4"/>
      <c r="C11" s="4"/>
      <c r="D11" s="4"/>
      <c r="E11" s="3" t="s">
        <v>16</v>
      </c>
      <c r="F11" s="3">
        <v>0</v>
      </c>
      <c r="G11" s="3">
        <v>380</v>
      </c>
      <c r="H11" s="3">
        <f t="shared" si="0"/>
        <v>0</v>
      </c>
      <c r="I11" s="4"/>
      <c r="J11" s="4"/>
      <c r="K11" s="4"/>
    </row>
    <row r="12" ht="17.4" spans="1:11">
      <c r="A12" s="3">
        <v>6</v>
      </c>
      <c r="B12" s="3" t="s">
        <v>29</v>
      </c>
      <c r="C12" s="3" t="s">
        <v>30</v>
      </c>
      <c r="D12" s="3">
        <v>10</v>
      </c>
      <c r="E12" s="3" t="s">
        <v>13</v>
      </c>
      <c r="F12" s="3">
        <v>0.64</v>
      </c>
      <c r="G12" s="3">
        <v>480</v>
      </c>
      <c r="H12" s="3">
        <f t="shared" si="0"/>
        <v>307.2</v>
      </c>
      <c r="I12" s="3">
        <f>SUM(H12:H13)</f>
        <v>307.2</v>
      </c>
      <c r="J12" s="3" t="s">
        <v>14</v>
      </c>
      <c r="K12" s="3" t="s">
        <v>31</v>
      </c>
    </row>
    <row r="13" ht="17.4" spans="1:11">
      <c r="A13" s="4"/>
      <c r="B13" s="4"/>
      <c r="C13" s="4"/>
      <c r="D13" s="4"/>
      <c r="E13" s="3" t="s">
        <v>16</v>
      </c>
      <c r="F13" s="3">
        <v>0</v>
      </c>
      <c r="G13" s="3">
        <v>380</v>
      </c>
      <c r="H13" s="3">
        <f t="shared" si="0"/>
        <v>0</v>
      </c>
      <c r="I13" s="4"/>
      <c r="J13" s="4"/>
      <c r="K13" s="4"/>
    </row>
    <row r="14" ht="17.4" spans="1:11">
      <c r="A14" s="3">
        <v>7</v>
      </c>
      <c r="B14" s="3" t="s">
        <v>32</v>
      </c>
      <c r="C14" s="3" t="s">
        <v>33</v>
      </c>
      <c r="D14" s="3">
        <v>10</v>
      </c>
      <c r="E14" s="3" t="s">
        <v>13</v>
      </c>
      <c r="F14" s="3">
        <v>1.07</v>
      </c>
      <c r="G14" s="3">
        <v>480</v>
      </c>
      <c r="H14" s="3">
        <f t="shared" si="0"/>
        <v>513.6</v>
      </c>
      <c r="I14" s="3">
        <f>SUM(H14:H15)</f>
        <v>707.4</v>
      </c>
      <c r="J14" s="3" t="s">
        <v>14</v>
      </c>
      <c r="K14" s="3" t="s">
        <v>34</v>
      </c>
    </row>
    <row r="15" ht="17.4" spans="1:11">
      <c r="A15" s="4"/>
      <c r="B15" s="4"/>
      <c r="C15" s="4"/>
      <c r="D15" s="4"/>
      <c r="E15" s="3" t="s">
        <v>16</v>
      </c>
      <c r="F15" s="3">
        <v>0.51</v>
      </c>
      <c r="G15" s="3">
        <v>380</v>
      </c>
      <c r="H15" s="3">
        <f t="shared" si="0"/>
        <v>193.8</v>
      </c>
      <c r="I15" s="4"/>
      <c r="J15" s="4"/>
      <c r="K15" s="4"/>
    </row>
    <row r="16" ht="17.4" spans="1:11">
      <c r="A16" s="3">
        <v>8</v>
      </c>
      <c r="B16" s="3" t="s">
        <v>35</v>
      </c>
      <c r="C16" s="3" t="s">
        <v>36</v>
      </c>
      <c r="D16" s="3">
        <v>10</v>
      </c>
      <c r="E16" s="3" t="s">
        <v>13</v>
      </c>
      <c r="F16" s="3">
        <v>0.4</v>
      </c>
      <c r="G16" s="3">
        <v>480</v>
      </c>
      <c r="H16" s="3">
        <f t="shared" si="0"/>
        <v>192</v>
      </c>
      <c r="I16" s="3">
        <f>SUM(H16:H17)</f>
        <v>192</v>
      </c>
      <c r="J16" s="3" t="s">
        <v>14</v>
      </c>
      <c r="K16" s="3" t="s">
        <v>19</v>
      </c>
    </row>
    <row r="17" ht="17.4" spans="1:11">
      <c r="A17" s="4"/>
      <c r="B17" s="4"/>
      <c r="C17" s="4"/>
      <c r="D17" s="4"/>
      <c r="E17" s="3" t="s">
        <v>16</v>
      </c>
      <c r="F17" s="3">
        <v>0</v>
      </c>
      <c r="G17" s="3">
        <v>380</v>
      </c>
      <c r="H17" s="3">
        <f t="shared" si="0"/>
        <v>0</v>
      </c>
      <c r="I17" s="4"/>
      <c r="J17" s="4"/>
      <c r="K17" s="4"/>
    </row>
    <row r="18" ht="17.4" spans="1:11">
      <c r="A18" s="3">
        <v>9</v>
      </c>
      <c r="B18" s="3" t="s">
        <v>37</v>
      </c>
      <c r="C18" s="3" t="s">
        <v>38</v>
      </c>
      <c r="D18" s="3">
        <v>10</v>
      </c>
      <c r="E18" s="3" t="s">
        <v>13</v>
      </c>
      <c r="F18" s="3">
        <v>1.24</v>
      </c>
      <c r="G18" s="3">
        <v>480</v>
      </c>
      <c r="H18" s="3">
        <f t="shared" si="0"/>
        <v>595.2</v>
      </c>
      <c r="I18" s="3">
        <f>SUM(H18:H19)</f>
        <v>948.6</v>
      </c>
      <c r="J18" s="3" t="s">
        <v>14</v>
      </c>
      <c r="K18" s="3" t="s">
        <v>39</v>
      </c>
    </row>
    <row r="19" ht="17.4" spans="1:11">
      <c r="A19" s="4"/>
      <c r="B19" s="4"/>
      <c r="C19" s="4"/>
      <c r="D19" s="4"/>
      <c r="E19" s="3" t="s">
        <v>16</v>
      </c>
      <c r="F19" s="3">
        <v>0.93</v>
      </c>
      <c r="G19" s="3">
        <v>380</v>
      </c>
      <c r="H19" s="3">
        <f t="shared" si="0"/>
        <v>353.4</v>
      </c>
      <c r="I19" s="4"/>
      <c r="J19" s="4"/>
      <c r="K19" s="4"/>
    </row>
    <row r="20" ht="17.4" spans="1:11">
      <c r="A20" s="3">
        <v>10</v>
      </c>
      <c r="B20" s="3" t="s">
        <v>40</v>
      </c>
      <c r="C20" s="3" t="s">
        <v>41</v>
      </c>
      <c r="D20" s="3">
        <v>10</v>
      </c>
      <c r="E20" s="3" t="s">
        <v>13</v>
      </c>
      <c r="F20" s="3">
        <v>3.94</v>
      </c>
      <c r="G20" s="3">
        <v>480</v>
      </c>
      <c r="H20" s="3">
        <f t="shared" si="0"/>
        <v>1891.2</v>
      </c>
      <c r="I20" s="3">
        <f>SUM(H20:H21)</f>
        <v>1891.2</v>
      </c>
      <c r="J20" s="3" t="s">
        <v>14</v>
      </c>
      <c r="K20" s="3" t="s">
        <v>42</v>
      </c>
    </row>
    <row r="21" ht="17.4" spans="1:11">
      <c r="A21" s="4"/>
      <c r="B21" s="4"/>
      <c r="C21" s="4"/>
      <c r="D21" s="4"/>
      <c r="E21" s="3" t="s">
        <v>16</v>
      </c>
      <c r="F21" s="3">
        <v>0</v>
      </c>
      <c r="G21" s="3">
        <v>380</v>
      </c>
      <c r="H21" s="3">
        <f t="shared" si="0"/>
        <v>0</v>
      </c>
      <c r="I21" s="4"/>
      <c r="J21" s="4"/>
      <c r="K21" s="4"/>
    </row>
    <row r="22" ht="17.4" spans="1:11">
      <c r="A22" s="3">
        <v>11</v>
      </c>
      <c r="B22" s="3" t="s">
        <v>43</v>
      </c>
      <c r="C22" s="3" t="s">
        <v>44</v>
      </c>
      <c r="D22" s="3">
        <v>10</v>
      </c>
      <c r="E22" s="3" t="s">
        <v>13</v>
      </c>
      <c r="F22" s="3">
        <v>0.62</v>
      </c>
      <c r="G22" s="3">
        <v>480</v>
      </c>
      <c r="H22" s="3">
        <f t="shared" si="0"/>
        <v>297.6</v>
      </c>
      <c r="I22" s="3">
        <f>SUM(H22:H23)</f>
        <v>297.6</v>
      </c>
      <c r="J22" s="3" t="s">
        <v>14</v>
      </c>
      <c r="K22" s="3" t="s">
        <v>45</v>
      </c>
    </row>
    <row r="23" ht="17.4" spans="1:11">
      <c r="A23" s="4"/>
      <c r="B23" s="4"/>
      <c r="C23" s="4"/>
      <c r="D23" s="4"/>
      <c r="E23" s="3" t="s">
        <v>16</v>
      </c>
      <c r="F23" s="3">
        <v>0</v>
      </c>
      <c r="G23" s="3">
        <v>380</v>
      </c>
      <c r="H23" s="3">
        <f t="shared" si="0"/>
        <v>0</v>
      </c>
      <c r="I23" s="4"/>
      <c r="J23" s="4"/>
      <c r="K23" s="4"/>
    </row>
    <row r="24" ht="17.4" spans="1:11">
      <c r="A24" s="3">
        <v>12</v>
      </c>
      <c r="B24" s="3" t="s">
        <v>46</v>
      </c>
      <c r="C24" s="3" t="s">
        <v>47</v>
      </c>
      <c r="D24" s="3">
        <v>10</v>
      </c>
      <c r="E24" s="3" t="s">
        <v>13</v>
      </c>
      <c r="F24" s="3">
        <v>0.14</v>
      </c>
      <c r="G24" s="3">
        <v>480</v>
      </c>
      <c r="H24" s="3">
        <f t="shared" si="0"/>
        <v>67.2</v>
      </c>
      <c r="I24" s="3">
        <f>SUM(H24:H25)</f>
        <v>67.2</v>
      </c>
      <c r="J24" s="3" t="s">
        <v>14</v>
      </c>
      <c r="K24" s="3" t="s">
        <v>48</v>
      </c>
    </row>
    <row r="25" ht="17.4" spans="1:11">
      <c r="A25" s="4"/>
      <c r="B25" s="4"/>
      <c r="C25" s="4"/>
      <c r="D25" s="4"/>
      <c r="E25" s="3" t="s">
        <v>16</v>
      </c>
      <c r="F25" s="3">
        <v>0</v>
      </c>
      <c r="G25" s="3">
        <v>380</v>
      </c>
      <c r="H25" s="3">
        <f t="shared" si="0"/>
        <v>0</v>
      </c>
      <c r="I25" s="4"/>
      <c r="J25" s="4"/>
      <c r="K25" s="4"/>
    </row>
    <row r="26" ht="17.4" spans="1:11">
      <c r="A26" s="3">
        <v>13</v>
      </c>
      <c r="B26" s="3" t="s">
        <v>49</v>
      </c>
      <c r="C26" s="3" t="s">
        <v>50</v>
      </c>
      <c r="D26" s="3">
        <v>10</v>
      </c>
      <c r="E26" s="3" t="s">
        <v>13</v>
      </c>
      <c r="F26" s="3">
        <v>1.29</v>
      </c>
      <c r="G26" s="3">
        <v>480</v>
      </c>
      <c r="H26" s="3">
        <f t="shared" si="0"/>
        <v>619.2</v>
      </c>
      <c r="I26" s="3">
        <f>SUM(H26:H27)</f>
        <v>619.2</v>
      </c>
      <c r="J26" s="3" t="s">
        <v>14</v>
      </c>
      <c r="K26" s="3" t="s">
        <v>51</v>
      </c>
    </row>
    <row r="27" ht="17.4" spans="1:11">
      <c r="A27" s="4"/>
      <c r="B27" s="4"/>
      <c r="C27" s="4"/>
      <c r="D27" s="4"/>
      <c r="E27" s="3" t="s">
        <v>16</v>
      </c>
      <c r="F27" s="3">
        <v>0</v>
      </c>
      <c r="G27" s="3">
        <v>380</v>
      </c>
      <c r="H27" s="3">
        <f t="shared" si="0"/>
        <v>0</v>
      </c>
      <c r="I27" s="4"/>
      <c r="J27" s="4"/>
      <c r="K27" s="4"/>
    </row>
    <row r="28" ht="17.4" spans="1:11">
      <c r="A28" s="3">
        <v>14</v>
      </c>
      <c r="B28" s="3" t="s">
        <v>52</v>
      </c>
      <c r="C28" s="3" t="s">
        <v>53</v>
      </c>
      <c r="D28" s="3">
        <v>10</v>
      </c>
      <c r="E28" s="3" t="s">
        <v>13</v>
      </c>
      <c r="F28" s="3">
        <v>1.03</v>
      </c>
      <c r="G28" s="3">
        <v>480</v>
      </c>
      <c r="H28" s="3">
        <f t="shared" si="0"/>
        <v>494.4</v>
      </c>
      <c r="I28" s="3">
        <f>SUM(H28:H29)</f>
        <v>1680</v>
      </c>
      <c r="J28" s="3" t="s">
        <v>14</v>
      </c>
      <c r="K28" s="3" t="s">
        <v>54</v>
      </c>
    </row>
    <row r="29" ht="17.4" spans="1:11">
      <c r="A29" s="4"/>
      <c r="B29" s="4"/>
      <c r="C29" s="4"/>
      <c r="D29" s="4"/>
      <c r="E29" s="3" t="s">
        <v>16</v>
      </c>
      <c r="F29" s="3">
        <v>3.12</v>
      </c>
      <c r="G29" s="3">
        <v>380</v>
      </c>
      <c r="H29" s="3">
        <f t="shared" si="0"/>
        <v>1185.6</v>
      </c>
      <c r="I29" s="4"/>
      <c r="J29" s="4"/>
      <c r="K29" s="4"/>
    </row>
    <row r="30" ht="17.4" spans="1:11">
      <c r="A30" s="3">
        <v>15</v>
      </c>
      <c r="B30" s="3" t="s">
        <v>55</v>
      </c>
      <c r="C30" s="3" t="s">
        <v>56</v>
      </c>
      <c r="D30" s="3">
        <v>10</v>
      </c>
      <c r="E30" s="3" t="s">
        <v>13</v>
      </c>
      <c r="F30" s="3">
        <v>5.88</v>
      </c>
      <c r="G30" s="3">
        <v>480</v>
      </c>
      <c r="H30" s="3">
        <f t="shared" si="0"/>
        <v>2822.4</v>
      </c>
      <c r="I30" s="3">
        <f>SUM(H30:H31)</f>
        <v>4118.2</v>
      </c>
      <c r="J30" s="3" t="s">
        <v>14</v>
      </c>
      <c r="K30" s="3" t="s">
        <v>57</v>
      </c>
    </row>
    <row r="31" ht="17.4" spans="1:11">
      <c r="A31" s="4"/>
      <c r="B31" s="4"/>
      <c r="C31" s="4"/>
      <c r="D31" s="4"/>
      <c r="E31" s="3" t="s">
        <v>16</v>
      </c>
      <c r="F31" s="3">
        <v>3.41</v>
      </c>
      <c r="G31" s="3">
        <v>380</v>
      </c>
      <c r="H31" s="3">
        <f t="shared" si="0"/>
        <v>1295.8</v>
      </c>
      <c r="I31" s="4"/>
      <c r="J31" s="4"/>
      <c r="K31" s="4"/>
    </row>
    <row r="32" ht="17.4" spans="1:11">
      <c r="A32" s="3">
        <v>16</v>
      </c>
      <c r="B32" s="3" t="s">
        <v>58</v>
      </c>
      <c r="C32" s="3" t="s">
        <v>59</v>
      </c>
      <c r="D32" s="3">
        <v>10</v>
      </c>
      <c r="E32" s="3" t="s">
        <v>13</v>
      </c>
      <c r="F32" s="3">
        <v>0.78</v>
      </c>
      <c r="G32" s="3">
        <v>480</v>
      </c>
      <c r="H32" s="3">
        <f t="shared" si="0"/>
        <v>374.4</v>
      </c>
      <c r="I32" s="3">
        <f>SUM(H32:H33)</f>
        <v>374.4</v>
      </c>
      <c r="J32" s="3" t="s">
        <v>14</v>
      </c>
      <c r="K32" s="3" t="s">
        <v>60</v>
      </c>
    </row>
    <row r="33" ht="17.4" spans="1:11">
      <c r="A33" s="4"/>
      <c r="B33" s="4"/>
      <c r="C33" s="4"/>
      <c r="D33" s="4"/>
      <c r="E33" s="3" t="s">
        <v>16</v>
      </c>
      <c r="F33" s="3">
        <v>0</v>
      </c>
      <c r="G33" s="3">
        <v>380</v>
      </c>
      <c r="H33" s="3">
        <f t="shared" si="0"/>
        <v>0</v>
      </c>
      <c r="I33" s="4"/>
      <c r="J33" s="4"/>
      <c r="K33" s="4"/>
    </row>
    <row r="34" ht="17.4" spans="1:11">
      <c r="A34" s="3">
        <v>17</v>
      </c>
      <c r="B34" s="3" t="s">
        <v>61</v>
      </c>
      <c r="C34" s="3" t="s">
        <v>62</v>
      </c>
      <c r="D34" s="3">
        <v>10</v>
      </c>
      <c r="E34" s="3" t="s">
        <v>13</v>
      </c>
      <c r="F34" s="3">
        <v>0.18</v>
      </c>
      <c r="G34" s="3">
        <v>480</v>
      </c>
      <c r="H34" s="3">
        <f t="shared" si="0"/>
        <v>86.4</v>
      </c>
      <c r="I34" s="3">
        <f>SUM(H34:H35)</f>
        <v>90.2</v>
      </c>
      <c r="J34" s="3" t="s">
        <v>14</v>
      </c>
      <c r="K34" s="3" t="s">
        <v>63</v>
      </c>
    </row>
    <row r="35" ht="17.4" spans="1:11">
      <c r="A35" s="4"/>
      <c r="B35" s="4"/>
      <c r="C35" s="4"/>
      <c r="D35" s="4"/>
      <c r="E35" s="3" t="s">
        <v>16</v>
      </c>
      <c r="F35" s="3">
        <v>0.01</v>
      </c>
      <c r="G35" s="3">
        <v>380</v>
      </c>
      <c r="H35" s="3">
        <f t="shared" si="0"/>
        <v>3.8</v>
      </c>
      <c r="I35" s="4"/>
      <c r="J35" s="4"/>
      <c r="K35" s="4"/>
    </row>
    <row r="36" ht="17.4" spans="1:11">
      <c r="A36" s="3">
        <v>18</v>
      </c>
      <c r="B36" s="3" t="s">
        <v>64</v>
      </c>
      <c r="C36" s="3" t="s">
        <v>65</v>
      </c>
      <c r="D36" s="3">
        <v>10</v>
      </c>
      <c r="E36" s="3" t="s">
        <v>13</v>
      </c>
      <c r="F36" s="3">
        <v>1.01</v>
      </c>
      <c r="G36" s="3">
        <v>480</v>
      </c>
      <c r="H36" s="3">
        <f t="shared" si="0"/>
        <v>484.8</v>
      </c>
      <c r="I36" s="3">
        <f>SUM(H36:H37)</f>
        <v>484.8</v>
      </c>
      <c r="J36" s="3" t="s">
        <v>14</v>
      </c>
      <c r="K36" s="3" t="s">
        <v>66</v>
      </c>
    </row>
    <row r="37" ht="17.4" spans="1:11">
      <c r="A37" s="4"/>
      <c r="B37" s="4"/>
      <c r="C37" s="4"/>
      <c r="D37" s="4"/>
      <c r="E37" s="3" t="s">
        <v>16</v>
      </c>
      <c r="F37" s="3">
        <v>0</v>
      </c>
      <c r="G37" s="3">
        <v>380</v>
      </c>
      <c r="H37" s="3">
        <f t="shared" si="0"/>
        <v>0</v>
      </c>
      <c r="I37" s="4"/>
      <c r="J37" s="4"/>
      <c r="K37" s="4"/>
    </row>
    <row r="38" ht="17.4" spans="1:11">
      <c r="A38" s="3">
        <v>19</v>
      </c>
      <c r="B38" s="3" t="s">
        <v>67</v>
      </c>
      <c r="C38" s="3" t="s">
        <v>68</v>
      </c>
      <c r="D38" s="3">
        <v>10</v>
      </c>
      <c r="E38" s="3" t="s">
        <v>13</v>
      </c>
      <c r="F38" s="3">
        <v>3.68</v>
      </c>
      <c r="G38" s="3">
        <v>480</v>
      </c>
      <c r="H38" s="3">
        <f t="shared" si="0"/>
        <v>1766.4</v>
      </c>
      <c r="I38" s="3">
        <f>SUM(H38:H39)</f>
        <v>1979.2</v>
      </c>
      <c r="J38" s="3" t="s">
        <v>14</v>
      </c>
      <c r="K38" s="3" t="s">
        <v>69</v>
      </c>
    </row>
    <row r="39" ht="17.4" spans="1:11">
      <c r="A39" s="4"/>
      <c r="B39" s="4"/>
      <c r="C39" s="4"/>
      <c r="D39" s="4"/>
      <c r="E39" s="3" t="s">
        <v>16</v>
      </c>
      <c r="F39" s="3">
        <v>0.56</v>
      </c>
      <c r="G39" s="3">
        <v>380</v>
      </c>
      <c r="H39" s="3">
        <f t="shared" si="0"/>
        <v>212.8</v>
      </c>
      <c r="I39" s="4"/>
      <c r="J39" s="4"/>
      <c r="K39" s="4"/>
    </row>
    <row r="40" ht="17.4" spans="1:11">
      <c r="A40" s="3">
        <v>20</v>
      </c>
      <c r="B40" s="3" t="s">
        <v>70</v>
      </c>
      <c r="C40" s="3" t="s">
        <v>71</v>
      </c>
      <c r="D40" s="3">
        <v>10</v>
      </c>
      <c r="E40" s="3" t="s">
        <v>13</v>
      </c>
      <c r="F40" s="3">
        <v>0</v>
      </c>
      <c r="G40" s="3">
        <v>480</v>
      </c>
      <c r="H40" s="3">
        <f t="shared" si="0"/>
        <v>0</v>
      </c>
      <c r="I40" s="3">
        <f>SUM(H40:H41)</f>
        <v>938.6</v>
      </c>
      <c r="J40" s="3" t="s">
        <v>14</v>
      </c>
      <c r="K40" s="3" t="s">
        <v>72</v>
      </c>
    </row>
    <row r="41" ht="17.4" spans="1:11">
      <c r="A41" s="4"/>
      <c r="B41" s="4"/>
      <c r="C41" s="4"/>
      <c r="D41" s="4"/>
      <c r="E41" s="3" t="s">
        <v>16</v>
      </c>
      <c r="F41" s="3">
        <v>2.47</v>
      </c>
      <c r="G41" s="3">
        <v>380</v>
      </c>
      <c r="H41" s="3">
        <f t="shared" si="0"/>
        <v>938.6</v>
      </c>
      <c r="I41" s="4"/>
      <c r="J41" s="4"/>
      <c r="K41" s="4"/>
    </row>
    <row r="42" ht="17.4" spans="1:11">
      <c r="A42" s="3">
        <v>21</v>
      </c>
      <c r="B42" s="3" t="s">
        <v>73</v>
      </c>
      <c r="C42" s="3" t="s">
        <v>74</v>
      </c>
      <c r="D42" s="3">
        <v>10</v>
      </c>
      <c r="E42" s="3" t="s">
        <v>13</v>
      </c>
      <c r="F42" s="3">
        <v>1.57</v>
      </c>
      <c r="G42" s="3">
        <v>480</v>
      </c>
      <c r="H42" s="3">
        <f t="shared" si="0"/>
        <v>753.6</v>
      </c>
      <c r="I42" s="3">
        <f>SUM(H42:H43)</f>
        <v>772.6</v>
      </c>
      <c r="J42" s="3" t="s">
        <v>14</v>
      </c>
      <c r="K42" s="3" t="s">
        <v>75</v>
      </c>
    </row>
    <row r="43" ht="17.4" spans="1:11">
      <c r="A43" s="4"/>
      <c r="B43" s="4"/>
      <c r="C43" s="4"/>
      <c r="D43" s="4"/>
      <c r="E43" s="3" t="s">
        <v>16</v>
      </c>
      <c r="F43" s="3">
        <v>0.05</v>
      </c>
      <c r="G43" s="3">
        <v>380</v>
      </c>
      <c r="H43" s="3">
        <f t="shared" si="0"/>
        <v>19</v>
      </c>
      <c r="I43" s="4"/>
      <c r="J43" s="4"/>
      <c r="K43" s="4"/>
    </row>
    <row r="44" ht="17.4" spans="1:11">
      <c r="A44" s="3">
        <v>22</v>
      </c>
      <c r="B44" s="3" t="s">
        <v>76</v>
      </c>
      <c r="C44" s="3" t="s">
        <v>77</v>
      </c>
      <c r="D44" s="3">
        <v>10</v>
      </c>
      <c r="E44" s="3" t="s">
        <v>13</v>
      </c>
      <c r="F44" s="3">
        <v>1.24</v>
      </c>
      <c r="G44" s="3">
        <v>480</v>
      </c>
      <c r="H44" s="3">
        <f t="shared" si="0"/>
        <v>595.2</v>
      </c>
      <c r="I44" s="3">
        <f>SUM(H44:H45)</f>
        <v>1047.4</v>
      </c>
      <c r="J44" s="3" t="s">
        <v>14</v>
      </c>
      <c r="K44" s="3" t="s">
        <v>78</v>
      </c>
    </row>
    <row r="45" ht="17.4" spans="1:11">
      <c r="A45" s="4"/>
      <c r="B45" s="4"/>
      <c r="C45" s="4"/>
      <c r="D45" s="4"/>
      <c r="E45" s="3" t="s">
        <v>16</v>
      </c>
      <c r="F45" s="3">
        <v>1.19</v>
      </c>
      <c r="G45" s="3">
        <v>380</v>
      </c>
      <c r="H45" s="3">
        <f t="shared" si="0"/>
        <v>452.2</v>
      </c>
      <c r="I45" s="4"/>
      <c r="J45" s="4"/>
      <c r="K45" s="4"/>
    </row>
    <row r="46" ht="17.4" spans="1:11">
      <c r="A46" s="3">
        <v>23</v>
      </c>
      <c r="B46" s="3" t="s">
        <v>79</v>
      </c>
      <c r="C46" s="3" t="s">
        <v>80</v>
      </c>
      <c r="D46" s="3">
        <v>10</v>
      </c>
      <c r="E46" s="3" t="s">
        <v>13</v>
      </c>
      <c r="F46" s="3">
        <v>2.65</v>
      </c>
      <c r="G46" s="3">
        <v>480</v>
      </c>
      <c r="H46" s="3">
        <f t="shared" si="0"/>
        <v>1272</v>
      </c>
      <c r="I46" s="3">
        <f>SUM(H46:H47)</f>
        <v>1272</v>
      </c>
      <c r="J46" s="3" t="s">
        <v>14</v>
      </c>
      <c r="K46" s="3" t="s">
        <v>81</v>
      </c>
    </row>
    <row r="47" ht="17.4" spans="1:11">
      <c r="A47" s="4"/>
      <c r="B47" s="4"/>
      <c r="C47" s="4"/>
      <c r="D47" s="4"/>
      <c r="E47" s="3" t="s">
        <v>16</v>
      </c>
      <c r="F47" s="3">
        <v>0</v>
      </c>
      <c r="G47" s="3">
        <v>380</v>
      </c>
      <c r="H47" s="3">
        <f t="shared" si="0"/>
        <v>0</v>
      </c>
      <c r="I47" s="4"/>
      <c r="J47" s="4"/>
      <c r="K47" s="4"/>
    </row>
    <row r="48" ht="17.4" spans="1:11">
      <c r="A48" s="3">
        <v>24</v>
      </c>
      <c r="B48" s="3" t="s">
        <v>82</v>
      </c>
      <c r="C48" s="3" t="s">
        <v>83</v>
      </c>
      <c r="D48" s="3">
        <v>10</v>
      </c>
      <c r="E48" s="3" t="s">
        <v>13</v>
      </c>
      <c r="F48" s="3">
        <v>0.3</v>
      </c>
      <c r="G48" s="3">
        <v>480</v>
      </c>
      <c r="H48" s="3">
        <f t="shared" si="0"/>
        <v>144</v>
      </c>
      <c r="I48" s="3">
        <f>SUM(H48:H49)</f>
        <v>1276.4</v>
      </c>
      <c r="J48" s="3" t="s">
        <v>14</v>
      </c>
      <c r="K48" s="3" t="s">
        <v>84</v>
      </c>
    </row>
    <row r="49" ht="17.4" spans="1:11">
      <c r="A49" s="4"/>
      <c r="B49" s="4"/>
      <c r="C49" s="4"/>
      <c r="D49" s="4"/>
      <c r="E49" s="3" t="s">
        <v>16</v>
      </c>
      <c r="F49" s="3">
        <v>2.98</v>
      </c>
      <c r="G49" s="3">
        <v>380</v>
      </c>
      <c r="H49" s="3">
        <f t="shared" si="0"/>
        <v>1132.4</v>
      </c>
      <c r="I49" s="4"/>
      <c r="J49" s="4"/>
      <c r="K49" s="4"/>
    </row>
    <row r="50" ht="17.4" spans="1:11">
      <c r="A50" s="3">
        <v>25</v>
      </c>
      <c r="B50" s="3" t="s">
        <v>85</v>
      </c>
      <c r="C50" s="3" t="s">
        <v>86</v>
      </c>
      <c r="D50" s="3">
        <v>10</v>
      </c>
      <c r="E50" s="3" t="s">
        <v>13</v>
      </c>
      <c r="F50" s="3">
        <v>0</v>
      </c>
      <c r="G50" s="3">
        <v>480</v>
      </c>
      <c r="H50" s="3">
        <f t="shared" si="0"/>
        <v>0</v>
      </c>
      <c r="I50" s="3">
        <f>SUM(H50:H51)</f>
        <v>323</v>
      </c>
      <c r="J50" s="3" t="s">
        <v>14</v>
      </c>
      <c r="K50" s="3" t="s">
        <v>87</v>
      </c>
    </row>
    <row r="51" ht="17.4" spans="1:11">
      <c r="A51" s="4"/>
      <c r="B51" s="4"/>
      <c r="C51" s="4"/>
      <c r="D51" s="4"/>
      <c r="E51" s="3" t="s">
        <v>16</v>
      </c>
      <c r="F51" s="3">
        <v>0.85</v>
      </c>
      <c r="G51" s="3">
        <v>380</v>
      </c>
      <c r="H51" s="3">
        <f t="shared" si="0"/>
        <v>323</v>
      </c>
      <c r="I51" s="4"/>
      <c r="J51" s="4"/>
      <c r="K51" s="4"/>
    </row>
    <row r="52" ht="17.4" spans="1:11">
      <c r="A52" s="3">
        <v>26</v>
      </c>
      <c r="B52" s="3" t="s">
        <v>88</v>
      </c>
      <c r="C52" s="3" t="s">
        <v>89</v>
      </c>
      <c r="D52" s="3">
        <v>10</v>
      </c>
      <c r="E52" s="3" t="s">
        <v>13</v>
      </c>
      <c r="F52" s="3">
        <v>0</v>
      </c>
      <c r="G52" s="3">
        <v>480</v>
      </c>
      <c r="H52" s="3">
        <f t="shared" si="0"/>
        <v>0</v>
      </c>
      <c r="I52" s="3">
        <f>SUM(H52:H53)</f>
        <v>60.8</v>
      </c>
      <c r="J52" s="3" t="s">
        <v>14</v>
      </c>
      <c r="K52" s="3" t="s">
        <v>90</v>
      </c>
    </row>
    <row r="53" ht="17.4" spans="1:11">
      <c r="A53" s="4"/>
      <c r="B53" s="4"/>
      <c r="C53" s="4"/>
      <c r="D53" s="4"/>
      <c r="E53" s="3" t="s">
        <v>16</v>
      </c>
      <c r="F53" s="3">
        <v>0.16</v>
      </c>
      <c r="G53" s="3">
        <v>380</v>
      </c>
      <c r="H53" s="3">
        <f t="shared" si="0"/>
        <v>60.8</v>
      </c>
      <c r="I53" s="4"/>
      <c r="J53" s="4"/>
      <c r="K53" s="4"/>
    </row>
    <row r="54" ht="17.4" spans="1:11">
      <c r="A54" s="3">
        <v>27</v>
      </c>
      <c r="B54" s="3" t="s">
        <v>91</v>
      </c>
      <c r="C54" s="3" t="s">
        <v>92</v>
      </c>
      <c r="D54" s="3">
        <v>10</v>
      </c>
      <c r="E54" s="3" t="s">
        <v>13</v>
      </c>
      <c r="F54" s="3">
        <v>0</v>
      </c>
      <c r="G54" s="3">
        <v>480</v>
      </c>
      <c r="H54" s="3">
        <f t="shared" si="0"/>
        <v>0</v>
      </c>
      <c r="I54" s="3">
        <f>SUM(H54:H55)</f>
        <v>615.6</v>
      </c>
      <c r="J54" s="3" t="s">
        <v>14</v>
      </c>
      <c r="K54" s="3" t="s">
        <v>93</v>
      </c>
    </row>
    <row r="55" ht="17.4" spans="1:11">
      <c r="A55" s="4"/>
      <c r="B55" s="4"/>
      <c r="C55" s="4"/>
      <c r="D55" s="4"/>
      <c r="E55" s="3" t="s">
        <v>16</v>
      </c>
      <c r="F55" s="3">
        <v>1.62</v>
      </c>
      <c r="G55" s="3">
        <v>380</v>
      </c>
      <c r="H55" s="3">
        <f t="shared" si="0"/>
        <v>615.6</v>
      </c>
      <c r="I55" s="4"/>
      <c r="J55" s="4"/>
      <c r="K55" s="4"/>
    </row>
    <row r="56" ht="17.4" spans="1:11">
      <c r="A56" s="3">
        <v>28</v>
      </c>
      <c r="B56" s="3" t="s">
        <v>94</v>
      </c>
      <c r="C56" s="3" t="s">
        <v>95</v>
      </c>
      <c r="D56" s="3">
        <v>10</v>
      </c>
      <c r="E56" s="3" t="s">
        <v>13</v>
      </c>
      <c r="F56" s="3">
        <v>0</v>
      </c>
      <c r="G56" s="3">
        <v>480</v>
      </c>
      <c r="H56" s="3">
        <f t="shared" si="0"/>
        <v>0</v>
      </c>
      <c r="I56" s="3">
        <f>SUM(H56:H57)</f>
        <v>501.6</v>
      </c>
      <c r="J56" s="3" t="s">
        <v>14</v>
      </c>
      <c r="K56" s="3" t="s">
        <v>96</v>
      </c>
    </row>
    <row r="57" ht="17.4" spans="1:11">
      <c r="A57" s="4"/>
      <c r="B57" s="4"/>
      <c r="C57" s="4"/>
      <c r="D57" s="4"/>
      <c r="E57" s="3" t="s">
        <v>16</v>
      </c>
      <c r="F57" s="3">
        <v>1.32</v>
      </c>
      <c r="G57" s="3">
        <v>380</v>
      </c>
      <c r="H57" s="3">
        <f t="shared" si="0"/>
        <v>501.6</v>
      </c>
      <c r="I57" s="4"/>
      <c r="J57" s="4"/>
      <c r="K57" s="4"/>
    </row>
    <row r="58" ht="17.4" spans="1:11">
      <c r="A58" s="3">
        <v>29</v>
      </c>
      <c r="B58" s="3" t="s">
        <v>97</v>
      </c>
      <c r="C58" s="3" t="s">
        <v>98</v>
      </c>
      <c r="D58" s="3">
        <v>10</v>
      </c>
      <c r="E58" s="3" t="s">
        <v>13</v>
      </c>
      <c r="F58" s="3">
        <v>0</v>
      </c>
      <c r="G58" s="3">
        <v>480</v>
      </c>
      <c r="H58" s="3">
        <f t="shared" si="0"/>
        <v>0</v>
      </c>
      <c r="I58" s="3">
        <f>SUM(H58:H59)</f>
        <v>323</v>
      </c>
      <c r="J58" s="3" t="s">
        <v>14</v>
      </c>
      <c r="K58" s="3" t="s">
        <v>99</v>
      </c>
    </row>
    <row r="59" ht="17.4" spans="1:11">
      <c r="A59" s="4"/>
      <c r="B59" s="4"/>
      <c r="C59" s="4"/>
      <c r="D59" s="4"/>
      <c r="E59" s="3" t="s">
        <v>16</v>
      </c>
      <c r="F59" s="3">
        <v>0.85</v>
      </c>
      <c r="G59" s="3">
        <v>380</v>
      </c>
      <c r="H59" s="3">
        <f t="shared" si="0"/>
        <v>323</v>
      </c>
      <c r="I59" s="4"/>
      <c r="J59" s="4"/>
      <c r="K59" s="4"/>
    </row>
    <row r="60" ht="17.4" spans="1:11">
      <c r="A60" s="3">
        <v>30</v>
      </c>
      <c r="B60" s="3" t="s">
        <v>100</v>
      </c>
      <c r="C60" s="3" t="s">
        <v>101</v>
      </c>
      <c r="D60" s="3">
        <v>10</v>
      </c>
      <c r="E60" s="3" t="s">
        <v>13</v>
      </c>
      <c r="F60" s="3">
        <v>0</v>
      </c>
      <c r="G60" s="3">
        <v>480</v>
      </c>
      <c r="H60" s="3">
        <f t="shared" si="0"/>
        <v>0</v>
      </c>
      <c r="I60" s="3">
        <f>SUM(H60:H61)</f>
        <v>695.4</v>
      </c>
      <c r="J60" s="3" t="s">
        <v>14</v>
      </c>
      <c r="K60" s="3" t="s">
        <v>102</v>
      </c>
    </row>
    <row r="61" ht="17.4" spans="1:11">
      <c r="A61" s="4"/>
      <c r="B61" s="4"/>
      <c r="C61" s="4"/>
      <c r="D61" s="4"/>
      <c r="E61" s="3" t="s">
        <v>16</v>
      </c>
      <c r="F61" s="3">
        <v>1.83</v>
      </c>
      <c r="G61" s="3">
        <v>380</v>
      </c>
      <c r="H61" s="3">
        <f t="shared" si="0"/>
        <v>695.4</v>
      </c>
      <c r="I61" s="4"/>
      <c r="J61" s="4"/>
      <c r="K61" s="4"/>
    </row>
    <row r="62" ht="17.4" spans="1:11">
      <c r="A62" s="3">
        <v>31</v>
      </c>
      <c r="B62" s="3" t="s">
        <v>103</v>
      </c>
      <c r="C62" s="3" t="s">
        <v>104</v>
      </c>
      <c r="D62" s="3">
        <v>10</v>
      </c>
      <c r="E62" s="3" t="s">
        <v>13</v>
      </c>
      <c r="F62" s="3">
        <v>0</v>
      </c>
      <c r="G62" s="3">
        <v>480</v>
      </c>
      <c r="H62" s="3">
        <f t="shared" si="0"/>
        <v>0</v>
      </c>
      <c r="I62" s="3">
        <f>SUM(H62:H63)</f>
        <v>315.4</v>
      </c>
      <c r="J62" s="3" t="s">
        <v>14</v>
      </c>
      <c r="K62" s="3" t="s">
        <v>105</v>
      </c>
    </row>
    <row r="63" ht="17.4" spans="1:11">
      <c r="A63" s="4"/>
      <c r="B63" s="4"/>
      <c r="C63" s="4"/>
      <c r="D63" s="4"/>
      <c r="E63" s="3" t="s">
        <v>16</v>
      </c>
      <c r="F63" s="3">
        <v>0.83</v>
      </c>
      <c r="G63" s="3">
        <v>380</v>
      </c>
      <c r="H63" s="3">
        <f t="shared" si="0"/>
        <v>315.4</v>
      </c>
      <c r="I63" s="4"/>
      <c r="J63" s="4"/>
      <c r="K63" s="4"/>
    </row>
    <row r="64" ht="17.4" spans="1:11">
      <c r="A64" s="3">
        <v>32</v>
      </c>
      <c r="B64" s="3" t="s">
        <v>106</v>
      </c>
      <c r="C64" s="3" t="s">
        <v>107</v>
      </c>
      <c r="D64" s="3">
        <v>10</v>
      </c>
      <c r="E64" s="3" t="s">
        <v>13</v>
      </c>
      <c r="F64" s="3">
        <v>0</v>
      </c>
      <c r="G64" s="3">
        <v>480</v>
      </c>
      <c r="H64" s="3">
        <f t="shared" si="0"/>
        <v>0</v>
      </c>
      <c r="I64" s="3">
        <f>SUM(H64:H65)</f>
        <v>839.8</v>
      </c>
      <c r="J64" s="3" t="s">
        <v>14</v>
      </c>
      <c r="K64" s="3" t="s">
        <v>108</v>
      </c>
    </row>
    <row r="65" ht="17.4" spans="1:11">
      <c r="A65" s="4"/>
      <c r="B65" s="4"/>
      <c r="C65" s="4"/>
      <c r="D65" s="4"/>
      <c r="E65" s="3" t="s">
        <v>16</v>
      </c>
      <c r="F65" s="3">
        <v>2.21</v>
      </c>
      <c r="G65" s="3">
        <v>380</v>
      </c>
      <c r="H65" s="3">
        <f t="shared" si="0"/>
        <v>839.8</v>
      </c>
      <c r="I65" s="4"/>
      <c r="J65" s="4"/>
      <c r="K65" s="4"/>
    </row>
    <row r="66" ht="17.4" spans="1:11">
      <c r="A66" s="3">
        <v>33</v>
      </c>
      <c r="B66" s="3" t="s">
        <v>109</v>
      </c>
      <c r="C66" s="3" t="s">
        <v>110</v>
      </c>
      <c r="D66" s="3">
        <v>10</v>
      </c>
      <c r="E66" s="3" t="s">
        <v>13</v>
      </c>
      <c r="F66" s="3">
        <v>0</v>
      </c>
      <c r="G66" s="3">
        <v>480</v>
      </c>
      <c r="H66" s="3">
        <f t="shared" ref="H66:H129" si="1">F66*G66</f>
        <v>0</v>
      </c>
      <c r="I66" s="3">
        <f>SUM(H66:H67)</f>
        <v>288.8</v>
      </c>
      <c r="J66" s="3" t="s">
        <v>14</v>
      </c>
      <c r="K66" s="3" t="s">
        <v>111</v>
      </c>
    </row>
    <row r="67" ht="17.4" spans="1:11">
      <c r="A67" s="4"/>
      <c r="B67" s="4"/>
      <c r="C67" s="4"/>
      <c r="D67" s="4"/>
      <c r="E67" s="3" t="s">
        <v>16</v>
      </c>
      <c r="F67" s="3">
        <v>0.76</v>
      </c>
      <c r="G67" s="3">
        <v>380</v>
      </c>
      <c r="H67" s="3">
        <f t="shared" si="1"/>
        <v>288.8</v>
      </c>
      <c r="I67" s="4"/>
      <c r="J67" s="4"/>
      <c r="K67" s="4"/>
    </row>
    <row r="68" ht="17.4" spans="1:11">
      <c r="A68" s="3">
        <v>34</v>
      </c>
      <c r="B68" s="3" t="s">
        <v>112</v>
      </c>
      <c r="C68" s="3" t="s">
        <v>113</v>
      </c>
      <c r="D68" s="3">
        <v>10</v>
      </c>
      <c r="E68" s="3" t="s">
        <v>13</v>
      </c>
      <c r="F68" s="3">
        <v>0</v>
      </c>
      <c r="G68" s="3">
        <v>480</v>
      </c>
      <c r="H68" s="3">
        <f t="shared" si="1"/>
        <v>0</v>
      </c>
      <c r="I68" s="3">
        <f>SUM(H68:H69)</f>
        <v>832.2</v>
      </c>
      <c r="J68" s="3" t="s">
        <v>14</v>
      </c>
      <c r="K68" s="3" t="s">
        <v>114</v>
      </c>
    </row>
    <row r="69" ht="17.4" spans="1:11">
      <c r="A69" s="4"/>
      <c r="B69" s="4"/>
      <c r="C69" s="4"/>
      <c r="D69" s="4"/>
      <c r="E69" s="3" t="s">
        <v>16</v>
      </c>
      <c r="F69" s="3">
        <v>2.19</v>
      </c>
      <c r="G69" s="3">
        <v>380</v>
      </c>
      <c r="H69" s="3">
        <f t="shared" si="1"/>
        <v>832.2</v>
      </c>
      <c r="I69" s="4"/>
      <c r="J69" s="4"/>
      <c r="K69" s="4"/>
    </row>
    <row r="70" ht="17.4" spans="1:11">
      <c r="A70" s="3">
        <v>35</v>
      </c>
      <c r="B70" s="3" t="s">
        <v>115</v>
      </c>
      <c r="C70" s="3" t="s">
        <v>116</v>
      </c>
      <c r="D70" s="3">
        <v>10</v>
      </c>
      <c r="E70" s="3" t="s">
        <v>13</v>
      </c>
      <c r="F70" s="3">
        <v>0</v>
      </c>
      <c r="G70" s="3">
        <v>480</v>
      </c>
      <c r="H70" s="3">
        <f t="shared" si="1"/>
        <v>0</v>
      </c>
      <c r="I70" s="3">
        <f>SUM(H70:H71)</f>
        <v>220.4</v>
      </c>
      <c r="J70" s="3" t="s">
        <v>14</v>
      </c>
      <c r="K70" s="3" t="s">
        <v>117</v>
      </c>
    </row>
    <row r="71" ht="17.4" spans="1:11">
      <c r="A71" s="4"/>
      <c r="B71" s="4"/>
      <c r="C71" s="4"/>
      <c r="D71" s="4"/>
      <c r="E71" s="3" t="s">
        <v>16</v>
      </c>
      <c r="F71" s="3">
        <v>0.58</v>
      </c>
      <c r="G71" s="3">
        <v>380</v>
      </c>
      <c r="H71" s="3">
        <f t="shared" si="1"/>
        <v>220.4</v>
      </c>
      <c r="I71" s="4"/>
      <c r="J71" s="4"/>
      <c r="K71" s="4"/>
    </row>
    <row r="72" ht="17.4" spans="1:11">
      <c r="A72" s="3">
        <v>36</v>
      </c>
      <c r="B72" s="3" t="s">
        <v>118</v>
      </c>
      <c r="C72" s="3" t="s">
        <v>119</v>
      </c>
      <c r="D72" s="3">
        <v>10</v>
      </c>
      <c r="E72" s="3" t="s">
        <v>13</v>
      </c>
      <c r="F72" s="3">
        <v>0</v>
      </c>
      <c r="G72" s="3">
        <v>480</v>
      </c>
      <c r="H72" s="3">
        <f t="shared" si="1"/>
        <v>0</v>
      </c>
      <c r="I72" s="3">
        <f>SUM(H72:H73)</f>
        <v>649.8</v>
      </c>
      <c r="J72" s="3" t="s">
        <v>14</v>
      </c>
      <c r="K72" s="3" t="s">
        <v>120</v>
      </c>
    </row>
    <row r="73" ht="17.4" spans="1:11">
      <c r="A73" s="4"/>
      <c r="B73" s="4"/>
      <c r="C73" s="4"/>
      <c r="D73" s="4"/>
      <c r="E73" s="3" t="s">
        <v>16</v>
      </c>
      <c r="F73" s="3">
        <v>1.71</v>
      </c>
      <c r="G73" s="3">
        <v>380</v>
      </c>
      <c r="H73" s="3">
        <f t="shared" si="1"/>
        <v>649.8</v>
      </c>
      <c r="I73" s="4"/>
      <c r="J73" s="4"/>
      <c r="K73" s="4"/>
    </row>
    <row r="74" ht="17.4" spans="1:11">
      <c r="A74" s="3">
        <v>37</v>
      </c>
      <c r="B74" s="3" t="s">
        <v>121</v>
      </c>
      <c r="C74" s="3" t="s">
        <v>122</v>
      </c>
      <c r="D74" s="3">
        <v>10</v>
      </c>
      <c r="E74" s="3" t="s">
        <v>13</v>
      </c>
      <c r="F74" s="3">
        <v>0</v>
      </c>
      <c r="G74" s="3">
        <v>480</v>
      </c>
      <c r="H74" s="3">
        <f t="shared" si="1"/>
        <v>0</v>
      </c>
      <c r="I74" s="3">
        <f>SUM(H74:H75)</f>
        <v>756.2</v>
      </c>
      <c r="J74" s="3" t="s">
        <v>14</v>
      </c>
      <c r="K74" s="3" t="s">
        <v>123</v>
      </c>
    </row>
    <row r="75" ht="17.4" spans="1:11">
      <c r="A75" s="4"/>
      <c r="B75" s="4"/>
      <c r="C75" s="4"/>
      <c r="D75" s="4"/>
      <c r="E75" s="3" t="s">
        <v>16</v>
      </c>
      <c r="F75" s="3">
        <v>1.99</v>
      </c>
      <c r="G75" s="3">
        <v>380</v>
      </c>
      <c r="H75" s="3">
        <f t="shared" si="1"/>
        <v>756.2</v>
      </c>
      <c r="I75" s="4"/>
      <c r="J75" s="4"/>
      <c r="K75" s="4"/>
    </row>
    <row r="76" ht="17.4" spans="1:11">
      <c r="A76" s="3">
        <v>38</v>
      </c>
      <c r="B76" s="3" t="s">
        <v>124</v>
      </c>
      <c r="C76" s="3" t="s">
        <v>125</v>
      </c>
      <c r="D76" s="3">
        <v>10</v>
      </c>
      <c r="E76" s="3" t="s">
        <v>13</v>
      </c>
      <c r="F76" s="3">
        <v>2.29</v>
      </c>
      <c r="G76" s="3">
        <v>480</v>
      </c>
      <c r="H76" s="3">
        <f t="shared" si="1"/>
        <v>1099.2</v>
      </c>
      <c r="I76" s="3">
        <f>SUM(H76:H77)</f>
        <v>1509.6</v>
      </c>
      <c r="J76" s="3" t="s">
        <v>14</v>
      </c>
      <c r="K76" s="3" t="s">
        <v>126</v>
      </c>
    </row>
    <row r="77" ht="17.4" spans="1:11">
      <c r="A77" s="4"/>
      <c r="B77" s="4"/>
      <c r="C77" s="4"/>
      <c r="D77" s="4"/>
      <c r="E77" s="3" t="s">
        <v>16</v>
      </c>
      <c r="F77" s="3">
        <v>1.08</v>
      </c>
      <c r="G77" s="3">
        <v>380</v>
      </c>
      <c r="H77" s="3">
        <f t="shared" si="1"/>
        <v>410.4</v>
      </c>
      <c r="I77" s="4"/>
      <c r="J77" s="4"/>
      <c r="K77" s="4"/>
    </row>
    <row r="78" ht="17.4" spans="1:11">
      <c r="A78" s="3">
        <v>39</v>
      </c>
      <c r="B78" s="3" t="s">
        <v>127</v>
      </c>
      <c r="C78" s="3" t="s">
        <v>14</v>
      </c>
      <c r="D78" s="3">
        <v>10</v>
      </c>
      <c r="E78" s="3" t="s">
        <v>13</v>
      </c>
      <c r="F78" s="3">
        <v>2.23</v>
      </c>
      <c r="G78" s="3">
        <v>480</v>
      </c>
      <c r="H78" s="3">
        <f t="shared" si="1"/>
        <v>1070.4</v>
      </c>
      <c r="I78" s="3">
        <f>SUM(H78:H79)</f>
        <v>1070.4</v>
      </c>
      <c r="J78" s="3" t="s">
        <v>14</v>
      </c>
      <c r="K78" s="3" t="s">
        <v>128</v>
      </c>
    </row>
    <row r="79" ht="17.4" spans="1:11">
      <c r="A79" s="4"/>
      <c r="B79" s="4"/>
      <c r="C79" s="4"/>
      <c r="D79" s="4"/>
      <c r="E79" s="3" t="s">
        <v>16</v>
      </c>
      <c r="F79" s="3">
        <v>0</v>
      </c>
      <c r="G79" s="3">
        <v>380</v>
      </c>
      <c r="H79" s="3">
        <f t="shared" si="1"/>
        <v>0</v>
      </c>
      <c r="I79" s="4"/>
      <c r="J79" s="4"/>
      <c r="K79" s="4"/>
    </row>
    <row r="80" ht="17.4" spans="1:11">
      <c r="A80" s="3">
        <v>40</v>
      </c>
      <c r="B80" s="3" t="s">
        <v>129</v>
      </c>
      <c r="C80" s="3" t="s">
        <v>14</v>
      </c>
      <c r="D80" s="3">
        <v>10</v>
      </c>
      <c r="E80" s="3" t="s">
        <v>13</v>
      </c>
      <c r="F80" s="3">
        <v>3.05</v>
      </c>
      <c r="G80" s="3">
        <v>480</v>
      </c>
      <c r="H80" s="3">
        <f t="shared" si="1"/>
        <v>1464</v>
      </c>
      <c r="I80" s="3">
        <f>SUM(H80:H81)</f>
        <v>2197.4</v>
      </c>
      <c r="J80" s="3" t="s">
        <v>14</v>
      </c>
      <c r="K80" s="3" t="s">
        <v>128</v>
      </c>
    </row>
    <row r="81" ht="17.4" spans="1:11">
      <c r="A81" s="4"/>
      <c r="B81" s="4"/>
      <c r="C81" s="4"/>
      <c r="D81" s="4"/>
      <c r="E81" s="3" t="s">
        <v>16</v>
      </c>
      <c r="F81" s="3">
        <v>1.93</v>
      </c>
      <c r="G81" s="3">
        <v>380</v>
      </c>
      <c r="H81" s="3">
        <f t="shared" si="1"/>
        <v>733.4</v>
      </c>
      <c r="I81" s="4"/>
      <c r="J81" s="4"/>
      <c r="K81" s="4"/>
    </row>
    <row r="82" ht="17.4" spans="1:11">
      <c r="A82" s="3">
        <v>41</v>
      </c>
      <c r="B82" s="3" t="s">
        <v>130</v>
      </c>
      <c r="C82" s="3" t="s">
        <v>131</v>
      </c>
      <c r="D82" s="3">
        <v>10</v>
      </c>
      <c r="E82" s="3" t="s">
        <v>13</v>
      </c>
      <c r="F82" s="3">
        <v>1.2</v>
      </c>
      <c r="G82" s="3">
        <v>480</v>
      </c>
      <c r="H82" s="3">
        <f t="shared" si="1"/>
        <v>576</v>
      </c>
      <c r="I82" s="3">
        <f>SUM(H82:H83)</f>
        <v>1301.8</v>
      </c>
      <c r="J82" s="3" t="s">
        <v>14</v>
      </c>
      <c r="K82" s="3" t="s">
        <v>132</v>
      </c>
    </row>
    <row r="83" ht="17.4" spans="1:11">
      <c r="A83" s="4"/>
      <c r="B83" s="4"/>
      <c r="C83" s="4"/>
      <c r="D83" s="4"/>
      <c r="E83" s="3" t="s">
        <v>16</v>
      </c>
      <c r="F83" s="3">
        <v>1.91</v>
      </c>
      <c r="G83" s="3">
        <v>380</v>
      </c>
      <c r="H83" s="3">
        <f t="shared" si="1"/>
        <v>725.8</v>
      </c>
      <c r="I83" s="4"/>
      <c r="J83" s="4"/>
      <c r="K83" s="4"/>
    </row>
    <row r="84" ht="17.4" spans="1:11">
      <c r="A84" s="3">
        <v>42</v>
      </c>
      <c r="B84" s="3" t="s">
        <v>133</v>
      </c>
      <c r="C84" s="3" t="s">
        <v>14</v>
      </c>
      <c r="D84" s="3">
        <v>10</v>
      </c>
      <c r="E84" s="3" t="s">
        <v>13</v>
      </c>
      <c r="F84" s="3">
        <v>0.38</v>
      </c>
      <c r="G84" s="3">
        <v>480</v>
      </c>
      <c r="H84" s="3">
        <f t="shared" si="1"/>
        <v>182.4</v>
      </c>
      <c r="I84" s="3">
        <f>SUM(H84:H85)</f>
        <v>858.8</v>
      </c>
      <c r="J84" s="3" t="s">
        <v>14</v>
      </c>
      <c r="K84" s="3" t="s">
        <v>128</v>
      </c>
    </row>
    <row r="85" ht="17.4" spans="1:11">
      <c r="A85" s="4"/>
      <c r="B85" s="4"/>
      <c r="C85" s="4"/>
      <c r="D85" s="4"/>
      <c r="E85" s="3" t="s">
        <v>16</v>
      </c>
      <c r="F85" s="3">
        <v>1.78</v>
      </c>
      <c r="G85" s="3">
        <v>380</v>
      </c>
      <c r="H85" s="3">
        <f t="shared" si="1"/>
        <v>676.4</v>
      </c>
      <c r="I85" s="4"/>
      <c r="J85" s="4"/>
      <c r="K85" s="4"/>
    </row>
    <row r="86" ht="17.4" spans="1:11">
      <c r="A86" s="3">
        <v>43</v>
      </c>
      <c r="B86" s="3" t="s">
        <v>134</v>
      </c>
      <c r="C86" s="3" t="s">
        <v>135</v>
      </c>
      <c r="D86" s="3">
        <v>10</v>
      </c>
      <c r="E86" s="3" t="s">
        <v>13</v>
      </c>
      <c r="F86" s="3">
        <v>0</v>
      </c>
      <c r="G86" s="3">
        <v>480</v>
      </c>
      <c r="H86" s="3">
        <f t="shared" si="1"/>
        <v>0</v>
      </c>
      <c r="I86" s="3">
        <f>SUM(H86:H87)</f>
        <v>634.6</v>
      </c>
      <c r="J86" s="3" t="s">
        <v>14</v>
      </c>
      <c r="K86" s="3" t="s">
        <v>136</v>
      </c>
    </row>
    <row r="87" ht="17.4" spans="1:11">
      <c r="A87" s="4"/>
      <c r="B87" s="4"/>
      <c r="C87" s="4"/>
      <c r="D87" s="4"/>
      <c r="E87" s="3" t="s">
        <v>16</v>
      </c>
      <c r="F87" s="3">
        <v>1.67</v>
      </c>
      <c r="G87" s="3">
        <v>380</v>
      </c>
      <c r="H87" s="3">
        <f t="shared" si="1"/>
        <v>634.6</v>
      </c>
      <c r="I87" s="4"/>
      <c r="J87" s="4"/>
      <c r="K87" s="4"/>
    </row>
    <row r="88" ht="17.4" spans="1:11">
      <c r="A88" s="3">
        <v>44</v>
      </c>
      <c r="B88" s="3" t="s">
        <v>137</v>
      </c>
      <c r="C88" s="3" t="s">
        <v>138</v>
      </c>
      <c r="D88" s="3">
        <v>10</v>
      </c>
      <c r="E88" s="3" t="s">
        <v>13</v>
      </c>
      <c r="F88" s="3">
        <v>0</v>
      </c>
      <c r="G88" s="3">
        <v>480</v>
      </c>
      <c r="H88" s="3">
        <f t="shared" si="1"/>
        <v>0</v>
      </c>
      <c r="I88" s="3">
        <f>SUM(H88:H89)</f>
        <v>478.8</v>
      </c>
      <c r="J88" s="3" t="s">
        <v>14</v>
      </c>
      <c r="K88" s="3" t="s">
        <v>139</v>
      </c>
    </row>
    <row r="89" ht="17.4" spans="1:11">
      <c r="A89" s="4"/>
      <c r="B89" s="4"/>
      <c r="C89" s="4"/>
      <c r="D89" s="4"/>
      <c r="E89" s="3" t="s">
        <v>16</v>
      </c>
      <c r="F89" s="3">
        <v>1.26</v>
      </c>
      <c r="G89" s="3">
        <v>380</v>
      </c>
      <c r="H89" s="3">
        <f t="shared" si="1"/>
        <v>478.8</v>
      </c>
      <c r="I89" s="4"/>
      <c r="J89" s="4"/>
      <c r="K89" s="4"/>
    </row>
    <row r="90" ht="17.4" spans="1:11">
      <c r="A90" s="3">
        <v>45</v>
      </c>
      <c r="B90" s="3" t="s">
        <v>140</v>
      </c>
      <c r="C90" s="3" t="s">
        <v>141</v>
      </c>
      <c r="D90" s="3">
        <v>10</v>
      </c>
      <c r="E90" s="3" t="s">
        <v>13</v>
      </c>
      <c r="F90" s="3">
        <v>0</v>
      </c>
      <c r="G90" s="3">
        <v>480</v>
      </c>
      <c r="H90" s="3">
        <f t="shared" si="1"/>
        <v>0</v>
      </c>
      <c r="I90" s="3">
        <f>SUM(H90:H91)</f>
        <v>767.6</v>
      </c>
      <c r="J90" s="3" t="s">
        <v>14</v>
      </c>
      <c r="K90" s="3" t="s">
        <v>142</v>
      </c>
    </row>
    <row r="91" ht="17.4" spans="1:11">
      <c r="A91" s="4"/>
      <c r="B91" s="4"/>
      <c r="C91" s="4"/>
      <c r="D91" s="4"/>
      <c r="E91" s="3" t="s">
        <v>16</v>
      </c>
      <c r="F91" s="3">
        <v>2.02</v>
      </c>
      <c r="G91" s="3">
        <v>380</v>
      </c>
      <c r="H91" s="3">
        <f t="shared" si="1"/>
        <v>767.6</v>
      </c>
      <c r="I91" s="4"/>
      <c r="J91" s="4"/>
      <c r="K91" s="4"/>
    </row>
    <row r="92" ht="17.4" spans="1:11">
      <c r="A92" s="3">
        <v>46</v>
      </c>
      <c r="B92" s="3" t="s">
        <v>143</v>
      </c>
      <c r="C92" s="3" t="s">
        <v>144</v>
      </c>
      <c r="D92" s="3">
        <v>10</v>
      </c>
      <c r="E92" s="3" t="s">
        <v>13</v>
      </c>
      <c r="F92" s="3">
        <v>0.05</v>
      </c>
      <c r="G92" s="3">
        <v>480</v>
      </c>
      <c r="H92" s="3">
        <f t="shared" si="1"/>
        <v>24</v>
      </c>
      <c r="I92" s="3">
        <f>SUM(H92:H93)</f>
        <v>145.6</v>
      </c>
      <c r="J92" s="3" t="s">
        <v>14</v>
      </c>
      <c r="K92" s="3" t="s">
        <v>145</v>
      </c>
    </row>
    <row r="93" ht="17.4" spans="1:11">
      <c r="A93" s="4"/>
      <c r="B93" s="4"/>
      <c r="C93" s="4"/>
      <c r="D93" s="4"/>
      <c r="E93" s="3" t="s">
        <v>16</v>
      </c>
      <c r="F93" s="3">
        <v>0.32</v>
      </c>
      <c r="G93" s="3">
        <v>380</v>
      </c>
      <c r="H93" s="3">
        <f t="shared" si="1"/>
        <v>121.6</v>
      </c>
      <c r="I93" s="4"/>
      <c r="J93" s="4"/>
      <c r="K93" s="4"/>
    </row>
    <row r="94" ht="17.4" spans="1:11">
      <c r="A94" s="3">
        <v>47</v>
      </c>
      <c r="B94" s="3" t="s">
        <v>146</v>
      </c>
      <c r="C94" s="3" t="s">
        <v>147</v>
      </c>
      <c r="D94" s="3">
        <v>10</v>
      </c>
      <c r="E94" s="3" t="s">
        <v>13</v>
      </c>
      <c r="F94" s="3">
        <v>0.69</v>
      </c>
      <c r="G94" s="3">
        <v>380</v>
      </c>
      <c r="H94" s="3">
        <f t="shared" si="1"/>
        <v>262.2</v>
      </c>
      <c r="I94" s="3">
        <f>SUM(H94:H95)</f>
        <v>262.2</v>
      </c>
      <c r="J94" s="3" t="s">
        <v>14</v>
      </c>
      <c r="K94" s="3" t="s">
        <v>148</v>
      </c>
    </row>
    <row r="95" ht="17.4" spans="1:11">
      <c r="A95" s="4"/>
      <c r="B95" s="4"/>
      <c r="C95" s="4"/>
      <c r="D95" s="4"/>
      <c r="E95" s="3" t="s">
        <v>16</v>
      </c>
      <c r="F95" s="3">
        <v>0</v>
      </c>
      <c r="G95" s="3">
        <v>380</v>
      </c>
      <c r="H95" s="3">
        <f t="shared" si="1"/>
        <v>0</v>
      </c>
      <c r="I95" s="4"/>
      <c r="J95" s="4"/>
      <c r="K95" s="4"/>
    </row>
    <row r="96" ht="17.4" spans="1:11">
      <c r="A96" s="3">
        <v>48</v>
      </c>
      <c r="B96" s="3" t="s">
        <v>149</v>
      </c>
      <c r="C96" s="3" t="s">
        <v>14</v>
      </c>
      <c r="D96" s="3">
        <v>10</v>
      </c>
      <c r="E96" s="3" t="s">
        <v>13</v>
      </c>
      <c r="F96" s="3">
        <v>1.14</v>
      </c>
      <c r="G96" s="3">
        <v>480</v>
      </c>
      <c r="H96" s="3">
        <f t="shared" si="1"/>
        <v>547.2</v>
      </c>
      <c r="I96" s="3">
        <f>SUM(H96:H97)</f>
        <v>547.2</v>
      </c>
      <c r="J96" s="3" t="s">
        <v>14</v>
      </c>
      <c r="K96" s="3" t="s">
        <v>128</v>
      </c>
    </row>
    <row r="97" ht="17.4" spans="1:11">
      <c r="A97" s="4"/>
      <c r="B97" s="4"/>
      <c r="C97" s="4"/>
      <c r="D97" s="4"/>
      <c r="E97" s="3" t="s">
        <v>16</v>
      </c>
      <c r="F97" s="3">
        <v>0</v>
      </c>
      <c r="G97" s="3">
        <v>380</v>
      </c>
      <c r="H97" s="3">
        <f t="shared" si="1"/>
        <v>0</v>
      </c>
      <c r="I97" s="4"/>
      <c r="J97" s="4"/>
      <c r="K97" s="4"/>
    </row>
    <row r="98" ht="17.4" spans="1:11">
      <c r="A98" s="3">
        <v>49</v>
      </c>
      <c r="B98" s="3" t="s">
        <v>150</v>
      </c>
      <c r="C98" s="3" t="s">
        <v>151</v>
      </c>
      <c r="D98" s="3">
        <v>10</v>
      </c>
      <c r="E98" s="3" t="s">
        <v>13</v>
      </c>
      <c r="F98" s="3">
        <v>0</v>
      </c>
      <c r="G98" s="3">
        <v>480</v>
      </c>
      <c r="H98" s="3">
        <f t="shared" si="1"/>
        <v>0</v>
      </c>
      <c r="I98" s="3">
        <f>SUM(H98:H99)</f>
        <v>725.8</v>
      </c>
      <c r="J98" s="3" t="s">
        <v>14</v>
      </c>
      <c r="K98" s="3" t="s">
        <v>152</v>
      </c>
    </row>
    <row r="99" ht="17.4" spans="1:11">
      <c r="A99" s="4"/>
      <c r="B99" s="4"/>
      <c r="C99" s="4"/>
      <c r="D99" s="4"/>
      <c r="E99" s="3" t="s">
        <v>16</v>
      </c>
      <c r="F99" s="3">
        <v>1.91</v>
      </c>
      <c r="G99" s="3">
        <v>380</v>
      </c>
      <c r="H99" s="3">
        <f t="shared" si="1"/>
        <v>725.8</v>
      </c>
      <c r="I99" s="4"/>
      <c r="J99" s="4"/>
      <c r="K99" s="4"/>
    </row>
    <row r="100" ht="17.4" spans="1:11">
      <c r="A100" s="3">
        <v>50</v>
      </c>
      <c r="B100" s="3" t="s">
        <v>153</v>
      </c>
      <c r="C100" s="3" t="s">
        <v>154</v>
      </c>
      <c r="D100" s="3">
        <v>10</v>
      </c>
      <c r="E100" s="3" t="s">
        <v>13</v>
      </c>
      <c r="F100" s="3">
        <v>0</v>
      </c>
      <c r="G100" s="3">
        <v>480</v>
      </c>
      <c r="H100" s="3">
        <f t="shared" si="1"/>
        <v>0</v>
      </c>
      <c r="I100" s="3">
        <f>SUM(H100:H101)</f>
        <v>676.4</v>
      </c>
      <c r="J100" s="3" t="s">
        <v>14</v>
      </c>
      <c r="K100" s="3" t="s">
        <v>155</v>
      </c>
    </row>
    <row r="101" ht="17.4" spans="1:11">
      <c r="A101" s="4"/>
      <c r="B101" s="4"/>
      <c r="C101" s="4"/>
      <c r="D101" s="4"/>
      <c r="E101" s="3" t="s">
        <v>16</v>
      </c>
      <c r="F101" s="3">
        <v>1.78</v>
      </c>
      <c r="G101" s="3">
        <v>380</v>
      </c>
      <c r="H101" s="3">
        <f t="shared" si="1"/>
        <v>676.4</v>
      </c>
      <c r="I101" s="4"/>
      <c r="J101" s="4"/>
      <c r="K101" s="4"/>
    </row>
    <row r="102" ht="17.4" spans="1:11">
      <c r="A102" s="3">
        <v>51</v>
      </c>
      <c r="B102" s="3" t="s">
        <v>156</v>
      </c>
      <c r="C102" s="3" t="s">
        <v>157</v>
      </c>
      <c r="D102" s="3">
        <v>10</v>
      </c>
      <c r="E102" s="3" t="s">
        <v>13</v>
      </c>
      <c r="F102" s="3">
        <v>1.645</v>
      </c>
      <c r="G102" s="3">
        <v>480</v>
      </c>
      <c r="H102" s="3">
        <f t="shared" si="1"/>
        <v>789.6</v>
      </c>
      <c r="I102" s="3">
        <f>SUM(H102:H103)</f>
        <v>1141.1</v>
      </c>
      <c r="J102" s="3" t="s">
        <v>14</v>
      </c>
      <c r="K102" s="3" t="s">
        <v>158</v>
      </c>
    </row>
    <row r="103" ht="17.4" spans="1:11">
      <c r="A103" s="4"/>
      <c r="B103" s="4"/>
      <c r="C103" s="4"/>
      <c r="D103" s="4"/>
      <c r="E103" s="3" t="s">
        <v>16</v>
      </c>
      <c r="F103" s="3">
        <v>0.925</v>
      </c>
      <c r="G103" s="3">
        <v>380</v>
      </c>
      <c r="H103" s="3">
        <f t="shared" si="1"/>
        <v>351.5</v>
      </c>
      <c r="I103" s="4"/>
      <c r="J103" s="4"/>
      <c r="K103" s="4"/>
    </row>
    <row r="104" ht="17.4" spans="1:11">
      <c r="A104" s="3">
        <v>52</v>
      </c>
      <c r="B104" s="3" t="s">
        <v>159</v>
      </c>
      <c r="C104" s="3" t="s">
        <v>160</v>
      </c>
      <c r="D104" s="3">
        <v>10</v>
      </c>
      <c r="E104" s="3" t="s">
        <v>13</v>
      </c>
      <c r="F104" s="3">
        <v>0.34</v>
      </c>
      <c r="G104" s="3">
        <v>480</v>
      </c>
      <c r="H104" s="3">
        <f t="shared" si="1"/>
        <v>163.2</v>
      </c>
      <c r="I104" s="3">
        <f>SUM(H104:H105)</f>
        <v>275.3</v>
      </c>
      <c r="J104" s="3" t="s">
        <v>14</v>
      </c>
      <c r="K104" s="3" t="s">
        <v>161</v>
      </c>
    </row>
    <row r="105" ht="17.4" spans="1:11">
      <c r="A105" s="4"/>
      <c r="B105" s="4"/>
      <c r="C105" s="4"/>
      <c r="D105" s="4"/>
      <c r="E105" s="3" t="s">
        <v>16</v>
      </c>
      <c r="F105" s="3">
        <v>0.295</v>
      </c>
      <c r="G105" s="3">
        <v>380</v>
      </c>
      <c r="H105" s="3">
        <f t="shared" si="1"/>
        <v>112.1</v>
      </c>
      <c r="I105" s="4"/>
      <c r="J105" s="4"/>
      <c r="K105" s="4"/>
    </row>
    <row r="106" ht="17.4" spans="1:11">
      <c r="A106" s="3">
        <v>53</v>
      </c>
      <c r="B106" s="3" t="s">
        <v>162</v>
      </c>
      <c r="C106" s="3" t="s">
        <v>163</v>
      </c>
      <c r="D106" s="3">
        <v>10</v>
      </c>
      <c r="E106" s="3" t="s">
        <v>13</v>
      </c>
      <c r="F106" s="3">
        <v>0.34</v>
      </c>
      <c r="G106" s="3">
        <v>480</v>
      </c>
      <c r="H106" s="3">
        <f t="shared" si="1"/>
        <v>163.2</v>
      </c>
      <c r="I106" s="3">
        <f>SUM(H106:H107)</f>
        <v>292.4</v>
      </c>
      <c r="J106" s="3" t="s">
        <v>14</v>
      </c>
      <c r="K106" s="3" t="s">
        <v>164</v>
      </c>
    </row>
    <row r="107" ht="17.4" spans="1:11">
      <c r="A107" s="4"/>
      <c r="B107" s="4"/>
      <c r="C107" s="4"/>
      <c r="D107" s="4"/>
      <c r="E107" s="3" t="s">
        <v>16</v>
      </c>
      <c r="F107" s="3">
        <v>0.34</v>
      </c>
      <c r="G107" s="3">
        <v>380</v>
      </c>
      <c r="H107" s="3">
        <f t="shared" si="1"/>
        <v>129.2</v>
      </c>
      <c r="I107" s="4"/>
      <c r="J107" s="4"/>
      <c r="K107" s="4"/>
    </row>
    <row r="108" ht="17.4" spans="1:11">
      <c r="A108" s="3">
        <v>54</v>
      </c>
      <c r="B108" s="3" t="s">
        <v>165</v>
      </c>
      <c r="C108" s="3" t="s">
        <v>166</v>
      </c>
      <c r="D108" s="3">
        <v>10</v>
      </c>
      <c r="E108" s="3" t="s">
        <v>13</v>
      </c>
      <c r="F108" s="3">
        <v>0</v>
      </c>
      <c r="G108" s="3">
        <v>480</v>
      </c>
      <c r="H108" s="3">
        <f t="shared" si="1"/>
        <v>0</v>
      </c>
      <c r="I108" s="3">
        <f>SUM(H108:H109)</f>
        <v>490.2</v>
      </c>
      <c r="J108" s="3" t="s">
        <v>14</v>
      </c>
      <c r="K108" s="3" t="s">
        <v>167</v>
      </c>
    </row>
    <row r="109" ht="17.4" spans="1:11">
      <c r="A109" s="4"/>
      <c r="B109" s="4"/>
      <c r="C109" s="4"/>
      <c r="D109" s="4"/>
      <c r="E109" s="3" t="s">
        <v>16</v>
      </c>
      <c r="F109" s="3">
        <v>1.29</v>
      </c>
      <c r="G109" s="3">
        <v>380</v>
      </c>
      <c r="H109" s="3">
        <f t="shared" si="1"/>
        <v>490.2</v>
      </c>
      <c r="I109" s="4"/>
      <c r="J109" s="4"/>
      <c r="K109" s="4"/>
    </row>
    <row r="110" ht="17.4" spans="1:11">
      <c r="A110" s="3">
        <v>55</v>
      </c>
      <c r="B110" s="3" t="s">
        <v>168</v>
      </c>
      <c r="C110" s="3" t="s">
        <v>169</v>
      </c>
      <c r="D110" s="3">
        <v>10</v>
      </c>
      <c r="E110" s="3" t="s">
        <v>13</v>
      </c>
      <c r="F110" s="3">
        <v>0.56</v>
      </c>
      <c r="G110" s="3">
        <v>480</v>
      </c>
      <c r="H110" s="3">
        <f t="shared" si="1"/>
        <v>268.8</v>
      </c>
      <c r="I110" s="3">
        <f>SUM(H110:H111)</f>
        <v>2947.8</v>
      </c>
      <c r="J110" s="3" t="s">
        <v>14</v>
      </c>
      <c r="K110" s="3" t="s">
        <v>170</v>
      </c>
    </row>
    <row r="111" ht="17.4" spans="1:11">
      <c r="A111" s="4"/>
      <c r="B111" s="4"/>
      <c r="C111" s="4"/>
      <c r="D111" s="4"/>
      <c r="E111" s="3" t="s">
        <v>16</v>
      </c>
      <c r="F111" s="3">
        <v>7.05</v>
      </c>
      <c r="G111" s="3">
        <v>380</v>
      </c>
      <c r="H111" s="3">
        <f t="shared" si="1"/>
        <v>2679</v>
      </c>
      <c r="I111" s="4"/>
      <c r="J111" s="4"/>
      <c r="K111" s="4"/>
    </row>
    <row r="112" ht="17.4" spans="1:11">
      <c r="A112" s="3">
        <v>56</v>
      </c>
      <c r="B112" s="3" t="s">
        <v>171</v>
      </c>
      <c r="C112" s="3" t="s">
        <v>14</v>
      </c>
      <c r="D112" s="3">
        <v>10</v>
      </c>
      <c r="E112" s="3" t="s">
        <v>13</v>
      </c>
      <c r="F112" s="3">
        <v>0</v>
      </c>
      <c r="G112" s="3">
        <v>480</v>
      </c>
      <c r="H112" s="3">
        <f t="shared" si="1"/>
        <v>0</v>
      </c>
      <c r="I112" s="3">
        <f>SUM(H112:H113)</f>
        <v>657.4</v>
      </c>
      <c r="J112" s="3" t="s">
        <v>14</v>
      </c>
      <c r="K112" s="3" t="s">
        <v>128</v>
      </c>
    </row>
    <row r="113" ht="17.4" spans="1:11">
      <c r="A113" s="4"/>
      <c r="B113" s="4"/>
      <c r="C113" s="4"/>
      <c r="D113" s="4"/>
      <c r="E113" s="3" t="s">
        <v>16</v>
      </c>
      <c r="F113" s="3">
        <v>1.73</v>
      </c>
      <c r="G113" s="3">
        <v>380</v>
      </c>
      <c r="H113" s="3">
        <f t="shared" si="1"/>
        <v>657.4</v>
      </c>
      <c r="I113" s="4"/>
      <c r="J113" s="4"/>
      <c r="K113" s="4"/>
    </row>
    <row r="114" ht="17.4" spans="1:11">
      <c r="A114" s="3">
        <v>57</v>
      </c>
      <c r="B114" s="3" t="s">
        <v>172</v>
      </c>
      <c r="C114" s="3" t="s">
        <v>14</v>
      </c>
      <c r="D114" s="3">
        <v>10</v>
      </c>
      <c r="E114" s="3" t="s">
        <v>13</v>
      </c>
      <c r="F114" s="3">
        <v>2.76</v>
      </c>
      <c r="G114" s="3">
        <v>480</v>
      </c>
      <c r="H114" s="3">
        <f t="shared" si="1"/>
        <v>1324.8</v>
      </c>
      <c r="I114" s="3">
        <f>SUM(H114:H115)</f>
        <v>1324.8</v>
      </c>
      <c r="J114" s="3" t="s">
        <v>14</v>
      </c>
      <c r="K114" s="3" t="s">
        <v>128</v>
      </c>
    </row>
    <row r="115" ht="17.4" spans="1:11">
      <c r="A115" s="4"/>
      <c r="B115" s="4"/>
      <c r="C115" s="4"/>
      <c r="D115" s="4"/>
      <c r="E115" s="3" t="s">
        <v>16</v>
      </c>
      <c r="F115" s="3">
        <v>0</v>
      </c>
      <c r="G115" s="3">
        <v>380</v>
      </c>
      <c r="H115" s="3">
        <f t="shared" si="1"/>
        <v>0</v>
      </c>
      <c r="I115" s="4"/>
      <c r="J115" s="4"/>
      <c r="K115" s="4"/>
    </row>
    <row r="116" ht="17.4" spans="1:11">
      <c r="A116" s="3">
        <v>58</v>
      </c>
      <c r="B116" s="3" t="s">
        <v>173</v>
      </c>
      <c r="C116" s="3" t="s">
        <v>174</v>
      </c>
      <c r="D116" s="3">
        <v>10</v>
      </c>
      <c r="E116" s="3" t="s">
        <v>13</v>
      </c>
      <c r="F116" s="3">
        <v>0</v>
      </c>
      <c r="G116" s="3">
        <v>480</v>
      </c>
      <c r="H116" s="3">
        <f t="shared" si="1"/>
        <v>0</v>
      </c>
      <c r="I116" s="3">
        <f>SUM(H116:H117)</f>
        <v>1064</v>
      </c>
      <c r="J116" s="3" t="s">
        <v>14</v>
      </c>
      <c r="K116" s="3" t="s">
        <v>132</v>
      </c>
    </row>
    <row r="117" ht="17.4" spans="1:11">
      <c r="A117" s="4"/>
      <c r="B117" s="4"/>
      <c r="C117" s="4"/>
      <c r="D117" s="4"/>
      <c r="E117" s="3" t="s">
        <v>16</v>
      </c>
      <c r="F117" s="3">
        <v>2.8</v>
      </c>
      <c r="G117" s="3">
        <v>380</v>
      </c>
      <c r="H117" s="3">
        <f t="shared" si="1"/>
        <v>1064</v>
      </c>
      <c r="I117" s="4"/>
      <c r="J117" s="4"/>
      <c r="K117" s="4"/>
    </row>
    <row r="118" ht="17.4" spans="1:11">
      <c r="A118" s="3">
        <v>59</v>
      </c>
      <c r="B118" s="3" t="s">
        <v>175</v>
      </c>
      <c r="C118" s="3" t="s">
        <v>176</v>
      </c>
      <c r="D118" s="3">
        <v>10</v>
      </c>
      <c r="E118" s="3" t="s">
        <v>13</v>
      </c>
      <c r="F118" s="3">
        <v>0.395</v>
      </c>
      <c r="G118" s="3">
        <v>480</v>
      </c>
      <c r="H118" s="3">
        <f t="shared" si="1"/>
        <v>189.6</v>
      </c>
      <c r="I118" s="3">
        <f>SUM(H118:H119)</f>
        <v>337.8</v>
      </c>
      <c r="J118" s="3" t="s">
        <v>14</v>
      </c>
      <c r="K118" s="3" t="s">
        <v>177</v>
      </c>
    </row>
    <row r="119" ht="17.4" spans="1:11">
      <c r="A119" s="4"/>
      <c r="B119" s="4"/>
      <c r="C119" s="4"/>
      <c r="D119" s="4"/>
      <c r="E119" s="3" t="s">
        <v>16</v>
      </c>
      <c r="F119" s="3">
        <v>0.39</v>
      </c>
      <c r="G119" s="3">
        <v>380</v>
      </c>
      <c r="H119" s="3">
        <f t="shared" si="1"/>
        <v>148.2</v>
      </c>
      <c r="I119" s="4"/>
      <c r="J119" s="4"/>
      <c r="K119" s="4"/>
    </row>
    <row r="120" ht="17.4" spans="1:11">
      <c r="A120" s="3">
        <v>60</v>
      </c>
      <c r="B120" s="3" t="s">
        <v>178</v>
      </c>
      <c r="C120" s="3" t="s">
        <v>179</v>
      </c>
      <c r="D120" s="3">
        <v>10</v>
      </c>
      <c r="E120" s="3" t="s">
        <v>13</v>
      </c>
      <c r="F120" s="3">
        <v>0</v>
      </c>
      <c r="G120" s="3">
        <v>480</v>
      </c>
      <c r="H120" s="3">
        <f t="shared" si="1"/>
        <v>0</v>
      </c>
      <c r="I120" s="3">
        <f>SUM(H120:H121)</f>
        <v>245.1</v>
      </c>
      <c r="J120" s="3" t="s">
        <v>14</v>
      </c>
      <c r="K120" s="3" t="s">
        <v>180</v>
      </c>
    </row>
    <row r="121" ht="17.4" spans="1:11">
      <c r="A121" s="4"/>
      <c r="B121" s="4"/>
      <c r="C121" s="4"/>
      <c r="D121" s="4"/>
      <c r="E121" s="3" t="s">
        <v>16</v>
      </c>
      <c r="F121" s="3">
        <v>0.645</v>
      </c>
      <c r="G121" s="3">
        <v>380</v>
      </c>
      <c r="H121" s="3">
        <f t="shared" si="1"/>
        <v>245.1</v>
      </c>
      <c r="I121" s="4"/>
      <c r="J121" s="4"/>
      <c r="K121" s="4"/>
    </row>
    <row r="122" ht="17.4" spans="1:11">
      <c r="A122" s="3">
        <v>61</v>
      </c>
      <c r="B122" s="3" t="s">
        <v>181</v>
      </c>
      <c r="C122" s="3" t="s">
        <v>182</v>
      </c>
      <c r="D122" s="3">
        <v>10</v>
      </c>
      <c r="E122" s="3" t="s">
        <v>13</v>
      </c>
      <c r="F122" s="3">
        <v>1.14</v>
      </c>
      <c r="G122" s="3">
        <v>480</v>
      </c>
      <c r="H122" s="3">
        <f t="shared" si="1"/>
        <v>547.2</v>
      </c>
      <c r="I122" s="3">
        <f>SUM(H122:H123)</f>
        <v>547.2</v>
      </c>
      <c r="J122" s="3" t="s">
        <v>14</v>
      </c>
      <c r="K122" s="3" t="s">
        <v>183</v>
      </c>
    </row>
    <row r="123" ht="17.4" spans="1:11">
      <c r="A123" s="4"/>
      <c r="B123" s="4"/>
      <c r="C123" s="4"/>
      <c r="D123" s="4"/>
      <c r="E123" s="3" t="s">
        <v>16</v>
      </c>
      <c r="F123" s="3">
        <v>0</v>
      </c>
      <c r="G123" s="3">
        <v>380</v>
      </c>
      <c r="H123" s="3">
        <f t="shared" si="1"/>
        <v>0</v>
      </c>
      <c r="I123" s="4"/>
      <c r="J123" s="4"/>
      <c r="K123" s="4"/>
    </row>
    <row r="124" ht="17.4" spans="1:11">
      <c r="A124" s="3">
        <v>62</v>
      </c>
      <c r="B124" s="3" t="s">
        <v>184</v>
      </c>
      <c r="C124" s="3" t="s">
        <v>185</v>
      </c>
      <c r="D124" s="3">
        <v>10</v>
      </c>
      <c r="E124" s="3" t="s">
        <v>13</v>
      </c>
      <c r="F124" s="3">
        <v>0.375</v>
      </c>
      <c r="G124" s="3">
        <v>480</v>
      </c>
      <c r="H124" s="3">
        <f t="shared" si="1"/>
        <v>180</v>
      </c>
      <c r="I124" s="3">
        <f>SUM(H124:H125)</f>
        <v>674</v>
      </c>
      <c r="J124" s="3" t="s">
        <v>14</v>
      </c>
      <c r="K124" s="3" t="s">
        <v>186</v>
      </c>
    </row>
    <row r="125" ht="17.4" spans="1:11">
      <c r="A125" s="4"/>
      <c r="B125" s="4"/>
      <c r="C125" s="4"/>
      <c r="D125" s="4"/>
      <c r="E125" s="3" t="s">
        <v>16</v>
      </c>
      <c r="F125" s="3">
        <v>1.3</v>
      </c>
      <c r="G125" s="3">
        <v>380</v>
      </c>
      <c r="H125" s="3">
        <f t="shared" si="1"/>
        <v>494</v>
      </c>
      <c r="I125" s="4"/>
      <c r="J125" s="4"/>
      <c r="K125" s="4"/>
    </row>
    <row r="126" ht="17.4" spans="1:11">
      <c r="A126" s="3">
        <v>63</v>
      </c>
      <c r="B126" s="3" t="s">
        <v>187</v>
      </c>
      <c r="C126" s="3" t="s">
        <v>188</v>
      </c>
      <c r="D126" s="3">
        <v>10</v>
      </c>
      <c r="E126" s="3" t="s">
        <v>13</v>
      </c>
      <c r="F126" s="3">
        <v>0</v>
      </c>
      <c r="G126" s="3">
        <v>480</v>
      </c>
      <c r="H126" s="3">
        <f t="shared" si="1"/>
        <v>0</v>
      </c>
      <c r="I126" s="3">
        <f>SUM(H126:H127)</f>
        <v>862.6</v>
      </c>
      <c r="J126" s="3" t="s">
        <v>14</v>
      </c>
      <c r="K126" s="3" t="s">
        <v>189</v>
      </c>
    </row>
    <row r="127" ht="17.4" spans="1:11">
      <c r="A127" s="4"/>
      <c r="B127" s="4"/>
      <c r="C127" s="4"/>
      <c r="D127" s="4"/>
      <c r="E127" s="3" t="s">
        <v>16</v>
      </c>
      <c r="F127" s="3">
        <v>2.27</v>
      </c>
      <c r="G127" s="3">
        <v>380</v>
      </c>
      <c r="H127" s="3">
        <f t="shared" si="1"/>
        <v>862.6</v>
      </c>
      <c r="I127" s="4"/>
      <c r="J127" s="4"/>
      <c r="K127" s="4"/>
    </row>
    <row r="128" ht="17.4" spans="1:11">
      <c r="A128" s="3">
        <v>64</v>
      </c>
      <c r="B128" s="3" t="s">
        <v>190</v>
      </c>
      <c r="C128" s="3" t="s">
        <v>191</v>
      </c>
      <c r="D128" s="3">
        <v>10</v>
      </c>
      <c r="E128" s="3" t="s">
        <v>13</v>
      </c>
      <c r="F128" s="3">
        <v>0.07</v>
      </c>
      <c r="G128" s="3">
        <v>480</v>
      </c>
      <c r="H128" s="3">
        <f t="shared" si="1"/>
        <v>33.6</v>
      </c>
      <c r="I128" s="3">
        <f>SUM(H128:H129)</f>
        <v>303.4</v>
      </c>
      <c r="J128" s="3" t="s">
        <v>14</v>
      </c>
      <c r="K128" s="3" t="s">
        <v>192</v>
      </c>
    </row>
    <row r="129" ht="17.4" spans="1:11">
      <c r="A129" s="4"/>
      <c r="B129" s="4"/>
      <c r="C129" s="4"/>
      <c r="D129" s="4"/>
      <c r="E129" s="3" t="s">
        <v>16</v>
      </c>
      <c r="F129" s="3">
        <v>0.71</v>
      </c>
      <c r="G129" s="3">
        <v>380</v>
      </c>
      <c r="H129" s="3">
        <f t="shared" si="1"/>
        <v>269.8</v>
      </c>
      <c r="I129" s="4"/>
      <c r="J129" s="4"/>
      <c r="K129" s="4"/>
    </row>
    <row r="130" ht="17.4" spans="1:11">
      <c r="A130" s="3">
        <v>65</v>
      </c>
      <c r="B130" s="3" t="s">
        <v>193</v>
      </c>
      <c r="C130" s="3" t="s">
        <v>194</v>
      </c>
      <c r="D130" s="3">
        <v>10</v>
      </c>
      <c r="E130" s="3" t="s">
        <v>13</v>
      </c>
      <c r="F130" s="3">
        <v>0</v>
      </c>
      <c r="G130" s="3">
        <v>480</v>
      </c>
      <c r="H130" s="3">
        <f t="shared" ref="H130:H161" si="2">F130*G130</f>
        <v>0</v>
      </c>
      <c r="I130" s="3">
        <f>SUM(H130:H131)</f>
        <v>684</v>
      </c>
      <c r="J130" s="3" t="s">
        <v>14</v>
      </c>
      <c r="K130" s="3" t="s">
        <v>195</v>
      </c>
    </row>
    <row r="131" ht="17.4" spans="1:11">
      <c r="A131" s="4"/>
      <c r="B131" s="4"/>
      <c r="C131" s="4"/>
      <c r="D131" s="4"/>
      <c r="E131" s="3" t="s">
        <v>16</v>
      </c>
      <c r="F131" s="3">
        <v>1.8</v>
      </c>
      <c r="G131" s="3">
        <v>380</v>
      </c>
      <c r="H131" s="3">
        <f t="shared" si="2"/>
        <v>684</v>
      </c>
      <c r="I131" s="4"/>
      <c r="J131" s="4"/>
      <c r="K131" s="4"/>
    </row>
    <row r="132" ht="17.4" spans="1:11">
      <c r="A132" s="3">
        <v>66</v>
      </c>
      <c r="B132" s="3" t="s">
        <v>196</v>
      </c>
      <c r="C132" s="3" t="s">
        <v>197</v>
      </c>
      <c r="D132" s="3">
        <v>10</v>
      </c>
      <c r="E132" s="3" t="s">
        <v>13</v>
      </c>
      <c r="F132" s="3">
        <v>1.32</v>
      </c>
      <c r="G132" s="3">
        <v>480</v>
      </c>
      <c r="H132" s="3">
        <f t="shared" si="2"/>
        <v>633.6</v>
      </c>
      <c r="I132" s="3">
        <f>SUM(H132:H133)</f>
        <v>724.8</v>
      </c>
      <c r="J132" s="3" t="s">
        <v>14</v>
      </c>
      <c r="K132" s="3" t="s">
        <v>198</v>
      </c>
    </row>
    <row r="133" ht="17.4" spans="1:11">
      <c r="A133" s="4"/>
      <c r="B133" s="4"/>
      <c r="C133" s="4"/>
      <c r="D133" s="4"/>
      <c r="E133" s="3" t="s">
        <v>16</v>
      </c>
      <c r="F133" s="3">
        <v>0.24</v>
      </c>
      <c r="G133" s="3">
        <v>380</v>
      </c>
      <c r="H133" s="3">
        <f t="shared" si="2"/>
        <v>91.2</v>
      </c>
      <c r="I133" s="4"/>
      <c r="J133" s="4"/>
      <c r="K133" s="4"/>
    </row>
    <row r="134" ht="17.4" spans="1:11">
      <c r="A134" s="3">
        <v>67</v>
      </c>
      <c r="B134" s="3" t="s">
        <v>199</v>
      </c>
      <c r="C134" s="3" t="s">
        <v>200</v>
      </c>
      <c r="D134" s="3">
        <v>10</v>
      </c>
      <c r="E134" s="3" t="s">
        <v>13</v>
      </c>
      <c r="F134" s="3">
        <v>0.72</v>
      </c>
      <c r="G134" s="3">
        <v>480</v>
      </c>
      <c r="H134" s="3">
        <f t="shared" si="2"/>
        <v>345.6</v>
      </c>
      <c r="I134" s="3">
        <f>SUM(H134:H135)</f>
        <v>364.6</v>
      </c>
      <c r="J134" s="3" t="s">
        <v>14</v>
      </c>
      <c r="K134" s="3" t="s">
        <v>201</v>
      </c>
    </row>
    <row r="135" ht="17.4" spans="1:11">
      <c r="A135" s="4"/>
      <c r="B135" s="4"/>
      <c r="C135" s="4"/>
      <c r="D135" s="4"/>
      <c r="E135" s="3" t="s">
        <v>16</v>
      </c>
      <c r="F135" s="3">
        <v>0.05</v>
      </c>
      <c r="G135" s="3">
        <v>380</v>
      </c>
      <c r="H135" s="3">
        <f t="shared" si="2"/>
        <v>19</v>
      </c>
      <c r="I135" s="4"/>
      <c r="J135" s="4"/>
      <c r="K135" s="4"/>
    </row>
    <row r="136" ht="17.4" spans="1:11">
      <c r="A136" s="3">
        <v>68</v>
      </c>
      <c r="B136" s="3" t="s">
        <v>202</v>
      </c>
      <c r="C136" s="3" t="s">
        <v>203</v>
      </c>
      <c r="D136" s="3">
        <v>10</v>
      </c>
      <c r="E136" s="3" t="s">
        <v>13</v>
      </c>
      <c r="F136" s="3">
        <v>0.61</v>
      </c>
      <c r="G136" s="3">
        <v>480</v>
      </c>
      <c r="H136" s="3">
        <f t="shared" si="2"/>
        <v>292.8</v>
      </c>
      <c r="I136" s="3">
        <f>SUM(H136:H137)</f>
        <v>391.6</v>
      </c>
      <c r="J136" s="3" t="s">
        <v>14</v>
      </c>
      <c r="K136" s="3" t="s">
        <v>204</v>
      </c>
    </row>
    <row r="137" ht="17.4" spans="1:11">
      <c r="A137" s="4"/>
      <c r="B137" s="4"/>
      <c r="C137" s="4"/>
      <c r="D137" s="4"/>
      <c r="E137" s="3" t="s">
        <v>16</v>
      </c>
      <c r="F137" s="3">
        <v>0.26</v>
      </c>
      <c r="G137" s="3">
        <v>380</v>
      </c>
      <c r="H137" s="3">
        <f t="shared" si="2"/>
        <v>98.8</v>
      </c>
      <c r="I137" s="4"/>
      <c r="J137" s="4"/>
      <c r="K137" s="4"/>
    </row>
    <row r="138" ht="17.4" spans="1:11">
      <c r="A138" s="3">
        <v>69</v>
      </c>
      <c r="B138" s="3" t="s">
        <v>205</v>
      </c>
      <c r="C138" s="3" t="s">
        <v>206</v>
      </c>
      <c r="D138" s="3">
        <v>10</v>
      </c>
      <c r="E138" s="3" t="s">
        <v>13</v>
      </c>
      <c r="F138" s="3">
        <v>0.2</v>
      </c>
      <c r="G138" s="3">
        <v>480</v>
      </c>
      <c r="H138" s="3">
        <f t="shared" si="2"/>
        <v>96</v>
      </c>
      <c r="I138" s="3">
        <f>SUM(H138:H139)</f>
        <v>149.2</v>
      </c>
      <c r="J138" s="3" t="s">
        <v>14</v>
      </c>
      <c r="K138" s="3" t="s">
        <v>207</v>
      </c>
    </row>
    <row r="139" ht="17.4" spans="1:11">
      <c r="A139" s="4"/>
      <c r="B139" s="4"/>
      <c r="C139" s="4"/>
      <c r="D139" s="4"/>
      <c r="E139" s="3" t="s">
        <v>16</v>
      </c>
      <c r="F139" s="3">
        <v>0.14</v>
      </c>
      <c r="G139" s="3">
        <v>380</v>
      </c>
      <c r="H139" s="3">
        <f t="shared" si="2"/>
        <v>53.2</v>
      </c>
      <c r="I139" s="4"/>
      <c r="J139" s="4"/>
      <c r="K139" s="4"/>
    </row>
    <row r="140" ht="17.4" spans="1:11">
      <c r="A140" s="3">
        <v>70</v>
      </c>
      <c r="B140" s="3" t="s">
        <v>208</v>
      </c>
      <c r="C140" s="3" t="s">
        <v>209</v>
      </c>
      <c r="D140" s="3">
        <v>10</v>
      </c>
      <c r="E140" s="3" t="s">
        <v>13</v>
      </c>
      <c r="F140" s="3">
        <v>4.94</v>
      </c>
      <c r="G140" s="3">
        <v>480</v>
      </c>
      <c r="H140" s="3">
        <f t="shared" si="2"/>
        <v>2371.2</v>
      </c>
      <c r="I140" s="3">
        <f>SUM(H140:H141)</f>
        <v>2872.8</v>
      </c>
      <c r="J140" s="3" t="s">
        <v>14</v>
      </c>
      <c r="K140" s="3" t="s">
        <v>19</v>
      </c>
    </row>
    <row r="141" ht="17.4" spans="1:11">
      <c r="A141" s="4"/>
      <c r="B141" s="4"/>
      <c r="C141" s="4"/>
      <c r="D141" s="4"/>
      <c r="E141" s="3" t="s">
        <v>16</v>
      </c>
      <c r="F141" s="3">
        <v>1.32</v>
      </c>
      <c r="G141" s="3">
        <v>380</v>
      </c>
      <c r="H141" s="3">
        <f t="shared" si="2"/>
        <v>501.6</v>
      </c>
      <c r="I141" s="4"/>
      <c r="J141" s="4"/>
      <c r="K141" s="4"/>
    </row>
    <row r="142" ht="17.4" spans="1:11">
      <c r="A142" s="3">
        <v>71</v>
      </c>
      <c r="B142" s="3" t="s">
        <v>210</v>
      </c>
      <c r="C142" s="3" t="s">
        <v>211</v>
      </c>
      <c r="D142" s="3">
        <v>10</v>
      </c>
      <c r="E142" s="3" t="s">
        <v>13</v>
      </c>
      <c r="F142" s="3">
        <v>1.95</v>
      </c>
      <c r="G142" s="3">
        <v>480</v>
      </c>
      <c r="H142" s="3">
        <f t="shared" si="2"/>
        <v>936</v>
      </c>
      <c r="I142" s="3">
        <f>SUM(H142:H143)</f>
        <v>1042.4</v>
      </c>
      <c r="J142" s="3" t="s">
        <v>14</v>
      </c>
      <c r="K142" s="3" t="s">
        <v>212</v>
      </c>
    </row>
    <row r="143" ht="17.4" spans="1:11">
      <c r="A143" s="4"/>
      <c r="B143" s="4"/>
      <c r="C143" s="4"/>
      <c r="D143" s="4"/>
      <c r="E143" s="3" t="s">
        <v>16</v>
      </c>
      <c r="F143" s="3">
        <v>0.28</v>
      </c>
      <c r="G143" s="3">
        <v>380</v>
      </c>
      <c r="H143" s="3">
        <f t="shared" si="2"/>
        <v>106.4</v>
      </c>
      <c r="I143" s="4"/>
      <c r="J143" s="4"/>
      <c r="K143" s="4"/>
    </row>
    <row r="144" ht="17.4" spans="1:11">
      <c r="A144" s="3">
        <v>72</v>
      </c>
      <c r="B144" s="3" t="s">
        <v>213</v>
      </c>
      <c r="C144" s="3" t="s">
        <v>214</v>
      </c>
      <c r="D144" s="3">
        <v>10</v>
      </c>
      <c r="E144" s="3" t="s">
        <v>13</v>
      </c>
      <c r="F144" s="3">
        <v>0.64</v>
      </c>
      <c r="G144" s="3">
        <v>480</v>
      </c>
      <c r="H144" s="3">
        <f t="shared" si="2"/>
        <v>307.2</v>
      </c>
      <c r="I144" s="3">
        <f>SUM(H144:H145)</f>
        <v>307.2</v>
      </c>
      <c r="J144" s="3" t="s">
        <v>14</v>
      </c>
      <c r="K144" s="3" t="s">
        <v>215</v>
      </c>
    </row>
    <row r="145" ht="17.4" spans="1:11">
      <c r="A145" s="4"/>
      <c r="B145" s="4"/>
      <c r="C145" s="4"/>
      <c r="D145" s="4"/>
      <c r="E145" s="3" t="s">
        <v>16</v>
      </c>
      <c r="F145" s="3">
        <v>0</v>
      </c>
      <c r="G145" s="3">
        <v>380</v>
      </c>
      <c r="H145" s="3">
        <f t="shared" si="2"/>
        <v>0</v>
      </c>
      <c r="I145" s="4"/>
      <c r="J145" s="4"/>
      <c r="K145" s="4"/>
    </row>
    <row r="146" ht="17.4" spans="1:11">
      <c r="A146" s="3">
        <v>73</v>
      </c>
      <c r="B146" s="3" t="s">
        <v>216</v>
      </c>
      <c r="C146" s="3" t="s">
        <v>217</v>
      </c>
      <c r="D146" s="3">
        <v>10</v>
      </c>
      <c r="E146" s="3" t="s">
        <v>13</v>
      </c>
      <c r="F146" s="3">
        <v>0</v>
      </c>
      <c r="G146" s="3">
        <v>480</v>
      </c>
      <c r="H146" s="3">
        <f t="shared" si="2"/>
        <v>0</v>
      </c>
      <c r="I146" s="3">
        <f>SUM(H146:H147)</f>
        <v>486.4</v>
      </c>
      <c r="J146" s="3" t="s">
        <v>14</v>
      </c>
      <c r="K146" s="3" t="s">
        <v>218</v>
      </c>
    </row>
    <row r="147" ht="17.4" spans="1:11">
      <c r="A147" s="4"/>
      <c r="B147" s="4"/>
      <c r="C147" s="4"/>
      <c r="D147" s="4"/>
      <c r="E147" s="3" t="s">
        <v>16</v>
      </c>
      <c r="F147" s="3">
        <v>1.28</v>
      </c>
      <c r="G147" s="3">
        <v>380</v>
      </c>
      <c r="H147" s="3">
        <f t="shared" si="2"/>
        <v>486.4</v>
      </c>
      <c r="I147" s="4"/>
      <c r="J147" s="4"/>
      <c r="K147" s="4"/>
    </row>
    <row r="148" ht="17.4" spans="1:11">
      <c r="A148" s="3">
        <v>74</v>
      </c>
      <c r="B148" s="3" t="s">
        <v>219</v>
      </c>
      <c r="C148" s="3" t="s">
        <v>220</v>
      </c>
      <c r="D148" s="3">
        <v>10</v>
      </c>
      <c r="E148" s="3" t="s">
        <v>13</v>
      </c>
      <c r="F148" s="3">
        <v>2.1</v>
      </c>
      <c r="G148" s="3">
        <v>480</v>
      </c>
      <c r="H148" s="3">
        <f t="shared" si="2"/>
        <v>1008</v>
      </c>
      <c r="I148" s="3">
        <f>SUM(H148:H149)</f>
        <v>1008</v>
      </c>
      <c r="J148" s="3" t="s">
        <v>14</v>
      </c>
      <c r="K148" s="3" t="s">
        <v>221</v>
      </c>
    </row>
    <row r="149" ht="17.4" spans="1:11">
      <c r="A149" s="4"/>
      <c r="B149" s="4"/>
      <c r="C149" s="4"/>
      <c r="D149" s="4"/>
      <c r="E149" s="3" t="s">
        <v>16</v>
      </c>
      <c r="F149" s="3">
        <v>0</v>
      </c>
      <c r="G149" s="3">
        <v>380</v>
      </c>
      <c r="H149" s="3">
        <f t="shared" si="2"/>
        <v>0</v>
      </c>
      <c r="I149" s="4"/>
      <c r="J149" s="4"/>
      <c r="K149" s="4"/>
    </row>
    <row r="150" ht="17.4" spans="1:11">
      <c r="A150" s="3">
        <v>75</v>
      </c>
      <c r="B150" s="3" t="s">
        <v>222</v>
      </c>
      <c r="C150" s="3" t="s">
        <v>223</v>
      </c>
      <c r="D150" s="3">
        <v>10</v>
      </c>
      <c r="E150" s="3" t="s">
        <v>13</v>
      </c>
      <c r="F150" s="3">
        <v>1.91</v>
      </c>
      <c r="G150" s="3">
        <v>480</v>
      </c>
      <c r="H150" s="3">
        <f t="shared" si="2"/>
        <v>916.8</v>
      </c>
      <c r="I150" s="3">
        <f>SUM(H150:H151)</f>
        <v>916.8</v>
      </c>
      <c r="J150" s="3" t="s">
        <v>14</v>
      </c>
      <c r="K150" s="3" t="s">
        <v>224</v>
      </c>
    </row>
    <row r="151" ht="17.4" spans="1:11">
      <c r="A151" s="4"/>
      <c r="B151" s="4"/>
      <c r="C151" s="4"/>
      <c r="D151" s="4"/>
      <c r="E151" s="3" t="s">
        <v>16</v>
      </c>
      <c r="F151" s="3">
        <v>0</v>
      </c>
      <c r="G151" s="3">
        <v>380</v>
      </c>
      <c r="H151" s="3">
        <f t="shared" si="2"/>
        <v>0</v>
      </c>
      <c r="I151" s="4"/>
      <c r="J151" s="4"/>
      <c r="K151" s="4"/>
    </row>
    <row r="152" ht="17.4" spans="1:11">
      <c r="A152" s="3">
        <v>76</v>
      </c>
      <c r="B152" s="3" t="s">
        <v>225</v>
      </c>
      <c r="C152" s="3" t="s">
        <v>226</v>
      </c>
      <c r="D152" s="3">
        <v>10</v>
      </c>
      <c r="E152" s="3" t="s">
        <v>13</v>
      </c>
      <c r="F152" s="3">
        <v>1.57</v>
      </c>
      <c r="G152" s="3">
        <v>480</v>
      </c>
      <c r="H152" s="3">
        <f t="shared" si="2"/>
        <v>753.6</v>
      </c>
      <c r="I152" s="3">
        <f>SUM(H152:H153)</f>
        <v>753.6</v>
      </c>
      <c r="J152" s="3" t="s">
        <v>14</v>
      </c>
      <c r="K152" s="3" t="s">
        <v>227</v>
      </c>
    </row>
    <row r="153" ht="17.4" spans="1:11">
      <c r="A153" s="4"/>
      <c r="B153" s="4"/>
      <c r="C153" s="4"/>
      <c r="D153" s="4"/>
      <c r="E153" s="3" t="s">
        <v>16</v>
      </c>
      <c r="F153" s="3">
        <v>0</v>
      </c>
      <c r="G153" s="3">
        <v>380</v>
      </c>
      <c r="H153" s="3">
        <f t="shared" si="2"/>
        <v>0</v>
      </c>
      <c r="I153" s="4"/>
      <c r="J153" s="4"/>
      <c r="K153" s="4"/>
    </row>
    <row r="154" ht="17.4" spans="1:11">
      <c r="A154" s="3">
        <v>77</v>
      </c>
      <c r="B154" s="3" t="s">
        <v>228</v>
      </c>
      <c r="C154" s="3" t="s">
        <v>229</v>
      </c>
      <c r="D154" s="3">
        <v>10</v>
      </c>
      <c r="E154" s="3" t="s">
        <v>13</v>
      </c>
      <c r="F154" s="3">
        <v>2.39</v>
      </c>
      <c r="G154" s="3">
        <v>480</v>
      </c>
      <c r="H154" s="3">
        <f t="shared" si="2"/>
        <v>1147.2</v>
      </c>
      <c r="I154" s="3">
        <f>SUM(H154:H155)</f>
        <v>1709.6</v>
      </c>
      <c r="J154" s="3" t="s">
        <v>14</v>
      </c>
      <c r="K154" s="3" t="s">
        <v>230</v>
      </c>
    </row>
    <row r="155" ht="17.4" spans="1:11">
      <c r="A155" s="4"/>
      <c r="B155" s="4"/>
      <c r="C155" s="4"/>
      <c r="D155" s="4"/>
      <c r="E155" s="3" t="s">
        <v>16</v>
      </c>
      <c r="F155" s="3">
        <v>1.48</v>
      </c>
      <c r="G155" s="3">
        <v>380</v>
      </c>
      <c r="H155" s="3">
        <f t="shared" si="2"/>
        <v>562.4</v>
      </c>
      <c r="I155" s="4"/>
      <c r="J155" s="4"/>
      <c r="K155" s="4"/>
    </row>
    <row r="156" ht="17.4" spans="1:11">
      <c r="A156" s="3">
        <v>78</v>
      </c>
      <c r="B156" s="3" t="s">
        <v>231</v>
      </c>
      <c r="C156" s="3" t="s">
        <v>232</v>
      </c>
      <c r="D156" s="3">
        <v>10</v>
      </c>
      <c r="E156" s="3" t="s">
        <v>13</v>
      </c>
      <c r="F156" s="3">
        <v>0.05</v>
      </c>
      <c r="G156" s="3">
        <v>480</v>
      </c>
      <c r="H156" s="3">
        <f t="shared" si="2"/>
        <v>24</v>
      </c>
      <c r="I156" s="3">
        <f>SUM(H156:H157)</f>
        <v>24</v>
      </c>
      <c r="J156" s="3" t="s">
        <v>14</v>
      </c>
      <c r="K156" s="3" t="s">
        <v>233</v>
      </c>
    </row>
    <row r="157" ht="17.4" spans="1:11">
      <c r="A157" s="4"/>
      <c r="B157" s="4"/>
      <c r="C157" s="4"/>
      <c r="D157" s="4"/>
      <c r="E157" s="3" t="s">
        <v>16</v>
      </c>
      <c r="F157" s="3">
        <v>0</v>
      </c>
      <c r="G157" s="3">
        <v>380</v>
      </c>
      <c r="H157" s="3">
        <f t="shared" si="2"/>
        <v>0</v>
      </c>
      <c r="I157" s="4"/>
      <c r="J157" s="4"/>
      <c r="K157" s="4"/>
    </row>
    <row r="158" ht="17.4" spans="1:11">
      <c r="A158" s="3">
        <v>79</v>
      </c>
      <c r="B158" s="3" t="s">
        <v>234</v>
      </c>
      <c r="C158" s="3" t="s">
        <v>235</v>
      </c>
      <c r="D158" s="3">
        <v>10</v>
      </c>
      <c r="E158" s="3" t="s">
        <v>13</v>
      </c>
      <c r="F158" s="3">
        <v>0.79</v>
      </c>
      <c r="G158" s="3">
        <v>480</v>
      </c>
      <c r="H158" s="3">
        <f t="shared" si="2"/>
        <v>379.2</v>
      </c>
      <c r="I158" s="3">
        <f>SUM(H158:H159)</f>
        <v>561.6</v>
      </c>
      <c r="J158" s="3" t="s">
        <v>14</v>
      </c>
      <c r="K158" s="3" t="s">
        <v>236</v>
      </c>
    </row>
    <row r="159" ht="17.4" spans="1:11">
      <c r="A159" s="4"/>
      <c r="B159" s="4"/>
      <c r="C159" s="4"/>
      <c r="D159" s="4"/>
      <c r="E159" s="3" t="s">
        <v>16</v>
      </c>
      <c r="F159" s="3">
        <v>0.48</v>
      </c>
      <c r="G159" s="3">
        <v>380</v>
      </c>
      <c r="H159" s="3">
        <f t="shared" si="2"/>
        <v>182.4</v>
      </c>
      <c r="I159" s="4"/>
      <c r="J159" s="4"/>
      <c r="K159" s="4"/>
    </row>
    <row r="160" ht="17.4" spans="1:11">
      <c r="A160" s="3">
        <v>80</v>
      </c>
      <c r="B160" s="3" t="s">
        <v>237</v>
      </c>
      <c r="C160" s="3" t="s">
        <v>238</v>
      </c>
      <c r="D160" s="3">
        <v>10</v>
      </c>
      <c r="E160" s="3" t="s">
        <v>13</v>
      </c>
      <c r="F160" s="3">
        <v>2.88</v>
      </c>
      <c r="G160" s="3">
        <v>480</v>
      </c>
      <c r="H160" s="3">
        <f t="shared" si="2"/>
        <v>1382.4</v>
      </c>
      <c r="I160" s="3">
        <f>SUM(H160:H161)</f>
        <v>1572.4</v>
      </c>
      <c r="J160" s="3" t="s">
        <v>14</v>
      </c>
      <c r="K160" s="3" t="s">
        <v>239</v>
      </c>
    </row>
    <row r="161" ht="17.4" spans="1:11">
      <c r="A161" s="4"/>
      <c r="B161" s="4"/>
      <c r="C161" s="4"/>
      <c r="D161" s="4"/>
      <c r="E161" s="3" t="s">
        <v>16</v>
      </c>
      <c r="F161" s="3">
        <v>0.5</v>
      </c>
      <c r="G161" s="3">
        <v>380</v>
      </c>
      <c r="H161" s="3">
        <f t="shared" si="2"/>
        <v>190</v>
      </c>
      <c r="I161" s="4"/>
      <c r="J161" s="4"/>
      <c r="K161" s="4"/>
    </row>
  </sheetData>
  <mergeCells count="560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0:B161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  <mergeCell ref="C76:C77"/>
    <mergeCell ref="C78:C79"/>
    <mergeCell ref="C80:C81"/>
    <mergeCell ref="C82:C83"/>
    <mergeCell ref="C84:C85"/>
    <mergeCell ref="C86:C87"/>
    <mergeCell ref="C88:C89"/>
    <mergeCell ref="C90:C91"/>
    <mergeCell ref="C92:C93"/>
    <mergeCell ref="C94:C95"/>
    <mergeCell ref="C96:C97"/>
    <mergeCell ref="C98:C99"/>
    <mergeCell ref="C100:C101"/>
    <mergeCell ref="C102:C103"/>
    <mergeCell ref="C104:C105"/>
    <mergeCell ref="C106:C107"/>
    <mergeCell ref="C108:C109"/>
    <mergeCell ref="C110:C111"/>
    <mergeCell ref="C112:C113"/>
    <mergeCell ref="C114:C115"/>
    <mergeCell ref="C116:C117"/>
    <mergeCell ref="C118:C119"/>
    <mergeCell ref="C120:C121"/>
    <mergeCell ref="C122:C123"/>
    <mergeCell ref="C124:C125"/>
    <mergeCell ref="C126:C127"/>
    <mergeCell ref="C128:C129"/>
    <mergeCell ref="C130:C131"/>
    <mergeCell ref="C132:C133"/>
    <mergeCell ref="C134:C135"/>
    <mergeCell ref="C136:C137"/>
    <mergeCell ref="C138:C139"/>
    <mergeCell ref="C140:C141"/>
    <mergeCell ref="C142:C143"/>
    <mergeCell ref="C144:C145"/>
    <mergeCell ref="C146:C147"/>
    <mergeCell ref="C148:C149"/>
    <mergeCell ref="C150:C151"/>
    <mergeCell ref="C152:C153"/>
    <mergeCell ref="C154:C155"/>
    <mergeCell ref="C156:C157"/>
    <mergeCell ref="C158:C159"/>
    <mergeCell ref="C160:C161"/>
    <mergeCell ref="D2:D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78:D79"/>
    <mergeCell ref="D80:D81"/>
    <mergeCell ref="D82:D83"/>
    <mergeCell ref="D84:D85"/>
    <mergeCell ref="D86:D87"/>
    <mergeCell ref="D88:D89"/>
    <mergeCell ref="D90:D91"/>
    <mergeCell ref="D92:D93"/>
    <mergeCell ref="D94:D95"/>
    <mergeCell ref="D96:D97"/>
    <mergeCell ref="D98:D99"/>
    <mergeCell ref="D100:D101"/>
    <mergeCell ref="D102:D103"/>
    <mergeCell ref="D104:D105"/>
    <mergeCell ref="D106:D107"/>
    <mergeCell ref="D108:D109"/>
    <mergeCell ref="D110:D111"/>
    <mergeCell ref="D112:D113"/>
    <mergeCell ref="D114:D115"/>
    <mergeCell ref="D116:D117"/>
    <mergeCell ref="D118:D119"/>
    <mergeCell ref="D120:D121"/>
    <mergeCell ref="D122:D123"/>
    <mergeCell ref="D124:D125"/>
    <mergeCell ref="D126:D127"/>
    <mergeCell ref="D128:D129"/>
    <mergeCell ref="D130:D131"/>
    <mergeCell ref="D132:D133"/>
    <mergeCell ref="D134:D135"/>
    <mergeCell ref="D136:D137"/>
    <mergeCell ref="D138:D139"/>
    <mergeCell ref="D140:D141"/>
    <mergeCell ref="D142:D143"/>
    <mergeCell ref="D144:D145"/>
    <mergeCell ref="D146:D147"/>
    <mergeCell ref="D148:D149"/>
    <mergeCell ref="D150:D151"/>
    <mergeCell ref="D152:D153"/>
    <mergeCell ref="D154:D155"/>
    <mergeCell ref="D156:D157"/>
    <mergeCell ref="D158:D159"/>
    <mergeCell ref="D160:D161"/>
    <mergeCell ref="I2:I3"/>
    <mergeCell ref="I4:I5"/>
    <mergeCell ref="I6:I7"/>
    <mergeCell ref="I8:I9"/>
    <mergeCell ref="I10:I11"/>
    <mergeCell ref="I12:I13"/>
    <mergeCell ref="I14:I15"/>
    <mergeCell ref="I16:I17"/>
    <mergeCell ref="I18:I19"/>
    <mergeCell ref="I20:I21"/>
    <mergeCell ref="I22:I23"/>
    <mergeCell ref="I24:I25"/>
    <mergeCell ref="I26:I27"/>
    <mergeCell ref="I28:I29"/>
    <mergeCell ref="I30:I31"/>
    <mergeCell ref="I32:I33"/>
    <mergeCell ref="I34:I35"/>
    <mergeCell ref="I36:I37"/>
    <mergeCell ref="I38:I39"/>
    <mergeCell ref="I40:I41"/>
    <mergeCell ref="I42:I43"/>
    <mergeCell ref="I44:I45"/>
    <mergeCell ref="I46:I47"/>
    <mergeCell ref="I48:I49"/>
    <mergeCell ref="I50:I51"/>
    <mergeCell ref="I52:I53"/>
    <mergeCell ref="I54:I55"/>
    <mergeCell ref="I56:I57"/>
    <mergeCell ref="I58:I59"/>
    <mergeCell ref="I60:I61"/>
    <mergeCell ref="I62:I63"/>
    <mergeCell ref="I64:I65"/>
    <mergeCell ref="I66:I67"/>
    <mergeCell ref="I68:I69"/>
    <mergeCell ref="I70:I71"/>
    <mergeCell ref="I72:I73"/>
    <mergeCell ref="I74:I75"/>
    <mergeCell ref="I76:I77"/>
    <mergeCell ref="I78:I79"/>
    <mergeCell ref="I80:I81"/>
    <mergeCell ref="I82:I83"/>
    <mergeCell ref="I84:I85"/>
    <mergeCell ref="I86:I87"/>
    <mergeCell ref="I88:I89"/>
    <mergeCell ref="I90:I91"/>
    <mergeCell ref="I92:I93"/>
    <mergeCell ref="I94:I95"/>
    <mergeCell ref="I96:I97"/>
    <mergeCell ref="I98:I99"/>
    <mergeCell ref="I100:I101"/>
    <mergeCell ref="I102:I103"/>
    <mergeCell ref="I104:I105"/>
    <mergeCell ref="I106:I107"/>
    <mergeCell ref="I108:I109"/>
    <mergeCell ref="I110:I111"/>
    <mergeCell ref="I112:I113"/>
    <mergeCell ref="I114:I115"/>
    <mergeCell ref="I116:I117"/>
    <mergeCell ref="I118:I119"/>
    <mergeCell ref="I120:I121"/>
    <mergeCell ref="I122:I123"/>
    <mergeCell ref="I124:I125"/>
    <mergeCell ref="I126:I127"/>
    <mergeCell ref="I128:I129"/>
    <mergeCell ref="I130:I131"/>
    <mergeCell ref="I132:I133"/>
    <mergeCell ref="I134:I135"/>
    <mergeCell ref="I136:I137"/>
    <mergeCell ref="I138:I139"/>
    <mergeCell ref="I140:I141"/>
    <mergeCell ref="I142:I143"/>
    <mergeCell ref="I144:I145"/>
    <mergeCell ref="I146:I147"/>
    <mergeCell ref="I148:I149"/>
    <mergeCell ref="I150:I151"/>
    <mergeCell ref="I152:I153"/>
    <mergeCell ref="I154:I155"/>
    <mergeCell ref="I156:I157"/>
    <mergeCell ref="I158:I159"/>
    <mergeCell ref="I160:I161"/>
    <mergeCell ref="J2:J3"/>
    <mergeCell ref="J4:J5"/>
    <mergeCell ref="J6:J7"/>
    <mergeCell ref="J8:J9"/>
    <mergeCell ref="J10:J11"/>
    <mergeCell ref="J12:J13"/>
    <mergeCell ref="J14:J15"/>
    <mergeCell ref="J16:J17"/>
    <mergeCell ref="J18:J19"/>
    <mergeCell ref="J20:J21"/>
    <mergeCell ref="J22:J23"/>
    <mergeCell ref="J24:J25"/>
    <mergeCell ref="J26:J27"/>
    <mergeCell ref="J28:J29"/>
    <mergeCell ref="J30:J31"/>
    <mergeCell ref="J32:J33"/>
    <mergeCell ref="J34:J35"/>
    <mergeCell ref="J36:J37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56:J57"/>
    <mergeCell ref="J58:J59"/>
    <mergeCell ref="J60:J61"/>
    <mergeCell ref="J62:J63"/>
    <mergeCell ref="J64:J65"/>
    <mergeCell ref="J66:J67"/>
    <mergeCell ref="J68:J69"/>
    <mergeCell ref="J70:J71"/>
    <mergeCell ref="J72:J73"/>
    <mergeCell ref="J74:J75"/>
    <mergeCell ref="J76:J77"/>
    <mergeCell ref="J78:J79"/>
    <mergeCell ref="J80:J81"/>
    <mergeCell ref="J82:J83"/>
    <mergeCell ref="J84:J85"/>
    <mergeCell ref="J86:J87"/>
    <mergeCell ref="J88:J89"/>
    <mergeCell ref="J90:J91"/>
    <mergeCell ref="J92:J93"/>
    <mergeCell ref="J94:J95"/>
    <mergeCell ref="J96:J97"/>
    <mergeCell ref="J98:J99"/>
    <mergeCell ref="J100:J101"/>
    <mergeCell ref="J102:J103"/>
    <mergeCell ref="J104:J105"/>
    <mergeCell ref="J106:J107"/>
    <mergeCell ref="J108:J109"/>
    <mergeCell ref="J110:J111"/>
    <mergeCell ref="J112:J113"/>
    <mergeCell ref="J114:J115"/>
    <mergeCell ref="J116:J117"/>
    <mergeCell ref="J118:J119"/>
    <mergeCell ref="J120:J121"/>
    <mergeCell ref="J122:J123"/>
    <mergeCell ref="J124:J125"/>
    <mergeCell ref="J126:J127"/>
    <mergeCell ref="J128:J129"/>
    <mergeCell ref="J130:J131"/>
    <mergeCell ref="J132:J133"/>
    <mergeCell ref="J134:J135"/>
    <mergeCell ref="J136:J137"/>
    <mergeCell ref="J138:J139"/>
    <mergeCell ref="J140:J141"/>
    <mergeCell ref="J142:J143"/>
    <mergeCell ref="J144:J145"/>
    <mergeCell ref="J146:J147"/>
    <mergeCell ref="J148:J149"/>
    <mergeCell ref="J150:J151"/>
    <mergeCell ref="J152:J153"/>
    <mergeCell ref="J154:J155"/>
    <mergeCell ref="J156:J157"/>
    <mergeCell ref="J158:J159"/>
    <mergeCell ref="J160:J161"/>
    <mergeCell ref="K2:K3"/>
    <mergeCell ref="K4:K5"/>
    <mergeCell ref="K6:K7"/>
    <mergeCell ref="K8:K9"/>
    <mergeCell ref="K10:K11"/>
    <mergeCell ref="K12:K13"/>
    <mergeCell ref="K14:K15"/>
    <mergeCell ref="K16:K17"/>
    <mergeCell ref="K18:K19"/>
    <mergeCell ref="K20:K21"/>
    <mergeCell ref="K22:K23"/>
    <mergeCell ref="K24:K25"/>
    <mergeCell ref="K26:K27"/>
    <mergeCell ref="K28:K29"/>
    <mergeCell ref="K30:K31"/>
    <mergeCell ref="K32:K33"/>
    <mergeCell ref="K34:K35"/>
    <mergeCell ref="K36:K37"/>
    <mergeCell ref="K38:K39"/>
    <mergeCell ref="K40:K41"/>
    <mergeCell ref="K42:K43"/>
    <mergeCell ref="K44:K45"/>
    <mergeCell ref="K46:K47"/>
    <mergeCell ref="K48:K49"/>
    <mergeCell ref="K50:K51"/>
    <mergeCell ref="K52:K53"/>
    <mergeCell ref="K54:K55"/>
    <mergeCell ref="K56:K57"/>
    <mergeCell ref="K58:K59"/>
    <mergeCell ref="K60:K61"/>
    <mergeCell ref="K62:K63"/>
    <mergeCell ref="K64:K65"/>
    <mergeCell ref="K66:K67"/>
    <mergeCell ref="K68:K69"/>
    <mergeCell ref="K70:K71"/>
    <mergeCell ref="K72:K73"/>
    <mergeCell ref="K74:K75"/>
    <mergeCell ref="K76:K77"/>
    <mergeCell ref="K78:K79"/>
    <mergeCell ref="K80:K81"/>
    <mergeCell ref="K82:K83"/>
    <mergeCell ref="K84:K85"/>
    <mergeCell ref="K86:K87"/>
    <mergeCell ref="K88:K89"/>
    <mergeCell ref="K90:K91"/>
    <mergeCell ref="K92:K93"/>
    <mergeCell ref="K94:K95"/>
    <mergeCell ref="K96:K97"/>
    <mergeCell ref="K98:K99"/>
    <mergeCell ref="K100:K101"/>
    <mergeCell ref="K102:K103"/>
    <mergeCell ref="K104:K105"/>
    <mergeCell ref="K106:K107"/>
    <mergeCell ref="K108:K109"/>
    <mergeCell ref="K110:K111"/>
    <mergeCell ref="K112:K113"/>
    <mergeCell ref="K114:K115"/>
    <mergeCell ref="K116:K117"/>
    <mergeCell ref="K118:K119"/>
    <mergeCell ref="K120:K121"/>
    <mergeCell ref="K122:K123"/>
    <mergeCell ref="K124:K125"/>
    <mergeCell ref="K126:K127"/>
    <mergeCell ref="K128:K129"/>
    <mergeCell ref="K130:K131"/>
    <mergeCell ref="K132:K133"/>
    <mergeCell ref="K134:K135"/>
    <mergeCell ref="K136:K137"/>
    <mergeCell ref="K138:K139"/>
    <mergeCell ref="K140:K141"/>
    <mergeCell ref="K142:K143"/>
    <mergeCell ref="K144:K145"/>
    <mergeCell ref="K146:K147"/>
    <mergeCell ref="K148:K149"/>
    <mergeCell ref="K150:K151"/>
    <mergeCell ref="K152:K153"/>
    <mergeCell ref="K154:K155"/>
    <mergeCell ref="K156:K157"/>
    <mergeCell ref="K158:K159"/>
    <mergeCell ref="K160:K161"/>
  </mergeCells>
  <pageMargins left="0.75" right="0.75" top="1" bottom="1" header="0.5" footer="0.5"/>
  <pageSetup paperSize="9" scale="62" orientation="portrait"/>
  <headerFooter/>
  <rowBreaks count="4" manualBreakCount="4">
    <brk id="37" max="16383" man="1"/>
    <brk id="75" max="16383" man="1"/>
    <brk id="113" max="16383" man="1"/>
    <brk id="1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土地丈量表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2026-04-10T07:23:00Z</dcterms:created>
  <dcterms:modified xsi:type="dcterms:W3CDTF">2026-04-13T07:10:56Z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96ABEA1F8E8243BAAA00F25EEAF3410B_12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false</vt:bool>
  </property>
</Properties>
</file>