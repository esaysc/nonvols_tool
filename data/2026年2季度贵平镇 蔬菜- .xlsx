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645" windowHeight="12375"/>
  </bookViews>
  <sheets>
    <sheet name="LSVJ2IJO A412（村）" sheetId="1" r:id="rId1"/>
  </sheets>
  <calcPr calcId="191029" iterate="1" iterateCount="1000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<sst xmlns="http://schemas.openxmlformats.org/spreadsheetml/2006/main" count="304" uniqueCount="101">
  <si>
    <t>蔬菜、瓜果生产情况</t>
  </si>
  <si>
    <t>行政区划代码：</t>
  </si>
  <si>
    <t>年</t>
  </si>
  <si>
    <t>季度</t>
  </si>
  <si>
    <t>面积</t>
  </si>
  <si>
    <t>产量</t>
  </si>
  <si>
    <t>行政区划名称：</t>
  </si>
  <si>
    <t>贵平镇</t>
  </si>
  <si>
    <t>单产</t>
  </si>
  <si>
    <t>单产增长率</t>
  </si>
  <si>
    <t>面积增长率</t>
  </si>
  <si>
    <t>总产增长率</t>
  </si>
  <si>
    <t>指标名称</t>
  </si>
  <si>
    <t>代码</t>
  </si>
  <si>
    <t>本季</t>
  </si>
  <si>
    <t>播种面积（亩）1232.12</t>
  </si>
  <si>
    <t>产量（吨）3752.8</t>
  </si>
  <si>
    <t>单产（公斤/亩）</t>
  </si>
  <si>
    <t>本年</t>
  </si>
  <si>
    <t>上年</t>
  </si>
  <si>
    <t>增减量</t>
  </si>
  <si>
    <t>增长率%</t>
  </si>
  <si>
    <t>观寺2025年2季度</t>
  </si>
  <si>
    <t>观寺2026年2季度</t>
  </si>
  <si>
    <t>贵坪2025年2季度</t>
  </si>
  <si>
    <t>贵坪2026年2季度</t>
  </si>
  <si>
    <t>火花2025年2季度</t>
  </si>
  <si>
    <t>火花2026年2季度</t>
  </si>
  <si>
    <t>火炬2025年2季度</t>
  </si>
  <si>
    <t>火炬2026年2季度</t>
  </si>
  <si>
    <t>静宁2025年2季度</t>
  </si>
  <si>
    <t>静宁2026年2季度</t>
  </si>
  <si>
    <t>粮丰2025年2季度</t>
  </si>
  <si>
    <t>粮丰2026年2季度</t>
  </si>
  <si>
    <t>林河2025年2季度</t>
  </si>
  <si>
    <t>林河2026年2季度</t>
  </si>
  <si>
    <t>龙江2025年2季度</t>
  </si>
  <si>
    <t>龙江2026年2季度</t>
  </si>
  <si>
    <t>龙岩2025年2季度</t>
  </si>
  <si>
    <t>龙岩2026年2季度</t>
  </si>
  <si>
    <t>平安2025年2季度</t>
  </si>
  <si>
    <t>平安2026年2季度</t>
  </si>
  <si>
    <t>庆祝2025年2季度</t>
  </si>
  <si>
    <t>庆祝2026年2季度</t>
  </si>
  <si>
    <t>三峨2025年2季度</t>
  </si>
  <si>
    <t>三峨2026年2季度</t>
  </si>
  <si>
    <t>升龙2025年2季度</t>
  </si>
  <si>
    <t>升龙2026年2季度</t>
  </si>
  <si>
    <t>天宫2025年2季度</t>
  </si>
  <si>
    <t>天宫2026年2季度</t>
  </si>
  <si>
    <t>向家2025年2季度</t>
  </si>
  <si>
    <t>向家2026年2季度</t>
  </si>
  <si>
    <t>中岗2025年2季度</t>
  </si>
  <si>
    <t>中岗2026年2季度</t>
  </si>
  <si>
    <t>甲</t>
  </si>
  <si>
    <t>乙</t>
  </si>
  <si>
    <t>一、蔬菜</t>
  </si>
  <si>
    <t xml:space="preserve">   (一) 叶菜类</t>
  </si>
  <si>
    <t xml:space="preserve">        其中: 芹 菜</t>
  </si>
  <si>
    <t xml:space="preserve">        油 菜</t>
  </si>
  <si>
    <t xml:space="preserve">        菠 菜</t>
  </si>
  <si>
    <t xml:space="preserve">   (二) 白菜类</t>
  </si>
  <si>
    <t xml:space="preserve">        其中：大白菜</t>
  </si>
  <si>
    <t xml:space="preserve">   （三）甘蓝类</t>
  </si>
  <si>
    <t xml:space="preserve">        其中：卷心菜（结球甘蓝）</t>
  </si>
  <si>
    <t xml:space="preserve">   （四）根茎类</t>
  </si>
  <si>
    <t xml:space="preserve">        其中：白萝卜</t>
  </si>
  <si>
    <t xml:space="preserve">                   胡萝卜</t>
  </si>
  <si>
    <t xml:space="preserve">                   生 姜</t>
  </si>
  <si>
    <t xml:space="preserve">                  榨菜头</t>
  </si>
  <si>
    <t xml:space="preserve">   （五）瓜菜类</t>
  </si>
  <si>
    <t xml:space="preserve">        其中：黄 瓜</t>
  </si>
  <si>
    <t xml:space="preserve">                   南 瓜</t>
  </si>
  <si>
    <t xml:space="preserve">                   冬 瓜</t>
  </si>
  <si>
    <t xml:space="preserve">   （六）豆类</t>
  </si>
  <si>
    <t xml:space="preserve">        其中：豇 豆</t>
  </si>
  <si>
    <t xml:space="preserve">                 四季豆</t>
  </si>
  <si>
    <t xml:space="preserve">   （七）茄果类</t>
  </si>
  <si>
    <t xml:space="preserve">        其中：茄 子</t>
  </si>
  <si>
    <t xml:space="preserve">                   辣 椒</t>
  </si>
  <si>
    <t xml:space="preserve">                   西红柿</t>
  </si>
  <si>
    <t xml:space="preserve">   （八）葱蒜类</t>
  </si>
  <si>
    <t xml:space="preserve">        其中：大 葱</t>
  </si>
  <si>
    <t xml:space="preserve">         蒜 头</t>
  </si>
  <si>
    <t xml:space="preserve">   （九）莴苣类</t>
  </si>
  <si>
    <t xml:space="preserve">       生菜</t>
  </si>
  <si>
    <t xml:space="preserve">       莴笋</t>
  </si>
  <si>
    <t xml:space="preserve">   （十）水生菜类</t>
  </si>
  <si>
    <t>—</t>
  </si>
  <si>
    <t xml:space="preserve">        其中：莲 藕</t>
  </si>
  <si>
    <t xml:space="preserve">   （十一）其他蔬菜</t>
  </si>
  <si>
    <t>二、食用菌</t>
  </si>
  <si>
    <t xml:space="preserve">   1.香 菇</t>
  </si>
  <si>
    <t xml:space="preserve">   2.平菇</t>
  </si>
  <si>
    <t xml:space="preserve">   3.黑木耳</t>
  </si>
  <si>
    <t xml:space="preserve">   4.其他食用菌</t>
  </si>
  <si>
    <t>三、瓜果类</t>
  </si>
  <si>
    <t xml:space="preserve">   其中：西瓜</t>
  </si>
  <si>
    <t xml:space="preserve">              香瓜（甜瓜）</t>
  </si>
  <si>
    <t xml:space="preserve">              草莓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</si>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</sst>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b/>
      <sz val="21"/>
      <color rgb="FF494949"/>
      <name val="宋体"/>
      <charset val="134"/>
    </font>
    <font>
      <sz val="9"/>
      <color rgb="FF494949"/>
      <name val="宋体"/>
      <charset val="134"/>
    </font>
    <font>
      <sz val="11"/>
      <color rgb="FF000000"/>
      <name val="宋体"/>
      <charset val="134"/>
    </font>
    <font>
      <sz val="12"/>
      <color rgb="FF494949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9"/>
      <name val="宋体"/>
      <charset val="134"/>
    </font>
    <font>
      <sz val="12"/>
      <color rgb="FF000000"/>
      <name val="宋体"/>
      <charset val="134"/>
    </font>
    <font>
      <sz val="10"/>
      <name val="Arial"/>
      <charset val="134"/>
    </font>
    <font>
      <sz val="10"/>
      <name val="Arial"/>
      <charset val="0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4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59">
    <xf numFmtId="0" fontId="0" fillId="0" borderId="0" xfId="0" applyFont="1">
      <alignment vertical="center"/>
    </xf>
    <xf numFmtId="0" fontId="0" fillId="0" borderId="0" xfId="0" applyNumberFormat="1" applyFont="1" applyFill="1">
      <alignment vertical="center"/>
    </xf>
    <xf numFmtId="0" fontId="1" fillId="0" borderId="0" xfId="0" applyNumberFormat="1" applyFont="1" applyFill="1">
      <alignment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vertical="top"/>
    </xf>
    <xf numFmtId="0" fontId="0" fillId="2" borderId="0" xfId="0" applyNumberFormat="1" applyFont="1" applyFill="1">
      <alignment vertical="center"/>
    </xf>
    <xf numFmtId="0" fontId="1" fillId="2" borderId="0" xfId="0" applyNumberFormat="1" applyFont="1" applyFill="1">
      <alignment vertical="center"/>
    </xf>
    <xf numFmtId="0" fontId="2" fillId="0" borderId="1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right" vertical="center"/>
    </xf>
    <xf numFmtId="0" fontId="3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right" vertical="center"/>
    </xf>
    <xf numFmtId="0" fontId="6" fillId="0" borderId="2" xfId="0" applyNumberFormat="1" applyFont="1" applyFill="1" applyBorder="1" applyAlignment="1">
      <alignment vertical="top"/>
    </xf>
    <xf numFmtId="0" fontId="7" fillId="0" borderId="2" xfId="0" applyNumberFormat="1" applyFont="1" applyFill="1" applyBorder="1" applyAlignment="1">
      <alignment horizontal="right" vertical="center"/>
    </xf>
    <xf numFmtId="0" fontId="8" fillId="0" borderId="2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Alignment="1">
      <alignment vertical="top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vertical="center" wrapText="1"/>
    </xf>
    <xf numFmtId="0" fontId="0" fillId="0" borderId="2" xfId="0" applyNumberFormat="1" applyFont="1" applyFill="1" applyBorder="1">
      <alignment vertical="center"/>
    </xf>
    <xf numFmtId="0" fontId="4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right" vertical="center"/>
    </xf>
    <xf numFmtId="0" fontId="4" fillId="0" borderId="2" xfId="0" applyNumberFormat="1" applyFont="1" applyFill="1" applyBorder="1" applyAlignment="1">
      <alignment horizontal="right" vertical="center"/>
    </xf>
    <xf numFmtId="0" fontId="4" fillId="0" borderId="3" xfId="0" applyNumberFormat="1" applyFont="1" applyFill="1" applyBorder="1" applyAlignment="1">
      <alignment horizontal="right" vertical="center"/>
    </xf>
    <xf numFmtId="0" fontId="3" fillId="0" borderId="2" xfId="0" applyNumberFormat="1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vertical="center"/>
    </xf>
    <xf numFmtId="0" fontId="10" fillId="0" borderId="4" xfId="0" applyFont="1" applyFill="1" applyBorder="1" applyAlignment="1" applyProtection="1">
      <alignment horizontal="right" vertical="center"/>
      <protection locked="0"/>
    </xf>
    <xf numFmtId="0" fontId="4" fillId="0" borderId="5" xfId="0" applyNumberFormat="1" applyFont="1" applyFill="1" applyBorder="1" applyAlignment="1">
      <alignment horizontal="right" vertical="center"/>
    </xf>
    <xf numFmtId="0" fontId="0" fillId="2" borderId="2" xfId="0" applyNumberFormat="1" applyFont="1" applyFill="1" applyBorder="1">
      <alignment vertical="center"/>
    </xf>
    <xf numFmtId="0" fontId="1" fillId="0" borderId="2" xfId="0" applyNumberFormat="1" applyFont="1" applyFill="1" applyBorder="1">
      <alignment vertical="center"/>
    </xf>
    <xf numFmtId="0" fontId="0" fillId="2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vertical="center"/>
    </xf>
    <xf numFmtId="0" fontId="4" fillId="2" borderId="2" xfId="0" applyNumberFormat="1" applyFont="1" applyFill="1" applyBorder="1" applyAlignment="1">
      <alignment horizontal="right" vertical="center"/>
    </xf>
    <xf numFmtId="0" fontId="11" fillId="2" borderId="2" xfId="0" applyNumberFormat="1" applyFont="1" applyFill="1" applyBorder="1" applyAlignment="1">
      <alignment vertical="center"/>
    </xf>
    <xf numFmtId="0" fontId="10" fillId="0" borderId="4" xfId="0" applyNumberFormat="1" applyFont="1" applyFill="1" applyBorder="1" applyAlignment="1" applyProtection="1">
      <alignment horizontal="right" vertical="center"/>
      <protection locked="0"/>
    </xf>
    <xf numFmtId="0" fontId="10" fillId="2" borderId="4" xfId="0" applyFont="1" applyFill="1" applyBorder="1" applyAlignment="1" applyProtection="1">
      <alignment horizontal="right" vertical="center"/>
      <protection locked="0"/>
    </xf>
    <xf numFmtId="0" fontId="1" fillId="2" borderId="2" xfId="0" applyNumberFormat="1" applyFont="1" applyFill="1" applyBorder="1" applyAlignment="1">
      <alignment vertical="center"/>
    </xf>
    <xf numFmtId="0" fontId="0" fillId="2" borderId="2" xfId="0" applyNumberFormat="1" applyFont="1" applyFill="1" applyBorder="1" applyAlignment="1">
      <alignment vertical="center"/>
    </xf>
    <xf numFmtId="0" fontId="4" fillId="2" borderId="3" xfId="0" applyNumberFormat="1" applyFont="1" applyFill="1" applyBorder="1" applyAlignment="1">
      <alignment horizontal="right" vertical="center"/>
    </xf>
    <xf numFmtId="0" fontId="4" fillId="2" borderId="2" xfId="0" applyNumberFormat="1" applyFont="1" applyFill="1" applyBorder="1" applyAlignment="1">
      <alignment vertical="center"/>
    </xf>
    <xf numFmtId="0" fontId="1" fillId="2" borderId="2" xfId="0" applyNumberFormat="1" applyFont="1" applyFill="1" applyBorder="1">
      <alignment vertical="center"/>
    </xf>
    <xf numFmtId="0" fontId="1" fillId="2" borderId="2" xfId="0" applyNumberFormat="1" applyFont="1" applyFill="1" applyBorder="1" applyAlignment="1">
      <alignment horizontal="center" vertical="center"/>
    </xf>
    <xf numFmtId="0" fontId="6" fillId="3" borderId="2" xfId="0" applyNumberFormat="1" applyFont="1" applyFill="1" applyBorder="1" applyAlignment="1">
      <alignment vertical="center"/>
    </xf>
    <xf numFmtId="0" fontId="10" fillId="2" borderId="4" xfId="0" applyNumberFormat="1" applyFont="1" applyFill="1" applyBorder="1" applyAlignment="1" applyProtection="1">
      <alignment horizontal="right" vertical="center"/>
      <protection locked="0"/>
    </xf>
    <xf numFmtId="0" fontId="7" fillId="2" borderId="2" xfId="0" applyNumberFormat="1" applyFont="1" applyFill="1" applyBorder="1" applyAlignment="1">
      <alignment horizontal="right" vertical="center"/>
    </xf>
    <xf numFmtId="0" fontId="7" fillId="2" borderId="3" xfId="0" applyNumberFormat="1" applyFont="1" applyFill="1" applyBorder="1" applyAlignment="1">
      <alignment horizontal="right" vertical="center"/>
    </xf>
    <xf numFmtId="0" fontId="7" fillId="2" borderId="2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/>
    </xf>
    <xf numFmtId="0" fontId="10" fillId="0" borderId="4" xfId="0" applyFont="1" applyFill="1" applyBorder="1" applyAlignment="1" applyProtection="1">
      <alignment vertical="center"/>
      <protection locked="0"/>
    </xf>
    <xf numFmtId="0" fontId="10" fillId="2" borderId="4" xfId="0" applyFont="1" applyFill="1" applyBorder="1" applyAlignment="1" applyProtection="1">
      <alignment vertical="center"/>
      <protection locked="0"/>
    </xf>
    <xf numFmtId="0" fontId="12" fillId="2" borderId="2" xfId="0" applyNumberFormat="1" applyFont="1" applyFill="1" applyBorder="1" applyAlignment="1">
      <alignment vertical="center"/>
    </xf>
    <xf numFmtId="0" fontId="7" fillId="0" borderId="3" xfId="0" applyNumberFormat="1" applyFont="1" applyFill="1" applyBorder="1" applyAlignment="1">
      <alignment horizontal="right" vertical="center"/>
    </xf>
    <xf numFmtId="0" fontId="1" fillId="0" borderId="2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B52"/>
  <sheetViews>
    <sheetView showZeros="0" tabSelected="1" zoomScale="85" zoomScaleNormal="85" topLeftCell="A18" workbookViewId="0">
      <pane xSplit="1" topLeftCell="BJ1" activePane="topRight" state="frozen"/>
      <selection/>
      <selection pane="topRight" activeCell="A36" sqref="$A36:$XFD38"/>
    </sheetView>
  </sheetViews>
  <sheetFormatPr defaultColWidth="9" defaultRowHeight="14.25"/>
  <cols>
    <col min="1" max="1" width="34.375" style="4" customWidth="1"/>
    <col min="2" max="2" width="3.23333333333333" style="1" customWidth="1"/>
    <col min="3" max="3" width="8.23333333333333" style="1" customWidth="1"/>
    <col min="4" max="8" width="8.9" style="1" customWidth="1"/>
    <col min="9" max="9" width="9.99166666666667" style="1" customWidth="1"/>
    <col min="10" max="14" width="8.9" style="1" customWidth="1"/>
    <col min="15" max="15" width="12.8" style="1" customWidth="1"/>
    <col min="16" max="16" width="12.5" style="1" customWidth="1"/>
    <col min="17" max="17" width="11.3083333333333" style="5" customWidth="1"/>
    <col min="18" max="18" width="13.6666666666667" style="5" customWidth="1"/>
    <col min="19" max="20" width="12.8" style="2" customWidth="1"/>
    <col min="21" max="22" width="11.3083333333333" style="6" customWidth="1"/>
    <col min="23" max="24" width="12.8" style="1" customWidth="1"/>
    <col min="25" max="26" width="11.3083333333333" style="5" customWidth="1"/>
    <col min="27" max="28" width="12.8" style="1" customWidth="1"/>
    <col min="29" max="30" width="11.3083333333333" style="5" customWidth="1"/>
    <col min="31" max="32" width="12.8" style="1" customWidth="1"/>
    <col min="33" max="34" width="11.3083333333333" style="5" customWidth="1"/>
    <col min="35" max="36" width="12.8" style="1" customWidth="1"/>
    <col min="37" max="38" width="11.3083333333333" style="5" customWidth="1"/>
    <col min="39" max="40" width="12.8" style="1" customWidth="1"/>
    <col min="41" max="42" width="11.3083333333333" style="5" customWidth="1"/>
    <col min="43" max="44" width="12.8" style="1" customWidth="1"/>
    <col min="45" max="46" width="11.3083333333333" style="5" customWidth="1"/>
    <col min="47" max="48" width="12.8" style="1" customWidth="1"/>
    <col min="49" max="50" width="11.3083333333333" style="5" customWidth="1"/>
    <col min="51" max="52" width="12.8" style="1" customWidth="1"/>
    <col min="53" max="53" width="12.35" style="5" customWidth="1"/>
    <col min="54" max="54" width="11.3083333333333" style="5" customWidth="1"/>
    <col min="55" max="56" width="12.8" style="3" customWidth="1"/>
    <col min="57" max="57" width="11.025" style="5" customWidth="1"/>
    <col min="58" max="58" width="11.3083333333333" style="5" customWidth="1"/>
    <col min="59" max="60" width="12.8" style="1" customWidth="1"/>
    <col min="61" max="61" width="11.3083333333333" style="5" customWidth="1"/>
    <col min="62" max="62" width="12.35" style="5" customWidth="1"/>
    <col min="63" max="64" width="12.8" style="1" customWidth="1"/>
    <col min="65" max="65" width="11.3083333333333" style="5" customWidth="1"/>
    <col min="66" max="66" width="11.9083333333333" style="5" customWidth="1"/>
    <col min="67" max="68" width="12.8" style="1" customWidth="1"/>
    <col min="69" max="69" width="11.3083333333333" style="5" customWidth="1"/>
    <col min="70" max="70" width="13.525" style="5" customWidth="1"/>
    <col min="71" max="72" width="12.8" style="1" customWidth="1"/>
    <col min="73" max="74" width="11.3083333333333" style="6" customWidth="1"/>
    <col min="75" max="76" width="12.8" style="1" customWidth="1"/>
    <col min="77" max="77" width="11.3083333333333" style="5" customWidth="1"/>
    <col min="78" max="78" width="11.9" style="5" customWidth="1"/>
    <col min="79" max="16384" width="9" style="1"/>
  </cols>
  <sheetData>
    <row r="1" ht="42.75" hidden="1" customHeight="1" spans="1:19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1">
        <v>0</v>
      </c>
      <c r="P1" s="1">
        <v>0</v>
      </c>
      <c r="S1" s="2">
        <v>0</v>
      </c>
    </row>
    <row r="2" ht="21.75" customHeight="1" spans="1:78">
      <c r="A2" s="9" t="s">
        <v>1</v>
      </c>
      <c r="B2" s="10">
        <v>511421164000</v>
      </c>
      <c r="C2" s="11"/>
      <c r="D2" s="11"/>
      <c r="E2" s="23">
        <v>2026</v>
      </c>
      <c r="F2" s="11"/>
      <c r="G2" s="11" t="s">
        <v>2</v>
      </c>
      <c r="H2" s="11"/>
      <c r="I2" s="23">
        <v>2</v>
      </c>
      <c r="J2" s="11"/>
      <c r="K2" s="11" t="s">
        <v>3</v>
      </c>
      <c r="L2" s="28"/>
      <c r="M2" s="11"/>
      <c r="N2" s="28"/>
      <c r="O2" s="22" t="s">
        <v>4</v>
      </c>
      <c r="P2" s="22" t="s">
        <v>5</v>
      </c>
      <c r="Q2" s="33" t="s">
        <v>4</v>
      </c>
      <c r="R2" s="33" t="s">
        <v>5</v>
      </c>
      <c r="S2" s="34" t="s">
        <v>4</v>
      </c>
      <c r="T2" s="34" t="s">
        <v>5</v>
      </c>
      <c r="U2" s="46" t="s">
        <v>4</v>
      </c>
      <c r="V2" s="46" t="s">
        <v>5</v>
      </c>
      <c r="W2" s="22" t="s">
        <v>4</v>
      </c>
      <c r="X2" s="22" t="s">
        <v>5</v>
      </c>
      <c r="Y2" s="33" t="s">
        <v>4</v>
      </c>
      <c r="Z2" s="33" t="s">
        <v>5</v>
      </c>
      <c r="AA2" s="22" t="s">
        <v>4</v>
      </c>
      <c r="AB2" s="22" t="s">
        <v>5</v>
      </c>
      <c r="AC2" s="33" t="s">
        <v>4</v>
      </c>
      <c r="AD2" s="33" t="s">
        <v>5</v>
      </c>
      <c r="AE2" s="22" t="s">
        <v>4</v>
      </c>
      <c r="AF2" s="22" t="s">
        <v>5</v>
      </c>
      <c r="AG2" s="33" t="s">
        <v>4</v>
      </c>
      <c r="AH2" s="33" t="s">
        <v>5</v>
      </c>
      <c r="AI2" s="22" t="s">
        <v>4</v>
      </c>
      <c r="AJ2" s="22" t="s">
        <v>5</v>
      </c>
      <c r="AK2" s="33" t="s">
        <v>4</v>
      </c>
      <c r="AL2" s="33" t="s">
        <v>5</v>
      </c>
      <c r="AM2" s="22" t="s">
        <v>4</v>
      </c>
      <c r="AN2" s="22" t="s">
        <v>5</v>
      </c>
      <c r="AO2" s="33" t="s">
        <v>4</v>
      </c>
      <c r="AP2" s="33" t="s">
        <v>5</v>
      </c>
      <c r="AQ2" s="22" t="s">
        <v>4</v>
      </c>
      <c r="AR2" s="22" t="s">
        <v>5</v>
      </c>
      <c r="AS2" s="33" t="s">
        <v>4</v>
      </c>
      <c r="AT2" s="33" t="s">
        <v>5</v>
      </c>
      <c r="AU2" s="22" t="s">
        <v>4</v>
      </c>
      <c r="AV2" s="22" t="s">
        <v>5</v>
      </c>
      <c r="AW2" s="33" t="s">
        <v>4</v>
      </c>
      <c r="AX2" s="33" t="s">
        <v>5</v>
      </c>
      <c r="AY2" s="22" t="s">
        <v>4</v>
      </c>
      <c r="AZ2" s="22" t="s">
        <v>5</v>
      </c>
      <c r="BA2" s="33" t="s">
        <v>4</v>
      </c>
      <c r="BB2" s="33" t="s">
        <v>5</v>
      </c>
      <c r="BC2" s="53" t="s">
        <v>4</v>
      </c>
      <c r="BD2" s="53" t="s">
        <v>5</v>
      </c>
      <c r="BE2" s="33" t="s">
        <v>4</v>
      </c>
      <c r="BF2" s="33" t="s">
        <v>5</v>
      </c>
      <c r="BG2" s="22" t="s">
        <v>4</v>
      </c>
      <c r="BH2" s="22" t="s">
        <v>5</v>
      </c>
      <c r="BI2" s="33" t="s">
        <v>4</v>
      </c>
      <c r="BJ2" s="33" t="s">
        <v>5</v>
      </c>
      <c r="BK2" s="22" t="s">
        <v>4</v>
      </c>
      <c r="BL2" s="22" t="s">
        <v>5</v>
      </c>
      <c r="BM2" s="33" t="s">
        <v>4</v>
      </c>
      <c r="BN2" s="33" t="s">
        <v>5</v>
      </c>
      <c r="BO2" s="22" t="s">
        <v>4</v>
      </c>
      <c r="BP2" s="22" t="s">
        <v>5</v>
      </c>
      <c r="BQ2" s="33" t="s">
        <v>4</v>
      </c>
      <c r="BR2" s="33" t="s">
        <v>5</v>
      </c>
      <c r="BS2" s="22" t="s">
        <v>4</v>
      </c>
      <c r="BT2" s="22" t="s">
        <v>5</v>
      </c>
      <c r="BU2" s="46" t="s">
        <v>4</v>
      </c>
      <c r="BV2" s="46" t="s">
        <v>5</v>
      </c>
      <c r="BW2" s="22" t="s">
        <v>4</v>
      </c>
      <c r="BX2" s="22" t="s">
        <v>5</v>
      </c>
      <c r="BY2" s="33" t="s">
        <v>4</v>
      </c>
      <c r="BZ2" s="33" t="s">
        <v>5</v>
      </c>
    </row>
    <row r="3" ht="21.75" customHeight="1" spans="1:80">
      <c r="A3" s="9" t="s">
        <v>6</v>
      </c>
      <c r="B3" s="10" t="s">
        <v>7</v>
      </c>
      <c r="C3" s="11"/>
      <c r="D3" s="11"/>
      <c r="E3" s="11"/>
      <c r="F3" s="11"/>
      <c r="G3" s="11"/>
      <c r="H3" s="11"/>
      <c r="I3" s="11"/>
      <c r="J3" s="11"/>
      <c r="K3" s="28"/>
      <c r="L3" s="28"/>
      <c r="M3" s="28"/>
      <c r="N3" s="28"/>
      <c r="O3" s="22" t="s">
        <v>8</v>
      </c>
      <c r="P3" s="22" t="s">
        <v>9</v>
      </c>
      <c r="Q3" s="33" t="s">
        <v>10</v>
      </c>
      <c r="R3" s="33" t="s">
        <v>11</v>
      </c>
      <c r="S3" s="34" t="s">
        <v>8</v>
      </c>
      <c r="T3" s="34" t="s">
        <v>9</v>
      </c>
      <c r="U3" s="46" t="s">
        <v>10</v>
      </c>
      <c r="V3" s="46" t="s">
        <v>11</v>
      </c>
      <c r="W3" s="22" t="s">
        <v>8</v>
      </c>
      <c r="X3" s="22" t="s">
        <v>9</v>
      </c>
      <c r="Y3" s="33" t="s">
        <v>10</v>
      </c>
      <c r="Z3" s="33" t="s">
        <v>11</v>
      </c>
      <c r="AA3" s="22" t="s">
        <v>8</v>
      </c>
      <c r="AB3" s="22" t="s">
        <v>9</v>
      </c>
      <c r="AC3" s="33" t="s">
        <v>10</v>
      </c>
      <c r="AD3" s="33" t="s">
        <v>11</v>
      </c>
      <c r="AE3" s="22" t="s">
        <v>8</v>
      </c>
      <c r="AF3" s="22" t="s">
        <v>9</v>
      </c>
      <c r="AG3" s="33" t="s">
        <v>10</v>
      </c>
      <c r="AH3" s="33" t="s">
        <v>11</v>
      </c>
      <c r="AI3" s="22" t="s">
        <v>8</v>
      </c>
      <c r="AJ3" s="22" t="s">
        <v>9</v>
      </c>
      <c r="AK3" s="33" t="s">
        <v>10</v>
      </c>
      <c r="AL3" s="33" t="s">
        <v>11</v>
      </c>
      <c r="AM3" s="22" t="s">
        <v>8</v>
      </c>
      <c r="AN3" s="22" t="s">
        <v>9</v>
      </c>
      <c r="AO3" s="33" t="s">
        <v>10</v>
      </c>
      <c r="AP3" s="33" t="s">
        <v>11</v>
      </c>
      <c r="AQ3" s="22" t="s">
        <v>8</v>
      </c>
      <c r="AR3" s="22" t="s">
        <v>9</v>
      </c>
      <c r="AS3" s="33" t="s">
        <v>10</v>
      </c>
      <c r="AT3" s="33" t="s">
        <v>11</v>
      </c>
      <c r="AU3" s="22" t="s">
        <v>8</v>
      </c>
      <c r="AV3" s="22" t="s">
        <v>9</v>
      </c>
      <c r="AW3" s="33" t="s">
        <v>10</v>
      </c>
      <c r="AX3" s="33" t="s">
        <v>11</v>
      </c>
      <c r="AY3" s="22" t="s">
        <v>8</v>
      </c>
      <c r="AZ3" s="22" t="s">
        <v>9</v>
      </c>
      <c r="BA3" s="33" t="s">
        <v>10</v>
      </c>
      <c r="BB3" s="33" t="s">
        <v>11</v>
      </c>
      <c r="BC3" s="53" t="s">
        <v>8</v>
      </c>
      <c r="BD3" s="53" t="s">
        <v>9</v>
      </c>
      <c r="BE3" s="33" t="s">
        <v>10</v>
      </c>
      <c r="BF3" s="33" t="s">
        <v>11</v>
      </c>
      <c r="BG3" s="22" t="s">
        <v>8</v>
      </c>
      <c r="BH3" s="22" t="s">
        <v>9</v>
      </c>
      <c r="BI3" s="33" t="s">
        <v>10</v>
      </c>
      <c r="BJ3" s="33" t="s">
        <v>11</v>
      </c>
      <c r="BK3" s="22" t="s">
        <v>8</v>
      </c>
      <c r="BL3" s="22" t="s">
        <v>9</v>
      </c>
      <c r="BM3" s="33" t="s">
        <v>10</v>
      </c>
      <c r="BN3" s="33" t="s">
        <v>11</v>
      </c>
      <c r="BO3" s="22" t="s">
        <v>8</v>
      </c>
      <c r="BP3" s="22" t="s">
        <v>9</v>
      </c>
      <c r="BQ3" s="33" t="s">
        <v>10</v>
      </c>
      <c r="BR3" s="33" t="s">
        <v>11</v>
      </c>
      <c r="BS3" s="22" t="s">
        <v>8</v>
      </c>
      <c r="BT3" s="22" t="s">
        <v>9</v>
      </c>
      <c r="BU3" s="46" t="s">
        <v>10</v>
      </c>
      <c r="BV3" s="46" t="s">
        <v>11</v>
      </c>
      <c r="BW3" s="22" t="s">
        <v>8</v>
      </c>
      <c r="BX3" s="22" t="s">
        <v>9</v>
      </c>
      <c r="BY3" s="33" t="s">
        <v>10</v>
      </c>
      <c r="BZ3" s="33" t="s">
        <v>11</v>
      </c>
      <c r="CB3" s="3"/>
    </row>
    <row r="4" ht="21.75" customHeight="1" spans="1:78">
      <c r="A4" s="9" t="s">
        <v>12</v>
      </c>
      <c r="B4" s="11" t="s">
        <v>13</v>
      </c>
      <c r="C4" s="11" t="s">
        <v>14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2">
        <f>P8/O8</f>
        <v>6.36956521739131</v>
      </c>
      <c r="P4" s="22">
        <f>O5-O4</f>
        <v>-2.13339500462535</v>
      </c>
      <c r="Q4" s="33">
        <f>Q8-O8</f>
        <v>0.0999999999999996</v>
      </c>
      <c r="R4" s="33">
        <f>R8-P8</f>
        <v>-9.39</v>
      </c>
      <c r="S4" s="34">
        <f>T8/S8</f>
        <v>2.94542294322132</v>
      </c>
      <c r="T4" s="34">
        <f>S5-S4</f>
        <v>0.0329645147853981</v>
      </c>
      <c r="U4" s="46">
        <f>U8-S8</f>
        <v>3</v>
      </c>
      <c r="V4" s="46">
        <f>V8-T8</f>
        <v>11.78</v>
      </c>
      <c r="W4" s="22">
        <f>X8/W8</f>
        <v>2.86073793755913</v>
      </c>
      <c r="X4" s="22">
        <f>W5-W4</f>
        <v>0.0895782322692353</v>
      </c>
      <c r="Y4" s="33">
        <f>Y8-W8</f>
        <v>5</v>
      </c>
      <c r="Z4" s="33">
        <f>Z8-X8</f>
        <v>24.22</v>
      </c>
      <c r="AA4" s="22">
        <f>AB8/AA8</f>
        <v>2.00956388676358</v>
      </c>
      <c r="AB4" s="22">
        <f>AA5-AA4</f>
        <v>0.335763920320066</v>
      </c>
      <c r="AC4" s="33">
        <f>AC8-AA8</f>
        <v>1.59999999999999</v>
      </c>
      <c r="AD4" s="33">
        <f>AD8-AB8</f>
        <v>38.86</v>
      </c>
      <c r="AE4" s="22">
        <f>AF8/AE8</f>
        <v>2.63991853360489</v>
      </c>
      <c r="AF4" s="22">
        <f>AE5-AE4</f>
        <v>0.238580452196329</v>
      </c>
      <c r="AG4" s="33">
        <f>AG8-AE8</f>
        <v>0.200000000000003</v>
      </c>
      <c r="AH4" s="33">
        <f>AH8-AF8</f>
        <v>12.29</v>
      </c>
      <c r="AI4" s="22">
        <f>AJ8/AI8</f>
        <v>1.65388349514563</v>
      </c>
      <c r="AJ4" s="22">
        <f>AI5-AI4</f>
        <v>0.0762090974469618</v>
      </c>
      <c r="AK4" s="33">
        <f>AK8-AI8</f>
        <v>1</v>
      </c>
      <c r="AL4" s="33">
        <f>AL8-AJ8</f>
        <v>3.3</v>
      </c>
      <c r="AM4" s="22">
        <f>AN8/AM8</f>
        <v>2.36495907850864</v>
      </c>
      <c r="AN4" s="22">
        <f>AM5-AM4</f>
        <v>0.202954737185058</v>
      </c>
      <c r="AO4" s="33">
        <f>AO8-AM8</f>
        <v>2.70999999999999</v>
      </c>
      <c r="AP4" s="33">
        <f>AP8-AN8</f>
        <v>20.35</v>
      </c>
      <c r="AQ4" s="22">
        <f>AR8/AQ8</f>
        <v>2.99425516636081</v>
      </c>
      <c r="AR4" s="22">
        <f>AQ5-AQ4</f>
        <v>0.084342350074547</v>
      </c>
      <c r="AS4" s="33">
        <f t="shared" ref="AS4:AX4" si="0">AS8-AQ8</f>
        <v>11.57</v>
      </c>
      <c r="AT4" s="33">
        <f t="shared" si="0"/>
        <v>46.1899999999999</v>
      </c>
      <c r="AU4" s="22">
        <f>AV8/AU8</f>
        <v>1.63368421052632</v>
      </c>
      <c r="AV4" s="22">
        <f>AU5-AU4</f>
        <v>0.158947368421053</v>
      </c>
      <c r="AW4" s="33">
        <f t="shared" si="0"/>
        <v>0</v>
      </c>
      <c r="AX4" s="33">
        <f t="shared" si="0"/>
        <v>1.51</v>
      </c>
      <c r="AY4" s="22">
        <f>AZ8/AY8</f>
        <v>2.99345522848003</v>
      </c>
      <c r="AZ4" s="22">
        <f>AY5-AY4</f>
        <v>0.231948357028302</v>
      </c>
      <c r="BA4" s="33">
        <f>BA8-AY8</f>
        <v>6.78000000000003</v>
      </c>
      <c r="BB4" s="33">
        <f>BB8-AZ8</f>
        <v>100.9</v>
      </c>
      <c r="BC4" s="53">
        <f>BD8/BC8</f>
        <v>3.57142857142857</v>
      </c>
      <c r="BD4" s="53">
        <f>BC5-BC4</f>
        <v>0.00303951367781163</v>
      </c>
      <c r="BE4" s="33">
        <f>BE8-BC8</f>
        <v>1.03</v>
      </c>
      <c r="BF4" s="33">
        <f>BF8-BD8</f>
        <v>3.72</v>
      </c>
      <c r="BG4" s="22">
        <f>BH8/BG8</f>
        <v>3.54901960784314</v>
      </c>
      <c r="BH4" s="22">
        <f>BG5-BG4</f>
        <v>-0.155362387870127</v>
      </c>
      <c r="BI4" s="33">
        <f>BI8-BG8</f>
        <v>2.69999999999999</v>
      </c>
      <c r="BJ4" s="33">
        <f>BJ8-BH8</f>
        <v>-1.93000000000001</v>
      </c>
      <c r="BK4" s="22">
        <f>BL8/BK8</f>
        <v>2.72435233160622</v>
      </c>
      <c r="BL4" s="22">
        <f>BK5-BK4</f>
        <v>-0.0611132570560891</v>
      </c>
      <c r="BM4" s="33">
        <f>BM8-BK8</f>
        <v>0.299999999999997</v>
      </c>
      <c r="BN4" s="33">
        <f>BN8-BL8</f>
        <v>-1.56</v>
      </c>
      <c r="BO4" s="22">
        <f>BP8/BO8</f>
        <v>3.53293843116137</v>
      </c>
      <c r="BP4" s="22">
        <f>BO5-BO4</f>
        <v>0.279462204768676</v>
      </c>
      <c r="BQ4" s="33">
        <f>BQ8-BO8</f>
        <v>0.900000000000006</v>
      </c>
      <c r="BR4" s="33">
        <f>BR8-BP8</f>
        <v>19</v>
      </c>
      <c r="BS4" s="22">
        <f>BT8/BS8</f>
        <v>2.59683794466403</v>
      </c>
      <c r="BT4" s="22">
        <f>BS5-BS4</f>
        <v>0.224061264822134</v>
      </c>
      <c r="BU4" s="46">
        <f>BU8-BS8</f>
        <v>0</v>
      </c>
      <c r="BV4" s="46">
        <f>BV8-BT8</f>
        <v>9.06999999999999</v>
      </c>
      <c r="BW4" s="22">
        <f>BX8/BW8</f>
        <v>4.23277982779828</v>
      </c>
      <c r="BX4" s="22">
        <f>BW5-BW4</f>
        <v>-0.5039975399754</v>
      </c>
      <c r="BY4" s="33">
        <f>BY8-BW8</f>
        <v>0</v>
      </c>
      <c r="BZ4" s="33">
        <f>BZ8-BX8</f>
        <v>-32.78</v>
      </c>
    </row>
    <row r="5" ht="21" customHeight="1" spans="1:78">
      <c r="A5" s="9"/>
      <c r="B5" s="13"/>
      <c r="C5" s="14" t="s">
        <v>15</v>
      </c>
      <c r="D5" s="15"/>
      <c r="E5" s="15"/>
      <c r="F5" s="15"/>
      <c r="G5" s="14" t="s">
        <v>16</v>
      </c>
      <c r="H5" s="15"/>
      <c r="I5" s="15"/>
      <c r="J5" s="15"/>
      <c r="K5" s="11" t="s">
        <v>17</v>
      </c>
      <c r="L5" s="12"/>
      <c r="M5" s="12"/>
      <c r="N5" s="12"/>
      <c r="O5" s="22">
        <f>R8/Q8</f>
        <v>4.23617021276596</v>
      </c>
      <c r="P5" s="22">
        <f>P4/O4</f>
        <v>-0.33493573451456</v>
      </c>
      <c r="Q5" s="35">
        <f>Q4/O8</f>
        <v>0.0217391304347825</v>
      </c>
      <c r="R5" s="35">
        <f>R4/P8*100</f>
        <v>-32.0477815699659</v>
      </c>
      <c r="S5" s="34">
        <f>V8/U8</f>
        <v>2.97838745800672</v>
      </c>
      <c r="T5" s="34">
        <f>T4/S4</f>
        <v>0.0111917763325853</v>
      </c>
      <c r="U5" s="47">
        <f>U4/S8</f>
        <v>0.0347624565469293</v>
      </c>
      <c r="V5" s="47">
        <f>V4/T8*100</f>
        <v>4.63432865179591</v>
      </c>
      <c r="W5" s="22">
        <f>Z8/Y8</f>
        <v>2.95031616982836</v>
      </c>
      <c r="X5" s="22">
        <f>X4/W4</f>
        <v>0.0313129808547463</v>
      </c>
      <c r="Y5" s="35">
        <f>Y4/W8</f>
        <v>0.0473036896877956</v>
      </c>
      <c r="Z5" s="35">
        <f>Z4/X8*100</f>
        <v>8.00978900720946</v>
      </c>
      <c r="AA5" s="22">
        <f>AD8/AC8</f>
        <v>2.34532780708365</v>
      </c>
      <c r="AB5" s="22">
        <f>AB4/AA4</f>
        <v>0.167082978815278</v>
      </c>
      <c r="AC5" s="35">
        <f>AC4/AA8</f>
        <v>0.0153022188217291</v>
      </c>
      <c r="AD5" s="35">
        <f>AD4/AB8*100</f>
        <v>18.4941937940225</v>
      </c>
      <c r="AE5" s="22">
        <f>AH8/AG8</f>
        <v>2.87849898580122</v>
      </c>
      <c r="AF5" s="22">
        <f>AF4/AE4</f>
        <v>0.0903741722175571</v>
      </c>
      <c r="AG5" s="35">
        <f>AG4/AE8</f>
        <v>0.00407331975560087</v>
      </c>
      <c r="AH5" s="35">
        <f>AH4/AF8*100</f>
        <v>9.4815614874248</v>
      </c>
      <c r="AI5" s="22">
        <f>AL8/AK8</f>
        <v>1.73009259259259</v>
      </c>
      <c r="AJ5" s="22">
        <f>AJ4/AI4</f>
        <v>0.0460788789964019</v>
      </c>
      <c r="AK5" s="35">
        <f>AK4/AI8</f>
        <v>0.0485436893203883</v>
      </c>
      <c r="AL5" s="35">
        <f>AL4/AJ8*100</f>
        <v>9.68594071030233</v>
      </c>
      <c r="AM5" s="22">
        <f>AP8/AO8</f>
        <v>2.5679138156937</v>
      </c>
      <c r="AN5" s="22">
        <f>AN4/AM4</f>
        <v>0.0858174414218796</v>
      </c>
      <c r="AO5" s="35">
        <f>AO4/AM8</f>
        <v>0.0410730524401333</v>
      </c>
      <c r="AP5" s="35">
        <f>AP4/AN8*100</f>
        <v>13.0415278133812</v>
      </c>
      <c r="AQ5" s="22">
        <f>AT8/AS8</f>
        <v>3.07859751643535</v>
      </c>
      <c r="AR5" s="22">
        <f>AR4/AQ4</f>
        <v>0.0281680569585711</v>
      </c>
      <c r="AS5" s="35">
        <f>AS4/AQ8</f>
        <v>0.0923162850075798</v>
      </c>
      <c r="AT5" s="35">
        <f>AT4/AR8*100</f>
        <v>12.3084712340448</v>
      </c>
      <c r="AU5" s="22">
        <f>AX8/AW8</f>
        <v>1.79263157894737</v>
      </c>
      <c r="AV5" s="22">
        <f>AV4/AU4</f>
        <v>0.0972938144329897</v>
      </c>
      <c r="AW5" s="35">
        <f>AW4/AU8</f>
        <v>0</v>
      </c>
      <c r="AX5" s="35">
        <f>AX4/AV8*100</f>
        <v>9.72938144329898</v>
      </c>
      <c r="AY5" s="22">
        <f>BB8/BA8</f>
        <v>3.22540358550833</v>
      </c>
      <c r="AZ5" s="22">
        <f>AZ4/AY4</f>
        <v>0.0774851598986756</v>
      </c>
      <c r="BA5" s="35">
        <f>BA4/AY8</f>
        <v>0.0198984533208113</v>
      </c>
      <c r="BB5" s="35">
        <f>BB4/AZ8*100</f>
        <v>9.89254480567864</v>
      </c>
      <c r="BC5" s="53">
        <f>BF8/BE8</f>
        <v>3.57446808510638</v>
      </c>
      <c r="BD5" s="53">
        <f>BD4/BC4</f>
        <v>0.000851063829787257</v>
      </c>
      <c r="BE5" s="35">
        <f>BE4/BC8</f>
        <v>0.0817460317460317</v>
      </c>
      <c r="BF5" s="35">
        <f>BF4/BD8*100</f>
        <v>8.26666666666666</v>
      </c>
      <c r="BG5" s="22">
        <f>BJ8/BI8</f>
        <v>3.39365721997301</v>
      </c>
      <c r="BH5" s="22">
        <f>BH4/BG4</f>
        <v>-0.0437761424385442</v>
      </c>
      <c r="BI5" s="35">
        <f>BI4/BG8</f>
        <v>0.03781512605042</v>
      </c>
      <c r="BJ5" s="35">
        <f>BJ4/BH8*100</f>
        <v>-0.761641673243886</v>
      </c>
      <c r="BK5" s="22">
        <f>BN8/BM8</f>
        <v>2.66323907455013</v>
      </c>
      <c r="BL5" s="22">
        <f>BL4/BK4</f>
        <v>-0.0224322149331023</v>
      </c>
      <c r="BM5" s="35">
        <f>BM4/BK8</f>
        <v>0.00777202072538853</v>
      </c>
      <c r="BN5" s="35">
        <f>BN4/BL8*100</f>
        <v>-1.48345378470902</v>
      </c>
      <c r="BO5" s="22">
        <f>BR8/BQ8</f>
        <v>3.81240063593005</v>
      </c>
      <c r="BP5" s="22">
        <f>BP4/BO4</f>
        <v>0.0791019176286096</v>
      </c>
      <c r="BQ5" s="35">
        <f>BQ4/BO8</f>
        <v>0.0161550888529888</v>
      </c>
      <c r="BR5" s="35">
        <f>BR4/BP8*100</f>
        <v>9.65349049893303</v>
      </c>
      <c r="BS5" s="22">
        <f>BV8/BU8</f>
        <v>2.82089920948617</v>
      </c>
      <c r="BT5" s="22">
        <f>BT4/BS4</f>
        <v>0.0862823439878234</v>
      </c>
      <c r="BU5" s="47">
        <f>BU4/BS8</f>
        <v>0</v>
      </c>
      <c r="BV5" s="47">
        <f>BV4/BT8*100</f>
        <v>8.62823439878234</v>
      </c>
      <c r="BW5" s="22">
        <f>BZ8/BY8</f>
        <v>3.72878228782288</v>
      </c>
      <c r="BX5" s="22">
        <f>BX4/BW4</f>
        <v>-0.11907010533963</v>
      </c>
      <c r="BY5" s="35">
        <f>BY4/BW8</f>
        <v>0</v>
      </c>
      <c r="BZ5" s="35">
        <f>BZ4/BX8*100</f>
        <v>-11.907010533963</v>
      </c>
    </row>
    <row r="6" ht="21" customHeight="1" spans="1:78">
      <c r="A6" s="9"/>
      <c r="B6" s="13"/>
      <c r="C6" s="11" t="s">
        <v>18</v>
      </c>
      <c r="D6" s="11" t="s">
        <v>19</v>
      </c>
      <c r="E6" s="11" t="s">
        <v>20</v>
      </c>
      <c r="F6" s="11" t="s">
        <v>21</v>
      </c>
      <c r="G6" s="11" t="s">
        <v>18</v>
      </c>
      <c r="H6" s="11" t="s">
        <v>19</v>
      </c>
      <c r="I6" s="11" t="s">
        <v>20</v>
      </c>
      <c r="J6" s="11" t="s">
        <v>21</v>
      </c>
      <c r="K6" s="11" t="s">
        <v>18</v>
      </c>
      <c r="L6" s="11" t="s">
        <v>19</v>
      </c>
      <c r="M6" s="11" t="s">
        <v>20</v>
      </c>
      <c r="N6" s="11" t="s">
        <v>21</v>
      </c>
      <c r="O6" s="29" t="s">
        <v>22</v>
      </c>
      <c r="P6" s="29"/>
      <c r="Q6" s="35" t="s">
        <v>23</v>
      </c>
      <c r="R6" s="35"/>
      <c r="S6" s="36" t="s">
        <v>24</v>
      </c>
      <c r="T6" s="36"/>
      <c r="U6" s="47" t="s">
        <v>25</v>
      </c>
      <c r="V6" s="47"/>
      <c r="W6" s="29" t="s">
        <v>26</v>
      </c>
      <c r="X6" s="29"/>
      <c r="Y6" s="35" t="s">
        <v>27</v>
      </c>
      <c r="Z6" s="35"/>
      <c r="AA6" s="29" t="s">
        <v>28</v>
      </c>
      <c r="AB6" s="29"/>
      <c r="AC6" s="35" t="s">
        <v>29</v>
      </c>
      <c r="AD6" s="35"/>
      <c r="AE6" s="29" t="s">
        <v>30</v>
      </c>
      <c r="AF6" s="29"/>
      <c r="AG6" s="35" t="s">
        <v>31</v>
      </c>
      <c r="AH6" s="35"/>
      <c r="AI6" s="29" t="s">
        <v>32</v>
      </c>
      <c r="AJ6" s="29"/>
      <c r="AK6" s="35" t="s">
        <v>33</v>
      </c>
      <c r="AL6" s="35"/>
      <c r="AM6" s="29" t="s">
        <v>34</v>
      </c>
      <c r="AN6" s="29"/>
      <c r="AO6" s="35" t="s">
        <v>35</v>
      </c>
      <c r="AP6" s="35"/>
      <c r="AQ6" s="29" t="s">
        <v>36</v>
      </c>
      <c r="AR6" s="29"/>
      <c r="AS6" s="35" t="s">
        <v>37</v>
      </c>
      <c r="AT6" s="35"/>
      <c r="AU6" s="29" t="s">
        <v>38</v>
      </c>
      <c r="AV6" s="29"/>
      <c r="AW6" s="35" t="s">
        <v>39</v>
      </c>
      <c r="AX6" s="35"/>
      <c r="AY6" s="29" t="s">
        <v>40</v>
      </c>
      <c r="AZ6" s="29"/>
      <c r="BA6" s="35" t="s">
        <v>41</v>
      </c>
      <c r="BB6" s="35"/>
      <c r="BC6" s="53" t="s">
        <v>42</v>
      </c>
      <c r="BD6" s="53"/>
      <c r="BE6" s="35" t="s">
        <v>43</v>
      </c>
      <c r="BF6" s="35"/>
      <c r="BG6" s="29" t="s">
        <v>44</v>
      </c>
      <c r="BH6" s="29"/>
      <c r="BI6" s="35" t="s">
        <v>45</v>
      </c>
      <c r="BJ6" s="35"/>
      <c r="BK6" s="29" t="s">
        <v>46</v>
      </c>
      <c r="BL6" s="29"/>
      <c r="BM6" s="35" t="s">
        <v>47</v>
      </c>
      <c r="BN6" s="35"/>
      <c r="BO6" s="29" t="s">
        <v>48</v>
      </c>
      <c r="BP6" s="29"/>
      <c r="BQ6" s="35" t="s">
        <v>49</v>
      </c>
      <c r="BR6" s="35"/>
      <c r="BS6" s="29" t="s">
        <v>50</v>
      </c>
      <c r="BT6" s="29"/>
      <c r="BU6" s="47" t="s">
        <v>51</v>
      </c>
      <c r="BV6" s="47"/>
      <c r="BW6" s="29" t="s">
        <v>52</v>
      </c>
      <c r="BX6" s="29"/>
      <c r="BY6" s="35" t="s">
        <v>53</v>
      </c>
      <c r="BZ6" s="35"/>
    </row>
    <row r="7" ht="21" customHeight="1" spans="1:78">
      <c r="A7" s="9" t="s">
        <v>54</v>
      </c>
      <c r="B7" s="11" t="s">
        <v>55</v>
      </c>
      <c r="C7" s="13">
        <v>1</v>
      </c>
      <c r="D7" s="13">
        <v>2</v>
      </c>
      <c r="E7" s="24">
        <v>47.21</v>
      </c>
      <c r="F7" s="13">
        <v>4</v>
      </c>
      <c r="G7" s="13">
        <v>5</v>
      </c>
      <c r="H7" s="13">
        <v>6</v>
      </c>
      <c r="I7" s="24">
        <v>592.11</v>
      </c>
      <c r="J7" s="13">
        <v>8</v>
      </c>
      <c r="K7" s="13">
        <v>9</v>
      </c>
      <c r="L7" s="13">
        <v>10</v>
      </c>
      <c r="M7" s="13">
        <v>11</v>
      </c>
      <c r="N7" s="13">
        <v>12</v>
      </c>
      <c r="O7" s="22" t="s">
        <v>4</v>
      </c>
      <c r="P7" s="22" t="s">
        <v>5</v>
      </c>
      <c r="Q7" s="33" t="s">
        <v>4</v>
      </c>
      <c r="R7" s="33" t="s">
        <v>5</v>
      </c>
      <c r="S7" s="34" t="s">
        <v>4</v>
      </c>
      <c r="T7" s="34" t="s">
        <v>5</v>
      </c>
      <c r="U7" s="46" t="s">
        <v>4</v>
      </c>
      <c r="V7" s="46" t="s">
        <v>5</v>
      </c>
      <c r="W7" s="22" t="s">
        <v>4</v>
      </c>
      <c r="X7" s="22" t="s">
        <v>5</v>
      </c>
      <c r="Y7" s="33" t="s">
        <v>4</v>
      </c>
      <c r="Z7" s="33" t="s">
        <v>5</v>
      </c>
      <c r="AA7" s="22" t="s">
        <v>4</v>
      </c>
      <c r="AB7" s="22" t="s">
        <v>5</v>
      </c>
      <c r="AC7" s="33" t="s">
        <v>4</v>
      </c>
      <c r="AD7" s="33" t="s">
        <v>5</v>
      </c>
      <c r="AE7" s="22" t="s">
        <v>4</v>
      </c>
      <c r="AF7" s="22" t="s">
        <v>5</v>
      </c>
      <c r="AG7" s="33" t="s">
        <v>4</v>
      </c>
      <c r="AH7" s="33" t="s">
        <v>5</v>
      </c>
      <c r="AI7" s="22" t="s">
        <v>4</v>
      </c>
      <c r="AJ7" s="22" t="s">
        <v>5</v>
      </c>
      <c r="AK7" s="33" t="s">
        <v>4</v>
      </c>
      <c r="AL7" s="33" t="s">
        <v>5</v>
      </c>
      <c r="AM7" s="22" t="s">
        <v>4</v>
      </c>
      <c r="AN7" s="22" t="s">
        <v>5</v>
      </c>
      <c r="AO7" s="33" t="s">
        <v>4</v>
      </c>
      <c r="AP7" s="33" t="s">
        <v>5</v>
      </c>
      <c r="AQ7" s="22" t="s">
        <v>4</v>
      </c>
      <c r="AR7" s="22" t="s">
        <v>5</v>
      </c>
      <c r="AS7" s="33" t="s">
        <v>4</v>
      </c>
      <c r="AT7" s="33" t="s">
        <v>5</v>
      </c>
      <c r="AU7" s="22" t="s">
        <v>4</v>
      </c>
      <c r="AV7" s="22" t="s">
        <v>5</v>
      </c>
      <c r="AW7" s="33" t="s">
        <v>4</v>
      </c>
      <c r="AX7" s="33" t="s">
        <v>5</v>
      </c>
      <c r="AY7" s="22" t="s">
        <v>4</v>
      </c>
      <c r="AZ7" s="22" t="s">
        <v>5</v>
      </c>
      <c r="BA7" s="33" t="s">
        <v>4</v>
      </c>
      <c r="BB7" s="33" t="s">
        <v>5</v>
      </c>
      <c r="BC7" s="53" t="s">
        <v>4</v>
      </c>
      <c r="BD7" s="53" t="s">
        <v>5</v>
      </c>
      <c r="BE7" s="33" t="s">
        <v>4</v>
      </c>
      <c r="BF7" s="33" t="s">
        <v>5</v>
      </c>
      <c r="BG7" s="22" t="s">
        <v>4</v>
      </c>
      <c r="BH7" s="22" t="s">
        <v>5</v>
      </c>
      <c r="BI7" s="33" t="s">
        <v>4</v>
      </c>
      <c r="BJ7" s="33" t="s">
        <v>5</v>
      </c>
      <c r="BK7" s="22" t="s">
        <v>4</v>
      </c>
      <c r="BL7" s="22" t="s">
        <v>5</v>
      </c>
      <c r="BM7" s="33" t="s">
        <v>4</v>
      </c>
      <c r="BN7" s="33" t="s">
        <v>5</v>
      </c>
      <c r="BO7" s="22" t="s">
        <v>4</v>
      </c>
      <c r="BP7" s="22" t="s">
        <v>5</v>
      </c>
      <c r="BQ7" s="33" t="s">
        <v>4</v>
      </c>
      <c r="BR7" s="33" t="s">
        <v>5</v>
      </c>
      <c r="BS7" s="22" t="s">
        <v>4</v>
      </c>
      <c r="BT7" s="22" t="s">
        <v>5</v>
      </c>
      <c r="BU7" s="46" t="s">
        <v>4</v>
      </c>
      <c r="BV7" s="46" t="s">
        <v>5</v>
      </c>
      <c r="BW7" s="22" t="s">
        <v>4</v>
      </c>
      <c r="BX7" s="22" t="s">
        <v>5</v>
      </c>
      <c r="BY7" s="33" t="s">
        <v>4</v>
      </c>
      <c r="BZ7" s="33" t="s">
        <v>5</v>
      </c>
    </row>
    <row r="8" s="1" customFormat="1" ht="21" customHeight="1" spans="1:78">
      <c r="A8" s="16" t="s">
        <v>56</v>
      </c>
      <c r="B8" s="13">
        <v>1</v>
      </c>
      <c r="C8" s="17">
        <f>Q8+U8+Y8+AC8+AG8+AK8+AO8+AS8+AW8+BA8+BE8+BI8+BM8+BQ8+BU8+BY8</f>
        <v>1233.12</v>
      </c>
      <c r="D8" s="17">
        <f>O8+S8+W8+AA8+AE8+AI8+AM8+AQ8+AU8+AY8+BC8+BG8+BK8+BO8+BS8+BW8</f>
        <v>1196.23</v>
      </c>
      <c r="E8" s="25">
        <f t="shared" ref="E8:E38" si="1">C8-D8</f>
        <v>36.8899999999999</v>
      </c>
      <c r="F8" s="26">
        <f>E8/D8</f>
        <v>0.0308385511147521</v>
      </c>
      <c r="G8" s="26">
        <f>V8+R8+Z8+AD8+AH8+AL8+AP8+AT8+AX8+BB8+BF8+BJ8+BN8+BR8+BV8+BZ8</f>
        <v>3752.8</v>
      </c>
      <c r="H8" s="17">
        <f>BX8+P8+T8+X8+AB8+AF8+AJ8+AN8+AR8+AV8+AZ8+BD8+BH8+BL8+BP8+BT8</f>
        <v>3507.27</v>
      </c>
      <c r="I8" s="25">
        <f t="shared" ref="I8:I38" si="2">G8-H8</f>
        <v>245.53</v>
      </c>
      <c r="J8" s="26">
        <f>I8/H8</f>
        <v>0.070006016075181</v>
      </c>
      <c r="K8" s="22">
        <f t="shared" ref="K8:K14" si="3">G8/C8*1000</f>
        <v>3043.33722589853</v>
      </c>
      <c r="L8" s="22">
        <f>H8/D8*1000</f>
        <v>2931.9361661219</v>
      </c>
      <c r="M8" s="26">
        <f>K8-L8</f>
        <v>111.401059776635</v>
      </c>
      <c r="N8" s="26">
        <f>M8/L8*100</f>
        <v>3.79957316478639</v>
      </c>
      <c r="O8" s="30">
        <f t="shared" ref="O8:V8" si="4">O9+O13+O15+O17+O22+O26+O29+O33+O36+O39+O41</f>
        <v>4.6</v>
      </c>
      <c r="P8" s="30">
        <f t="shared" si="4"/>
        <v>29.3</v>
      </c>
      <c r="Q8" s="37">
        <f t="shared" si="4"/>
        <v>4.7</v>
      </c>
      <c r="R8" s="37">
        <f t="shared" si="4"/>
        <v>19.91</v>
      </c>
      <c r="S8" s="30">
        <f t="shared" si="4"/>
        <v>86.3</v>
      </c>
      <c r="T8" s="30">
        <f t="shared" si="4"/>
        <v>254.19</v>
      </c>
      <c r="U8" s="48">
        <f t="shared" si="4"/>
        <v>89.3</v>
      </c>
      <c r="V8" s="48">
        <f t="shared" si="4"/>
        <v>265.97</v>
      </c>
      <c r="W8" s="30">
        <f t="shared" ref="W8:BB8" si="5">W9+W13+W15+W17+W22+W26+W29+W33+W36+W39+W41</f>
        <v>105.7</v>
      </c>
      <c r="X8" s="30">
        <f t="shared" si="5"/>
        <v>302.38</v>
      </c>
      <c r="Y8" s="48">
        <f t="shared" si="5"/>
        <v>110.7</v>
      </c>
      <c r="Z8" s="48">
        <f t="shared" si="5"/>
        <v>326.6</v>
      </c>
      <c r="AA8" s="30">
        <f t="shared" si="5"/>
        <v>104.56</v>
      </c>
      <c r="AB8" s="30">
        <f t="shared" si="5"/>
        <v>210.12</v>
      </c>
      <c r="AC8" s="48">
        <f t="shared" si="5"/>
        <v>106.16</v>
      </c>
      <c r="AD8" s="48">
        <f t="shared" si="5"/>
        <v>248.98</v>
      </c>
      <c r="AE8" s="30">
        <f t="shared" si="5"/>
        <v>49.1</v>
      </c>
      <c r="AF8" s="30">
        <f t="shared" si="5"/>
        <v>129.62</v>
      </c>
      <c r="AG8" s="48">
        <f t="shared" si="5"/>
        <v>49.3</v>
      </c>
      <c r="AH8" s="48">
        <f t="shared" si="5"/>
        <v>141.91</v>
      </c>
      <c r="AI8" s="30">
        <f t="shared" si="5"/>
        <v>20.6</v>
      </c>
      <c r="AJ8" s="30">
        <f t="shared" si="5"/>
        <v>34.07</v>
      </c>
      <c r="AK8" s="48">
        <f t="shared" si="5"/>
        <v>21.6</v>
      </c>
      <c r="AL8" s="48">
        <f t="shared" si="5"/>
        <v>37.37</v>
      </c>
      <c r="AM8" s="30">
        <f t="shared" si="5"/>
        <v>65.98</v>
      </c>
      <c r="AN8" s="30">
        <f t="shared" si="5"/>
        <v>156.04</v>
      </c>
      <c r="AO8" s="48">
        <f t="shared" si="5"/>
        <v>68.69</v>
      </c>
      <c r="AP8" s="48">
        <f t="shared" si="5"/>
        <v>176.39</v>
      </c>
      <c r="AQ8" s="30">
        <f t="shared" si="5"/>
        <v>125.33</v>
      </c>
      <c r="AR8" s="30">
        <f t="shared" si="5"/>
        <v>375.27</v>
      </c>
      <c r="AS8" s="48">
        <f t="shared" si="5"/>
        <v>136.9</v>
      </c>
      <c r="AT8" s="48">
        <f t="shared" si="5"/>
        <v>421.46</v>
      </c>
      <c r="AU8" s="30">
        <f t="shared" si="5"/>
        <v>9.5</v>
      </c>
      <c r="AV8" s="30">
        <f t="shared" si="5"/>
        <v>15.52</v>
      </c>
      <c r="AW8" s="48">
        <f t="shared" si="5"/>
        <v>9.5</v>
      </c>
      <c r="AX8" s="48">
        <f t="shared" si="5"/>
        <v>17.03</v>
      </c>
      <c r="AY8" s="30">
        <f t="shared" si="5"/>
        <v>340.73</v>
      </c>
      <c r="AZ8" s="30">
        <f t="shared" si="5"/>
        <v>1019.96</v>
      </c>
      <c r="BA8" s="48">
        <f t="shared" si="5"/>
        <v>347.51</v>
      </c>
      <c r="BB8" s="48">
        <f t="shared" si="5"/>
        <v>1120.86</v>
      </c>
      <c r="BC8" s="30">
        <f t="shared" ref="BC8:BZ8" si="6">BC9+BC13+BC15+BC17+BC22+BC26+BC29+BC33+BC36+BC39+BC41</f>
        <v>12.6</v>
      </c>
      <c r="BD8" s="30">
        <f t="shared" si="6"/>
        <v>45</v>
      </c>
      <c r="BE8" s="48">
        <f t="shared" si="6"/>
        <v>13.63</v>
      </c>
      <c r="BF8" s="48">
        <f t="shared" si="6"/>
        <v>48.72</v>
      </c>
      <c r="BG8" s="30">
        <f t="shared" si="6"/>
        <v>71.4</v>
      </c>
      <c r="BH8" s="30">
        <f t="shared" si="6"/>
        <v>253.4</v>
      </c>
      <c r="BI8" s="48">
        <f t="shared" si="6"/>
        <v>74.1</v>
      </c>
      <c r="BJ8" s="48">
        <f t="shared" si="6"/>
        <v>251.47</v>
      </c>
      <c r="BK8" s="30">
        <f t="shared" si="6"/>
        <v>38.6</v>
      </c>
      <c r="BL8" s="30">
        <f t="shared" si="6"/>
        <v>105.16</v>
      </c>
      <c r="BM8" s="48">
        <f t="shared" si="6"/>
        <v>38.9</v>
      </c>
      <c r="BN8" s="48">
        <f t="shared" si="6"/>
        <v>103.6</v>
      </c>
      <c r="BO8" s="30">
        <f t="shared" si="6"/>
        <v>55.71</v>
      </c>
      <c r="BP8" s="30">
        <f t="shared" si="6"/>
        <v>196.82</v>
      </c>
      <c r="BQ8" s="48">
        <f t="shared" si="6"/>
        <v>56.61</v>
      </c>
      <c r="BR8" s="48">
        <f t="shared" si="6"/>
        <v>215.82</v>
      </c>
      <c r="BS8" s="30">
        <f t="shared" si="6"/>
        <v>40.48</v>
      </c>
      <c r="BT8" s="30">
        <f t="shared" si="6"/>
        <v>105.12</v>
      </c>
      <c r="BU8" s="48">
        <f t="shared" si="6"/>
        <v>40.48</v>
      </c>
      <c r="BV8" s="48">
        <f t="shared" si="6"/>
        <v>114.19</v>
      </c>
      <c r="BW8" s="30">
        <f t="shared" si="6"/>
        <v>65.04</v>
      </c>
      <c r="BX8" s="30">
        <f t="shared" si="6"/>
        <v>275.3</v>
      </c>
      <c r="BY8" s="48">
        <f t="shared" si="6"/>
        <v>65.04</v>
      </c>
      <c r="BZ8" s="48">
        <f t="shared" si="6"/>
        <v>242.52</v>
      </c>
    </row>
    <row r="9" s="1" customFormat="1" ht="21" customHeight="1" spans="1:80">
      <c r="A9" s="16" t="s">
        <v>57</v>
      </c>
      <c r="B9" s="13">
        <v>2</v>
      </c>
      <c r="C9" s="17">
        <f t="shared" ref="C9:C50" si="7">Q9+U9+Y9+AC9+AG9+AK9+AO9+AS9+AW9+BA9+BE9+BI9+BM9+BQ9+BU9+BY9</f>
        <v>74.18</v>
      </c>
      <c r="D9" s="17">
        <f t="shared" ref="D9:D50" si="8">O9+S9+W9+AA9+AE9+AI9+AM9+AQ9+AU9+AY9+BC9+BG9+BK9+BO9+BS9+BW9</f>
        <v>74.18</v>
      </c>
      <c r="E9" s="26">
        <f t="shared" si="1"/>
        <v>0</v>
      </c>
      <c r="F9" s="26">
        <f>E9/D9</f>
        <v>0</v>
      </c>
      <c r="G9" s="26">
        <f t="shared" ref="G9:G50" si="9">V9+R9+Z9+AD9+AH9+AL9+AP9+AT9+AX9+BB9+BF9+BJ9+BN9+BR9+BV9+BZ9</f>
        <v>209.61</v>
      </c>
      <c r="H9" s="17">
        <f t="shared" ref="H9:H50" si="10">BX9+P9+T9+X9+AB9+AF9+AJ9+AN9+AR9+AV9+AZ9+BD9+BH9+BL9+BP9+BT9</f>
        <v>178.61</v>
      </c>
      <c r="I9" s="26">
        <f t="shared" si="2"/>
        <v>31</v>
      </c>
      <c r="J9" s="26">
        <f>I9/H9</f>
        <v>0.173562510497732</v>
      </c>
      <c r="K9" s="22">
        <f t="shared" si="3"/>
        <v>2825.69425721219</v>
      </c>
      <c r="L9" s="22">
        <f t="shared" ref="L9:L50" si="11">H9/D9*1000</f>
        <v>2407.79185764357</v>
      </c>
      <c r="M9" s="26">
        <f>K9-L9</f>
        <v>417.902399568617</v>
      </c>
      <c r="N9" s="26">
        <f t="shared" ref="N9:N47" si="12">M9/L9*100</f>
        <v>17.3562510497733</v>
      </c>
      <c r="O9" s="31">
        <v>0.3</v>
      </c>
      <c r="P9" s="31">
        <v>1.6</v>
      </c>
      <c r="Q9" s="38">
        <v>0.3</v>
      </c>
      <c r="R9" s="39">
        <v>1.5</v>
      </c>
      <c r="S9" s="40">
        <v>5.8</v>
      </c>
      <c r="T9" s="40">
        <v>0.2</v>
      </c>
      <c r="U9" s="49">
        <v>5.8</v>
      </c>
      <c r="V9" s="43">
        <v>12.88</v>
      </c>
      <c r="W9" s="31">
        <v>0</v>
      </c>
      <c r="X9" s="31">
        <v>0</v>
      </c>
      <c r="Y9" s="43">
        <v>0</v>
      </c>
      <c r="Z9" s="43">
        <v>0</v>
      </c>
      <c r="AA9" s="31">
        <v>0</v>
      </c>
      <c r="AB9" s="31">
        <v>0</v>
      </c>
      <c r="AC9" s="43">
        <v>0</v>
      </c>
      <c r="AD9" s="43">
        <v>0</v>
      </c>
      <c r="AE9" s="31">
        <v>0</v>
      </c>
      <c r="AF9" s="31">
        <v>0</v>
      </c>
      <c r="AG9" s="43">
        <v>0</v>
      </c>
      <c r="AH9" s="43">
        <v>0</v>
      </c>
      <c r="AI9" s="31">
        <v>0</v>
      </c>
      <c r="AJ9" s="31">
        <v>0</v>
      </c>
      <c r="AK9" s="43">
        <v>0</v>
      </c>
      <c r="AL9" s="43">
        <v>0</v>
      </c>
      <c r="AM9" s="31">
        <v>0</v>
      </c>
      <c r="AN9" s="31">
        <v>0</v>
      </c>
      <c r="AO9" s="43">
        <v>0</v>
      </c>
      <c r="AP9" s="43">
        <v>0</v>
      </c>
      <c r="AQ9" s="31">
        <v>0</v>
      </c>
      <c r="AR9" s="31">
        <v>0</v>
      </c>
      <c r="AS9" s="43">
        <v>0</v>
      </c>
      <c r="AT9" s="43">
        <v>0</v>
      </c>
      <c r="AU9" s="31">
        <v>0</v>
      </c>
      <c r="AV9" s="31">
        <v>0</v>
      </c>
      <c r="AW9" s="43">
        <v>0</v>
      </c>
      <c r="AX9" s="43">
        <v>0</v>
      </c>
      <c r="AY9" s="31">
        <v>26.38</v>
      </c>
      <c r="AZ9" s="31">
        <v>61</v>
      </c>
      <c r="BA9" s="38">
        <v>26.38</v>
      </c>
      <c r="BB9" s="39">
        <v>67.08</v>
      </c>
      <c r="BC9" s="54">
        <v>0</v>
      </c>
      <c r="BD9" s="54">
        <v>0</v>
      </c>
      <c r="BE9" s="43"/>
      <c r="BF9" s="43"/>
      <c r="BG9" s="31">
        <v>0</v>
      </c>
      <c r="BH9" s="31">
        <v>0</v>
      </c>
      <c r="BI9" s="43">
        <v>0</v>
      </c>
      <c r="BJ9" s="43">
        <v>0</v>
      </c>
      <c r="BK9" s="31">
        <v>3.2</v>
      </c>
      <c r="BL9" s="31">
        <v>8.9</v>
      </c>
      <c r="BM9" s="43">
        <v>3.2</v>
      </c>
      <c r="BN9" s="43">
        <v>10</v>
      </c>
      <c r="BO9" s="31">
        <v>0</v>
      </c>
      <c r="BP9" s="31">
        <v>0</v>
      </c>
      <c r="BQ9" s="43">
        <v>0</v>
      </c>
      <c r="BR9" s="43">
        <v>0</v>
      </c>
      <c r="BS9" s="31">
        <v>24.2</v>
      </c>
      <c r="BT9" s="31">
        <v>62.31</v>
      </c>
      <c r="BU9" s="41">
        <v>24.2</v>
      </c>
      <c r="BV9" s="41">
        <v>68.53</v>
      </c>
      <c r="BW9" s="31">
        <v>14.3</v>
      </c>
      <c r="BX9" s="31">
        <v>44.6</v>
      </c>
      <c r="BY9" s="41">
        <v>14.3</v>
      </c>
      <c r="BZ9" s="41">
        <v>49.62</v>
      </c>
      <c r="CA9" s="1">
        <v>0</v>
      </c>
      <c r="CB9" s="1">
        <v>0</v>
      </c>
    </row>
    <row r="10" s="1" customFormat="1" ht="21" customHeight="1" spans="1:80">
      <c r="A10" s="16" t="s">
        <v>58</v>
      </c>
      <c r="B10" s="13">
        <v>3</v>
      </c>
      <c r="C10" s="17">
        <f t="shared" si="7"/>
        <v>61.28</v>
      </c>
      <c r="D10" s="17">
        <f t="shared" si="8"/>
        <v>61.28</v>
      </c>
      <c r="E10" s="26">
        <f t="shared" si="1"/>
        <v>0</v>
      </c>
      <c r="F10" s="26">
        <v>0</v>
      </c>
      <c r="G10" s="26">
        <f t="shared" si="9"/>
        <v>172.76</v>
      </c>
      <c r="H10" s="17">
        <f t="shared" si="10"/>
        <v>148.95</v>
      </c>
      <c r="I10" s="26">
        <f t="shared" si="2"/>
        <v>23.81</v>
      </c>
      <c r="J10" s="26">
        <v>0</v>
      </c>
      <c r="K10" s="22">
        <f t="shared" si="3"/>
        <v>2819.19060052219</v>
      </c>
      <c r="L10" s="22">
        <f t="shared" si="11"/>
        <v>2430.64621409922</v>
      </c>
      <c r="M10" s="26">
        <f t="shared" ref="M10:M49" si="13">K10-L10</f>
        <v>388.544386422973</v>
      </c>
      <c r="N10" s="26">
        <f t="shared" si="12"/>
        <v>15.9852299429337</v>
      </c>
      <c r="O10" s="31">
        <v>0.3</v>
      </c>
      <c r="P10" s="31">
        <v>1.6</v>
      </c>
      <c r="Q10" s="38">
        <v>0.3</v>
      </c>
      <c r="R10" s="39">
        <v>1.5</v>
      </c>
      <c r="S10" s="40">
        <v>3.9</v>
      </c>
      <c r="T10" s="40">
        <v>0.1</v>
      </c>
      <c r="U10" s="49">
        <v>3.9</v>
      </c>
      <c r="V10" s="39">
        <v>8.7</v>
      </c>
      <c r="W10" s="31">
        <v>0</v>
      </c>
      <c r="X10" s="31">
        <v>0</v>
      </c>
      <c r="Y10" s="38">
        <v>0</v>
      </c>
      <c r="Z10" s="39">
        <v>0</v>
      </c>
      <c r="AA10" s="31">
        <v>0</v>
      </c>
      <c r="AB10" s="31">
        <v>0</v>
      </c>
      <c r="AC10" s="38">
        <v>0</v>
      </c>
      <c r="AD10" s="39">
        <v>0</v>
      </c>
      <c r="AE10" s="31">
        <v>0</v>
      </c>
      <c r="AF10" s="31">
        <v>0</v>
      </c>
      <c r="AG10" s="38">
        <v>0</v>
      </c>
      <c r="AH10" s="39">
        <v>0</v>
      </c>
      <c r="AI10" s="31">
        <v>0</v>
      </c>
      <c r="AJ10" s="31">
        <v>0</v>
      </c>
      <c r="AK10" s="38">
        <v>0</v>
      </c>
      <c r="AL10" s="39">
        <v>0</v>
      </c>
      <c r="AM10" s="31">
        <v>0</v>
      </c>
      <c r="AN10" s="31">
        <v>0</v>
      </c>
      <c r="AO10" s="38">
        <v>0</v>
      </c>
      <c r="AP10" s="39">
        <v>0</v>
      </c>
      <c r="AQ10" s="31">
        <v>0</v>
      </c>
      <c r="AR10" s="31">
        <v>0</v>
      </c>
      <c r="AS10" s="38">
        <v>0</v>
      </c>
      <c r="AT10" s="39">
        <v>0</v>
      </c>
      <c r="AU10" s="31">
        <v>0</v>
      </c>
      <c r="AV10" s="31">
        <v>0</v>
      </c>
      <c r="AW10" s="38">
        <v>0</v>
      </c>
      <c r="AX10" s="39">
        <v>0</v>
      </c>
      <c r="AY10" s="31">
        <v>26.38</v>
      </c>
      <c r="AZ10" s="31">
        <v>61</v>
      </c>
      <c r="BA10" s="38">
        <v>26.38</v>
      </c>
      <c r="BB10" s="39">
        <v>67.08</v>
      </c>
      <c r="BC10" s="54">
        <v>0</v>
      </c>
      <c r="BD10" s="54">
        <v>0</v>
      </c>
      <c r="BE10" s="38"/>
      <c r="BF10" s="39"/>
      <c r="BG10" s="31">
        <v>0</v>
      </c>
      <c r="BH10" s="31">
        <v>0</v>
      </c>
      <c r="BI10" s="38">
        <v>0</v>
      </c>
      <c r="BJ10" s="39">
        <v>0</v>
      </c>
      <c r="BK10" s="31">
        <v>3.2</v>
      </c>
      <c r="BL10" s="31">
        <v>8.9</v>
      </c>
      <c r="BM10" s="38">
        <v>3.2</v>
      </c>
      <c r="BN10" s="39">
        <v>10</v>
      </c>
      <c r="BO10" s="31">
        <v>0</v>
      </c>
      <c r="BP10" s="31">
        <v>0</v>
      </c>
      <c r="BQ10" s="38">
        <v>0</v>
      </c>
      <c r="BR10" s="39">
        <v>0</v>
      </c>
      <c r="BS10" s="31">
        <v>18</v>
      </c>
      <c r="BT10" s="31">
        <v>46.35</v>
      </c>
      <c r="BU10" s="41">
        <v>18</v>
      </c>
      <c r="BV10" s="41">
        <v>50.98</v>
      </c>
      <c r="BW10" s="31">
        <v>9.5</v>
      </c>
      <c r="BX10" s="31">
        <v>31</v>
      </c>
      <c r="BY10" s="38">
        <v>9.5</v>
      </c>
      <c r="BZ10" s="39">
        <v>34.5</v>
      </c>
      <c r="CA10" s="1">
        <v>0</v>
      </c>
      <c r="CB10" s="1">
        <v>0</v>
      </c>
    </row>
    <row r="11" s="1" customFormat="1" ht="21" customHeight="1" spans="1:80">
      <c r="A11" s="16" t="s">
        <v>59</v>
      </c>
      <c r="B11" s="13">
        <v>4</v>
      </c>
      <c r="C11" s="17">
        <f t="shared" si="7"/>
        <v>0</v>
      </c>
      <c r="D11" s="17">
        <f t="shared" si="8"/>
        <v>0</v>
      </c>
      <c r="E11" s="26">
        <f t="shared" si="1"/>
        <v>0</v>
      </c>
      <c r="F11" s="26">
        <v>0</v>
      </c>
      <c r="G11" s="26">
        <f t="shared" si="9"/>
        <v>0</v>
      </c>
      <c r="H11" s="17">
        <f t="shared" si="10"/>
        <v>0</v>
      </c>
      <c r="I11" s="26">
        <f t="shared" si="2"/>
        <v>0</v>
      </c>
      <c r="J11" s="26">
        <v>0</v>
      </c>
      <c r="K11" s="22" t="e">
        <f t="shared" si="3"/>
        <v>#DIV/0!</v>
      </c>
      <c r="L11" s="22" t="e">
        <f t="shared" si="11"/>
        <v>#DIV/0!</v>
      </c>
      <c r="M11" s="26" t="e">
        <f t="shared" si="13"/>
        <v>#DIV/0!</v>
      </c>
      <c r="N11" s="26" t="e">
        <f t="shared" si="12"/>
        <v>#DIV/0!</v>
      </c>
      <c r="O11" s="31">
        <v>0</v>
      </c>
      <c r="P11" s="31">
        <v>0</v>
      </c>
      <c r="Q11" s="41"/>
      <c r="R11" s="41"/>
      <c r="S11" s="40">
        <v>0</v>
      </c>
      <c r="T11" s="40">
        <v>0</v>
      </c>
      <c r="U11" s="49">
        <v>0</v>
      </c>
      <c r="V11" s="38">
        <v>0</v>
      </c>
      <c r="W11" s="31">
        <v>0</v>
      </c>
      <c r="X11" s="31">
        <v>0</v>
      </c>
      <c r="Y11" s="38">
        <v>0</v>
      </c>
      <c r="Z11" s="38">
        <v>0</v>
      </c>
      <c r="AA11" s="31">
        <v>0</v>
      </c>
      <c r="AB11" s="31">
        <v>0</v>
      </c>
      <c r="AC11" s="38">
        <v>0</v>
      </c>
      <c r="AD11" s="38">
        <v>0</v>
      </c>
      <c r="AE11" s="31">
        <v>0</v>
      </c>
      <c r="AF11" s="31">
        <v>0</v>
      </c>
      <c r="AG11" s="38">
        <v>0</v>
      </c>
      <c r="AH11" s="38">
        <v>0</v>
      </c>
      <c r="AI11" s="31">
        <v>0</v>
      </c>
      <c r="AJ11" s="31">
        <v>0</v>
      </c>
      <c r="AK11" s="38">
        <v>0</v>
      </c>
      <c r="AL11" s="38">
        <v>0</v>
      </c>
      <c r="AM11" s="31">
        <v>0</v>
      </c>
      <c r="AN11" s="31">
        <v>0</v>
      </c>
      <c r="AO11" s="38">
        <v>0</v>
      </c>
      <c r="AP11" s="38">
        <v>0</v>
      </c>
      <c r="AQ11" s="31">
        <v>0</v>
      </c>
      <c r="AR11" s="31">
        <v>0</v>
      </c>
      <c r="AS11" s="38">
        <v>0</v>
      </c>
      <c r="AT11" s="38">
        <v>0</v>
      </c>
      <c r="AU11" s="31">
        <v>0</v>
      </c>
      <c r="AV11" s="31">
        <v>0</v>
      </c>
      <c r="AW11" s="38">
        <v>0</v>
      </c>
      <c r="AX11" s="38">
        <v>0</v>
      </c>
      <c r="AY11" s="31">
        <v>0</v>
      </c>
      <c r="AZ11" s="31">
        <v>0</v>
      </c>
      <c r="BA11" s="38"/>
      <c r="BB11" s="38"/>
      <c r="BC11" s="54">
        <v>0</v>
      </c>
      <c r="BD11" s="54">
        <v>0</v>
      </c>
      <c r="BE11" s="38"/>
      <c r="BF11" s="38"/>
      <c r="BG11" s="31">
        <v>0</v>
      </c>
      <c r="BH11" s="31">
        <v>0</v>
      </c>
      <c r="BI11" s="38">
        <v>0</v>
      </c>
      <c r="BJ11" s="38">
        <v>0</v>
      </c>
      <c r="BK11" s="31">
        <v>0</v>
      </c>
      <c r="BL11" s="31">
        <v>0</v>
      </c>
      <c r="BM11" s="38">
        <v>0</v>
      </c>
      <c r="BN11" s="38">
        <v>0</v>
      </c>
      <c r="BO11" s="31">
        <v>0</v>
      </c>
      <c r="BP11" s="31">
        <v>0</v>
      </c>
      <c r="BQ11" s="38">
        <v>0</v>
      </c>
      <c r="BR11" s="38">
        <v>0</v>
      </c>
      <c r="BS11" s="31">
        <v>0</v>
      </c>
      <c r="BT11" s="31">
        <v>0</v>
      </c>
      <c r="BU11" s="41">
        <v>0</v>
      </c>
      <c r="BV11" s="41">
        <v>0</v>
      </c>
      <c r="BW11" s="31">
        <v>0</v>
      </c>
      <c r="BX11" s="31">
        <v>0</v>
      </c>
      <c r="BY11" s="38">
        <v>0</v>
      </c>
      <c r="BZ11" s="38">
        <v>0</v>
      </c>
      <c r="CA11" s="1">
        <v>0</v>
      </c>
      <c r="CB11" s="1">
        <v>0</v>
      </c>
    </row>
    <row r="12" s="1" customFormat="1" ht="21" customHeight="1" spans="1:80">
      <c r="A12" s="16" t="s">
        <v>60</v>
      </c>
      <c r="B12" s="13">
        <v>5</v>
      </c>
      <c r="C12" s="17">
        <f t="shared" si="7"/>
        <v>12.9</v>
      </c>
      <c r="D12" s="17">
        <f t="shared" si="8"/>
        <v>12.9</v>
      </c>
      <c r="E12" s="26">
        <f t="shared" si="1"/>
        <v>0</v>
      </c>
      <c r="F12" s="26">
        <f t="shared" ref="F12:F17" si="14">E12/D12</f>
        <v>0</v>
      </c>
      <c r="G12" s="26">
        <f t="shared" si="9"/>
        <v>36.85</v>
      </c>
      <c r="H12" s="17">
        <f t="shared" si="10"/>
        <v>29.66</v>
      </c>
      <c r="I12" s="26">
        <f t="shared" si="2"/>
        <v>7.19</v>
      </c>
      <c r="J12" s="26">
        <f t="shared" ref="J12:J17" si="15">I12/H12</f>
        <v>0.242414025623736</v>
      </c>
      <c r="K12" s="22">
        <f t="shared" si="3"/>
        <v>2856.58914728682</v>
      </c>
      <c r="L12" s="22">
        <f t="shared" si="11"/>
        <v>2299.22480620155</v>
      </c>
      <c r="M12" s="26">
        <f t="shared" si="13"/>
        <v>557.364341085272</v>
      </c>
      <c r="N12" s="26">
        <f t="shared" si="12"/>
        <v>24.2414025623736</v>
      </c>
      <c r="O12" s="31">
        <v>0</v>
      </c>
      <c r="P12" s="31">
        <v>0</v>
      </c>
      <c r="Q12" s="38"/>
      <c r="R12" s="39"/>
      <c r="S12" s="40">
        <v>1.9</v>
      </c>
      <c r="T12" s="40">
        <v>0.1</v>
      </c>
      <c r="U12" s="49">
        <v>1.9</v>
      </c>
      <c r="V12" s="50">
        <v>4.18</v>
      </c>
      <c r="W12" s="31">
        <v>0</v>
      </c>
      <c r="X12" s="31">
        <v>0</v>
      </c>
      <c r="Y12" s="50">
        <v>0</v>
      </c>
      <c r="Z12" s="50">
        <v>0</v>
      </c>
      <c r="AA12" s="31">
        <v>0</v>
      </c>
      <c r="AB12" s="31">
        <v>0</v>
      </c>
      <c r="AC12" s="50">
        <v>0</v>
      </c>
      <c r="AD12" s="50">
        <v>0</v>
      </c>
      <c r="AE12" s="31">
        <v>0</v>
      </c>
      <c r="AF12" s="31">
        <v>0</v>
      </c>
      <c r="AG12" s="50">
        <v>0</v>
      </c>
      <c r="AH12" s="50">
        <v>0</v>
      </c>
      <c r="AI12" s="31">
        <v>0</v>
      </c>
      <c r="AJ12" s="31">
        <v>0</v>
      </c>
      <c r="AK12" s="50">
        <v>0</v>
      </c>
      <c r="AL12" s="50">
        <v>0</v>
      </c>
      <c r="AM12" s="31">
        <v>0</v>
      </c>
      <c r="AN12" s="31">
        <v>0</v>
      </c>
      <c r="AO12" s="50">
        <v>0</v>
      </c>
      <c r="AP12" s="50">
        <v>0</v>
      </c>
      <c r="AQ12" s="31">
        <v>0</v>
      </c>
      <c r="AR12" s="31">
        <v>0</v>
      </c>
      <c r="AS12" s="50">
        <v>0</v>
      </c>
      <c r="AT12" s="50">
        <v>0</v>
      </c>
      <c r="AU12" s="31">
        <v>0</v>
      </c>
      <c r="AV12" s="31">
        <v>0</v>
      </c>
      <c r="AW12" s="50">
        <v>0</v>
      </c>
      <c r="AX12" s="50">
        <v>0</v>
      </c>
      <c r="AY12" s="31">
        <v>0</v>
      </c>
      <c r="AZ12" s="31">
        <v>0</v>
      </c>
      <c r="BA12" s="50">
        <v>0</v>
      </c>
      <c r="BB12" s="50">
        <v>0</v>
      </c>
      <c r="BC12" s="54">
        <v>0</v>
      </c>
      <c r="BD12" s="54">
        <v>0</v>
      </c>
      <c r="BE12" s="50"/>
      <c r="BF12" s="50"/>
      <c r="BG12" s="31">
        <v>0</v>
      </c>
      <c r="BH12" s="31">
        <v>0</v>
      </c>
      <c r="BI12" s="50">
        <v>0</v>
      </c>
      <c r="BJ12" s="50">
        <v>0</v>
      </c>
      <c r="BK12" s="31">
        <v>0</v>
      </c>
      <c r="BL12" s="31">
        <v>0</v>
      </c>
      <c r="BM12" s="50">
        <v>0</v>
      </c>
      <c r="BN12" s="50">
        <v>0</v>
      </c>
      <c r="BO12" s="31">
        <v>0</v>
      </c>
      <c r="BP12" s="31">
        <v>0</v>
      </c>
      <c r="BQ12" s="50">
        <v>0</v>
      </c>
      <c r="BR12" s="50">
        <v>0</v>
      </c>
      <c r="BS12" s="31">
        <v>6.2</v>
      </c>
      <c r="BT12" s="31">
        <v>15.96</v>
      </c>
      <c r="BU12" s="41">
        <v>6.2</v>
      </c>
      <c r="BV12" s="41">
        <v>17.55</v>
      </c>
      <c r="BW12" s="31">
        <v>4.8</v>
      </c>
      <c r="BX12" s="31">
        <v>13.6</v>
      </c>
      <c r="BY12" s="50">
        <v>4.8</v>
      </c>
      <c r="BZ12" s="50">
        <v>15.12</v>
      </c>
      <c r="CA12" s="1">
        <v>0</v>
      </c>
      <c r="CB12" s="1">
        <v>0</v>
      </c>
    </row>
    <row r="13" s="1" customFormat="1" ht="21" customHeight="1" spans="1:78">
      <c r="A13" s="16" t="s">
        <v>61</v>
      </c>
      <c r="B13" s="13">
        <v>6</v>
      </c>
      <c r="C13" s="17">
        <f t="shared" si="7"/>
        <v>23.31</v>
      </c>
      <c r="D13" s="17">
        <f t="shared" si="8"/>
        <v>23.31</v>
      </c>
      <c r="E13" s="26">
        <f t="shared" si="1"/>
        <v>0</v>
      </c>
      <c r="F13" s="26">
        <f t="shared" si="14"/>
        <v>0</v>
      </c>
      <c r="G13" s="26">
        <f t="shared" si="9"/>
        <v>69.68</v>
      </c>
      <c r="H13" s="17">
        <f t="shared" si="10"/>
        <v>87.18</v>
      </c>
      <c r="I13" s="26">
        <f t="shared" si="2"/>
        <v>-17.5</v>
      </c>
      <c r="J13" s="26">
        <f t="shared" si="15"/>
        <v>-0.200734113328745</v>
      </c>
      <c r="K13" s="22">
        <f t="shared" si="3"/>
        <v>2989.27498927499</v>
      </c>
      <c r="L13" s="22">
        <f t="shared" si="11"/>
        <v>3740.02574002574</v>
      </c>
      <c r="M13" s="26">
        <f t="shared" si="13"/>
        <v>-750.75075075075</v>
      </c>
      <c r="N13" s="26">
        <f t="shared" si="12"/>
        <v>-20.0734113328745</v>
      </c>
      <c r="O13" s="31">
        <v>0</v>
      </c>
      <c r="P13" s="31">
        <v>0</v>
      </c>
      <c r="Q13" s="38"/>
      <c r="R13" s="39"/>
      <c r="S13" s="40">
        <v>0.1</v>
      </c>
      <c r="T13" s="40">
        <v>2.9</v>
      </c>
      <c r="U13" s="51">
        <v>0.1</v>
      </c>
      <c r="V13" s="51">
        <v>0.46</v>
      </c>
      <c r="W13" s="31">
        <v>0</v>
      </c>
      <c r="X13" s="31">
        <v>0</v>
      </c>
      <c r="Y13" s="51">
        <v>0</v>
      </c>
      <c r="Z13" s="51">
        <v>0</v>
      </c>
      <c r="AA13" s="31">
        <v>0</v>
      </c>
      <c r="AB13" s="31">
        <v>0</v>
      </c>
      <c r="AC13" s="51">
        <v>0</v>
      </c>
      <c r="AD13" s="51">
        <v>0</v>
      </c>
      <c r="AE13" s="31">
        <v>0</v>
      </c>
      <c r="AF13" s="31">
        <v>0</v>
      </c>
      <c r="AG13" s="51">
        <v>0</v>
      </c>
      <c r="AH13" s="51">
        <v>0</v>
      </c>
      <c r="AI13" s="31">
        <v>9.9</v>
      </c>
      <c r="AJ13" s="31">
        <v>7.92</v>
      </c>
      <c r="AK13" s="51">
        <v>9.9</v>
      </c>
      <c r="AL13" s="51">
        <v>8.4</v>
      </c>
      <c r="AM13" s="31">
        <v>1.6</v>
      </c>
      <c r="AN13" s="31">
        <v>3.31</v>
      </c>
      <c r="AO13" s="51">
        <v>1.6</v>
      </c>
      <c r="AP13" s="51">
        <v>3.6</v>
      </c>
      <c r="AQ13" s="31">
        <v>0</v>
      </c>
      <c r="AR13" s="31">
        <v>0</v>
      </c>
      <c r="AS13" s="51">
        <v>0</v>
      </c>
      <c r="AT13" s="51">
        <v>0</v>
      </c>
      <c r="AU13" s="31">
        <v>0</v>
      </c>
      <c r="AV13" s="31">
        <v>0</v>
      </c>
      <c r="AW13" s="51">
        <v>0</v>
      </c>
      <c r="AX13" s="51">
        <v>0</v>
      </c>
      <c r="AY13" s="31">
        <v>8.1</v>
      </c>
      <c r="AZ13" s="31">
        <v>53.2</v>
      </c>
      <c r="BA13" s="51">
        <v>8.1</v>
      </c>
      <c r="BB13" s="51">
        <v>39.45</v>
      </c>
      <c r="BC13" s="54">
        <v>0</v>
      </c>
      <c r="BD13" s="54">
        <v>0</v>
      </c>
      <c r="BE13" s="51"/>
      <c r="BF13" s="51"/>
      <c r="BG13" s="31">
        <v>0</v>
      </c>
      <c r="BH13" s="31">
        <v>0</v>
      </c>
      <c r="BI13" s="51">
        <v>0</v>
      </c>
      <c r="BJ13" s="51">
        <v>0</v>
      </c>
      <c r="BK13" s="31">
        <v>0</v>
      </c>
      <c r="BL13" s="31">
        <v>0</v>
      </c>
      <c r="BM13" s="51">
        <v>0</v>
      </c>
      <c r="BN13" s="51">
        <v>0</v>
      </c>
      <c r="BO13" s="31">
        <v>3.41</v>
      </c>
      <c r="BP13" s="31">
        <v>16.95</v>
      </c>
      <c r="BQ13" s="51">
        <v>3.41</v>
      </c>
      <c r="BR13" s="51">
        <v>16.83</v>
      </c>
      <c r="BS13" s="31">
        <v>0</v>
      </c>
      <c r="BT13" s="31">
        <v>0</v>
      </c>
      <c r="BU13" s="41">
        <v>0</v>
      </c>
      <c r="BV13" s="41">
        <v>0</v>
      </c>
      <c r="BW13" s="31">
        <v>0.2</v>
      </c>
      <c r="BX13" s="31">
        <v>2.9</v>
      </c>
      <c r="BY13" s="51">
        <v>0.2</v>
      </c>
      <c r="BZ13" s="51">
        <v>0.94</v>
      </c>
    </row>
    <row r="14" s="1" customFormat="1" ht="21" customHeight="1" spans="1:78">
      <c r="A14" s="16" t="s">
        <v>62</v>
      </c>
      <c r="B14" s="13">
        <v>7</v>
      </c>
      <c r="C14" s="17">
        <f t="shared" si="7"/>
        <v>18.8</v>
      </c>
      <c r="D14" s="17">
        <f t="shared" si="8"/>
        <v>18.8</v>
      </c>
      <c r="E14" s="26">
        <f t="shared" si="1"/>
        <v>0</v>
      </c>
      <c r="F14" s="26">
        <f t="shared" si="14"/>
        <v>0</v>
      </c>
      <c r="G14" s="26">
        <f t="shared" si="9"/>
        <v>56.68</v>
      </c>
      <c r="H14" s="17">
        <f t="shared" si="10"/>
        <v>67.62</v>
      </c>
      <c r="I14" s="26">
        <f t="shared" si="2"/>
        <v>-10.94</v>
      </c>
      <c r="J14" s="26">
        <f t="shared" si="15"/>
        <v>-0.16178645371192</v>
      </c>
      <c r="K14" s="22">
        <f t="shared" si="3"/>
        <v>3014.89361702128</v>
      </c>
      <c r="L14" s="22">
        <f t="shared" si="11"/>
        <v>3596.8085106383</v>
      </c>
      <c r="M14" s="26">
        <f t="shared" si="13"/>
        <v>-581.914893617024</v>
      </c>
      <c r="N14" s="26">
        <f t="shared" si="12"/>
        <v>-16.178645371192</v>
      </c>
      <c r="O14" s="31">
        <v>0</v>
      </c>
      <c r="P14" s="31">
        <v>0</v>
      </c>
      <c r="Q14" s="38"/>
      <c r="R14" s="39"/>
      <c r="S14" s="40">
        <v>0.1</v>
      </c>
      <c r="T14" s="40">
        <v>2.9</v>
      </c>
      <c r="U14" s="42">
        <v>0.1</v>
      </c>
      <c r="V14" s="42">
        <v>0.46</v>
      </c>
      <c r="W14" s="31">
        <v>0</v>
      </c>
      <c r="X14" s="31">
        <v>0</v>
      </c>
      <c r="Y14" s="42">
        <v>0</v>
      </c>
      <c r="Z14" s="42">
        <v>0</v>
      </c>
      <c r="AA14" s="31">
        <v>0</v>
      </c>
      <c r="AB14" s="31">
        <v>0</v>
      </c>
      <c r="AC14" s="42">
        <v>0</v>
      </c>
      <c r="AD14" s="42">
        <v>0</v>
      </c>
      <c r="AE14" s="31">
        <v>0</v>
      </c>
      <c r="AF14" s="31">
        <v>0</v>
      </c>
      <c r="AG14" s="42">
        <v>0</v>
      </c>
      <c r="AH14" s="42">
        <v>0</v>
      </c>
      <c r="AI14" s="31">
        <v>7.8</v>
      </c>
      <c r="AJ14" s="31">
        <v>5.71</v>
      </c>
      <c r="AK14" s="42">
        <v>7.8</v>
      </c>
      <c r="AL14" s="42">
        <v>6</v>
      </c>
      <c r="AM14" s="31">
        <v>1.3</v>
      </c>
      <c r="AN14" s="31">
        <v>2.61</v>
      </c>
      <c r="AO14" s="42">
        <v>1.3</v>
      </c>
      <c r="AP14" s="42">
        <v>2.86</v>
      </c>
      <c r="AQ14" s="31">
        <v>0</v>
      </c>
      <c r="AR14" s="31">
        <v>0</v>
      </c>
      <c r="AS14" s="42">
        <v>0</v>
      </c>
      <c r="AT14" s="42">
        <v>0</v>
      </c>
      <c r="AU14" s="31">
        <v>0</v>
      </c>
      <c r="AV14" s="31">
        <v>0</v>
      </c>
      <c r="AW14" s="42">
        <v>0</v>
      </c>
      <c r="AX14" s="42">
        <v>0</v>
      </c>
      <c r="AY14" s="31">
        <v>6.9</v>
      </c>
      <c r="AZ14" s="31">
        <v>42</v>
      </c>
      <c r="BA14" s="42">
        <v>6.9</v>
      </c>
      <c r="BB14" s="42">
        <v>34.1</v>
      </c>
      <c r="BC14" s="54">
        <v>0</v>
      </c>
      <c r="BD14" s="54">
        <v>0</v>
      </c>
      <c r="BE14" s="42"/>
      <c r="BF14" s="42"/>
      <c r="BG14" s="31">
        <v>0</v>
      </c>
      <c r="BH14" s="31">
        <v>0</v>
      </c>
      <c r="BI14" s="42">
        <v>0</v>
      </c>
      <c r="BJ14" s="42">
        <v>0</v>
      </c>
      <c r="BK14" s="31">
        <v>0</v>
      </c>
      <c r="BL14" s="31">
        <v>0</v>
      </c>
      <c r="BM14" s="42">
        <v>0</v>
      </c>
      <c r="BN14" s="42">
        <v>0</v>
      </c>
      <c r="BO14" s="31">
        <v>2.6</v>
      </c>
      <c r="BP14" s="31">
        <v>12.1</v>
      </c>
      <c r="BQ14" s="42">
        <v>2.6</v>
      </c>
      <c r="BR14" s="42">
        <v>12.8</v>
      </c>
      <c r="BS14" s="31">
        <v>0</v>
      </c>
      <c r="BT14" s="31">
        <v>0</v>
      </c>
      <c r="BU14" s="41">
        <v>0</v>
      </c>
      <c r="BV14" s="41">
        <v>0</v>
      </c>
      <c r="BW14" s="31">
        <v>0.1</v>
      </c>
      <c r="BX14" s="31">
        <v>2.3</v>
      </c>
      <c r="BY14" s="42">
        <v>0.1</v>
      </c>
      <c r="BZ14" s="42">
        <v>0.46</v>
      </c>
    </row>
    <row r="15" s="2" customFormat="1" ht="21" customHeight="1" spans="1:78">
      <c r="A15" s="16" t="s">
        <v>63</v>
      </c>
      <c r="B15" s="18">
        <v>8</v>
      </c>
      <c r="C15" s="17">
        <f t="shared" si="7"/>
        <v>33.54</v>
      </c>
      <c r="D15" s="17">
        <f t="shared" si="8"/>
        <v>33.54</v>
      </c>
      <c r="E15" s="17">
        <f t="shared" si="1"/>
        <v>0</v>
      </c>
      <c r="F15" s="17">
        <f t="shared" si="14"/>
        <v>0</v>
      </c>
      <c r="G15" s="26">
        <f t="shared" si="9"/>
        <v>93.42</v>
      </c>
      <c r="H15" s="17">
        <f t="shared" si="10"/>
        <v>95.51</v>
      </c>
      <c r="I15" s="17">
        <f t="shared" si="2"/>
        <v>-2.09</v>
      </c>
      <c r="J15" s="17">
        <f t="shared" si="15"/>
        <v>-0.0218825253900116</v>
      </c>
      <c r="K15" s="22">
        <f t="shared" ref="K13:K47" si="16">G15/C15*1000</f>
        <v>2785.33094812165</v>
      </c>
      <c r="L15" s="22">
        <f t="shared" si="11"/>
        <v>2847.64460345856</v>
      </c>
      <c r="M15" s="26">
        <f t="shared" si="13"/>
        <v>-62.3136553369145</v>
      </c>
      <c r="N15" s="26">
        <f t="shared" si="12"/>
        <v>-2.18825253900127</v>
      </c>
      <c r="O15" s="31">
        <v>0</v>
      </c>
      <c r="P15" s="31">
        <v>0</v>
      </c>
      <c r="Q15" s="38"/>
      <c r="R15" s="39"/>
      <c r="S15" s="40">
        <v>2.3</v>
      </c>
      <c r="T15" s="40">
        <v>20.2</v>
      </c>
      <c r="U15" s="43">
        <v>2.3</v>
      </c>
      <c r="V15" s="43">
        <v>11.47</v>
      </c>
      <c r="W15" s="31">
        <v>22.2</v>
      </c>
      <c r="X15" s="31">
        <v>46.4</v>
      </c>
      <c r="Y15" s="43">
        <v>22.2</v>
      </c>
      <c r="Z15" s="43">
        <v>50.02</v>
      </c>
      <c r="AA15" s="31">
        <v>0</v>
      </c>
      <c r="AB15" s="31">
        <v>0</v>
      </c>
      <c r="AC15" s="43">
        <v>0</v>
      </c>
      <c r="AD15" s="43">
        <v>0</v>
      </c>
      <c r="AE15" s="31">
        <v>0</v>
      </c>
      <c r="AF15" s="31">
        <v>0</v>
      </c>
      <c r="AG15" s="43">
        <v>0</v>
      </c>
      <c r="AH15" s="43">
        <v>0</v>
      </c>
      <c r="AI15" s="31">
        <v>0</v>
      </c>
      <c r="AJ15" s="31">
        <v>0</v>
      </c>
      <c r="AK15" s="43"/>
      <c r="AL15" s="43"/>
      <c r="AM15" s="31">
        <v>0</v>
      </c>
      <c r="AN15" s="31">
        <v>0</v>
      </c>
      <c r="AO15" s="43"/>
      <c r="AP15" s="43"/>
      <c r="AQ15" s="31">
        <v>0</v>
      </c>
      <c r="AR15" s="31">
        <v>0</v>
      </c>
      <c r="AS15" s="43">
        <v>0</v>
      </c>
      <c r="AT15" s="43">
        <v>0</v>
      </c>
      <c r="AU15" s="31">
        <v>0</v>
      </c>
      <c r="AV15" s="31">
        <v>0</v>
      </c>
      <c r="AW15" s="43">
        <v>0</v>
      </c>
      <c r="AX15" s="43">
        <v>0</v>
      </c>
      <c r="AY15" s="31">
        <v>0</v>
      </c>
      <c r="AZ15" s="31">
        <v>0</v>
      </c>
      <c r="BA15" s="43"/>
      <c r="BB15" s="43"/>
      <c r="BC15" s="54">
        <v>0</v>
      </c>
      <c r="BD15" s="54">
        <v>0</v>
      </c>
      <c r="BE15" s="43"/>
      <c r="BF15" s="43"/>
      <c r="BG15" s="31">
        <v>0</v>
      </c>
      <c r="BH15" s="31">
        <v>0</v>
      </c>
      <c r="BI15" s="43">
        <v>0</v>
      </c>
      <c r="BJ15" s="43">
        <v>0</v>
      </c>
      <c r="BK15" s="31">
        <v>3.8</v>
      </c>
      <c r="BL15" s="31">
        <v>6.2</v>
      </c>
      <c r="BM15" s="43">
        <v>3.8</v>
      </c>
      <c r="BN15" s="43">
        <v>6.95</v>
      </c>
      <c r="BO15" s="31">
        <v>0</v>
      </c>
      <c r="BP15" s="31">
        <v>0</v>
      </c>
      <c r="BQ15" s="43"/>
      <c r="BR15" s="43"/>
      <c r="BS15" s="31">
        <v>0</v>
      </c>
      <c r="BT15" s="31">
        <v>0</v>
      </c>
      <c r="BU15" s="41">
        <v>0</v>
      </c>
      <c r="BV15" s="41">
        <v>0</v>
      </c>
      <c r="BW15" s="31">
        <v>5.24</v>
      </c>
      <c r="BX15" s="31">
        <v>22.71</v>
      </c>
      <c r="BY15" s="43">
        <v>5.24</v>
      </c>
      <c r="BZ15" s="43">
        <v>24.98</v>
      </c>
    </row>
    <row r="16" s="2" customFormat="1" ht="21" customHeight="1" spans="1:78">
      <c r="A16" s="16" t="s">
        <v>64</v>
      </c>
      <c r="B16" s="18">
        <v>9</v>
      </c>
      <c r="C16" s="17">
        <f t="shared" si="7"/>
        <v>23.8</v>
      </c>
      <c r="D16" s="17">
        <f t="shared" si="8"/>
        <v>23.8</v>
      </c>
      <c r="E16" s="17">
        <f t="shared" si="1"/>
        <v>0</v>
      </c>
      <c r="F16" s="17">
        <f t="shared" si="14"/>
        <v>0</v>
      </c>
      <c r="G16" s="26">
        <f t="shared" si="9"/>
        <v>62.48</v>
      </c>
      <c r="H16" s="17">
        <f t="shared" si="10"/>
        <v>65.75</v>
      </c>
      <c r="I16" s="17">
        <f t="shared" si="2"/>
        <v>-3.27</v>
      </c>
      <c r="J16" s="17">
        <f t="shared" si="15"/>
        <v>-0.0497338403041826</v>
      </c>
      <c r="K16" s="22">
        <f t="shared" si="16"/>
        <v>2625.21008403361</v>
      </c>
      <c r="L16" s="22">
        <f t="shared" si="11"/>
        <v>2762.60504201681</v>
      </c>
      <c r="M16" s="26">
        <f t="shared" si="13"/>
        <v>-137.394957983196</v>
      </c>
      <c r="N16" s="26">
        <f t="shared" si="12"/>
        <v>-4.97338403041836</v>
      </c>
      <c r="O16" s="31">
        <v>0</v>
      </c>
      <c r="P16" s="31">
        <v>0</v>
      </c>
      <c r="Q16" s="38"/>
      <c r="R16" s="39"/>
      <c r="S16" s="40">
        <v>1.6</v>
      </c>
      <c r="T16" s="40">
        <v>15.9</v>
      </c>
      <c r="U16" s="43">
        <v>1.6</v>
      </c>
      <c r="V16" s="43">
        <v>7.98</v>
      </c>
      <c r="W16" s="31">
        <v>16.1</v>
      </c>
      <c r="X16" s="31">
        <v>29.3</v>
      </c>
      <c r="Y16" s="43">
        <v>16.1</v>
      </c>
      <c r="Z16" s="43">
        <v>32.23</v>
      </c>
      <c r="AA16" s="31">
        <v>0</v>
      </c>
      <c r="AB16" s="31">
        <v>0</v>
      </c>
      <c r="AC16" s="43">
        <v>0</v>
      </c>
      <c r="AD16" s="43">
        <v>0</v>
      </c>
      <c r="AE16" s="31">
        <v>0</v>
      </c>
      <c r="AF16" s="31">
        <v>0</v>
      </c>
      <c r="AG16" s="43">
        <v>0</v>
      </c>
      <c r="AH16" s="43">
        <v>0</v>
      </c>
      <c r="AI16" s="31">
        <v>0</v>
      </c>
      <c r="AJ16" s="31">
        <v>0</v>
      </c>
      <c r="AK16" s="43">
        <v>0</v>
      </c>
      <c r="AL16" s="43">
        <v>0</v>
      </c>
      <c r="AM16" s="31">
        <v>0</v>
      </c>
      <c r="AN16" s="31">
        <v>0</v>
      </c>
      <c r="AO16" s="43">
        <v>0</v>
      </c>
      <c r="AP16" s="43">
        <v>0</v>
      </c>
      <c r="AQ16" s="31">
        <v>0</v>
      </c>
      <c r="AR16" s="31">
        <v>0</v>
      </c>
      <c r="AS16" s="43">
        <v>0</v>
      </c>
      <c r="AT16" s="43">
        <v>0</v>
      </c>
      <c r="AU16" s="31">
        <v>0</v>
      </c>
      <c r="AV16" s="31">
        <v>0</v>
      </c>
      <c r="AW16" s="43">
        <v>0</v>
      </c>
      <c r="AX16" s="43">
        <v>0</v>
      </c>
      <c r="AY16" s="31">
        <v>0</v>
      </c>
      <c r="AZ16" s="31">
        <v>0</v>
      </c>
      <c r="BA16" s="43">
        <v>0</v>
      </c>
      <c r="BB16" s="43">
        <v>0</v>
      </c>
      <c r="BC16" s="54">
        <v>0</v>
      </c>
      <c r="BD16" s="54">
        <v>0</v>
      </c>
      <c r="BE16" s="43"/>
      <c r="BF16" s="43"/>
      <c r="BG16" s="31">
        <v>0</v>
      </c>
      <c r="BH16" s="31">
        <v>0</v>
      </c>
      <c r="BI16" s="43">
        <v>0</v>
      </c>
      <c r="BJ16" s="43">
        <v>0</v>
      </c>
      <c r="BK16" s="31">
        <v>2.7</v>
      </c>
      <c r="BL16" s="31">
        <v>4.8</v>
      </c>
      <c r="BM16" s="43">
        <v>2.7</v>
      </c>
      <c r="BN16" s="43">
        <v>5.35</v>
      </c>
      <c r="BO16" s="31">
        <v>0</v>
      </c>
      <c r="BP16" s="31">
        <v>0</v>
      </c>
      <c r="BQ16" s="43">
        <v>0</v>
      </c>
      <c r="BR16" s="43">
        <v>0</v>
      </c>
      <c r="BS16" s="31">
        <v>0</v>
      </c>
      <c r="BT16" s="31">
        <v>0</v>
      </c>
      <c r="BU16" s="41">
        <v>0</v>
      </c>
      <c r="BV16" s="41">
        <v>0</v>
      </c>
      <c r="BW16" s="31">
        <v>3.4</v>
      </c>
      <c r="BX16" s="31">
        <v>15.75</v>
      </c>
      <c r="BY16" s="43">
        <v>3.4</v>
      </c>
      <c r="BZ16" s="43">
        <v>16.92</v>
      </c>
    </row>
    <row r="17" s="2" customFormat="1" ht="21" customHeight="1" spans="1:78">
      <c r="A17" s="16" t="s">
        <v>65</v>
      </c>
      <c r="B17" s="18">
        <v>10</v>
      </c>
      <c r="C17" s="17">
        <f t="shared" si="7"/>
        <v>0</v>
      </c>
      <c r="D17" s="17">
        <f t="shared" si="8"/>
        <v>0</v>
      </c>
      <c r="E17" s="17">
        <f t="shared" si="1"/>
        <v>0</v>
      </c>
      <c r="F17" s="17" t="e">
        <f t="shared" si="14"/>
        <v>#DIV/0!</v>
      </c>
      <c r="G17" s="26">
        <f t="shared" si="9"/>
        <v>0</v>
      </c>
      <c r="H17" s="17">
        <f t="shared" si="10"/>
        <v>0</v>
      </c>
      <c r="I17" s="17">
        <f t="shared" si="2"/>
        <v>0</v>
      </c>
      <c r="J17" s="17" t="e">
        <f t="shared" si="15"/>
        <v>#DIV/0!</v>
      </c>
      <c r="K17" s="22" t="e">
        <f t="shared" si="16"/>
        <v>#DIV/0!</v>
      </c>
      <c r="L17" s="22" t="e">
        <f t="shared" si="11"/>
        <v>#DIV/0!</v>
      </c>
      <c r="M17" s="26" t="e">
        <f t="shared" si="13"/>
        <v>#DIV/0!</v>
      </c>
      <c r="N17" s="26" t="e">
        <f t="shared" si="12"/>
        <v>#DIV/0!</v>
      </c>
      <c r="O17" s="31">
        <v>0</v>
      </c>
      <c r="P17" s="31">
        <v>0</v>
      </c>
      <c r="Q17" s="38"/>
      <c r="R17" s="39"/>
      <c r="S17" s="40">
        <v>0</v>
      </c>
      <c r="T17" s="40">
        <v>0</v>
      </c>
      <c r="U17" s="39"/>
      <c r="V17" s="39"/>
      <c r="W17" s="31">
        <v>0</v>
      </c>
      <c r="X17" s="31">
        <v>0</v>
      </c>
      <c r="Y17" s="38"/>
      <c r="Z17" s="38"/>
      <c r="AA17" s="31">
        <v>0</v>
      </c>
      <c r="AB17" s="31">
        <v>0</v>
      </c>
      <c r="AC17" s="38">
        <v>0</v>
      </c>
      <c r="AD17" s="39">
        <v>0</v>
      </c>
      <c r="AE17" s="31">
        <v>0</v>
      </c>
      <c r="AF17" s="31">
        <v>0</v>
      </c>
      <c r="AG17" s="38">
        <v>0</v>
      </c>
      <c r="AH17" s="39">
        <v>0</v>
      </c>
      <c r="AI17" s="31">
        <v>0</v>
      </c>
      <c r="AJ17" s="31">
        <v>0</v>
      </c>
      <c r="AK17" s="38">
        <v>0</v>
      </c>
      <c r="AL17" s="39">
        <v>0</v>
      </c>
      <c r="AM17" s="31">
        <v>0</v>
      </c>
      <c r="AN17" s="31">
        <v>0</v>
      </c>
      <c r="AO17" s="38">
        <v>0</v>
      </c>
      <c r="AP17" s="39">
        <v>0</v>
      </c>
      <c r="AQ17" s="31">
        <v>0</v>
      </c>
      <c r="AR17" s="31">
        <v>0</v>
      </c>
      <c r="AS17" s="38">
        <v>0</v>
      </c>
      <c r="AT17" s="39">
        <v>0</v>
      </c>
      <c r="AU17" s="31">
        <v>0</v>
      </c>
      <c r="AV17" s="31">
        <v>0</v>
      </c>
      <c r="AW17" s="38">
        <v>0</v>
      </c>
      <c r="AX17" s="39">
        <v>0</v>
      </c>
      <c r="AY17" s="31">
        <v>0</v>
      </c>
      <c r="AZ17" s="31">
        <v>0</v>
      </c>
      <c r="BA17" s="38">
        <v>0</v>
      </c>
      <c r="BB17" s="39">
        <v>0</v>
      </c>
      <c r="BC17" s="54">
        <v>0</v>
      </c>
      <c r="BD17" s="54">
        <v>0</v>
      </c>
      <c r="BE17" s="38"/>
      <c r="BF17" s="39"/>
      <c r="BG17" s="31">
        <v>0</v>
      </c>
      <c r="BH17" s="31">
        <v>0</v>
      </c>
      <c r="BI17" s="38">
        <v>0</v>
      </c>
      <c r="BJ17" s="39">
        <v>0</v>
      </c>
      <c r="BK17" s="31">
        <v>0</v>
      </c>
      <c r="BL17" s="31">
        <v>0</v>
      </c>
      <c r="BM17" s="38"/>
      <c r="BN17" s="38"/>
      <c r="BO17" s="31">
        <v>0</v>
      </c>
      <c r="BP17" s="31">
        <v>0</v>
      </c>
      <c r="BQ17" s="38">
        <v>0</v>
      </c>
      <c r="BR17" s="39">
        <v>0</v>
      </c>
      <c r="BS17" s="31">
        <v>0</v>
      </c>
      <c r="BT17" s="31">
        <v>0</v>
      </c>
      <c r="BU17" s="41">
        <v>0</v>
      </c>
      <c r="BV17" s="41">
        <v>0</v>
      </c>
      <c r="BW17" s="26"/>
      <c r="BX17" s="26"/>
      <c r="BY17" s="38"/>
      <c r="BZ17" s="38"/>
    </row>
    <row r="18" s="2" customFormat="1" ht="21" customHeight="1" spans="1:78">
      <c r="A18" s="16" t="s">
        <v>66</v>
      </c>
      <c r="B18" s="18">
        <v>11</v>
      </c>
      <c r="C18" s="17">
        <f t="shared" si="7"/>
        <v>0</v>
      </c>
      <c r="D18" s="17">
        <f t="shared" si="8"/>
        <v>0</v>
      </c>
      <c r="E18" s="17">
        <f t="shared" si="1"/>
        <v>0</v>
      </c>
      <c r="F18" s="17" t="e">
        <f>E18-#REF!</f>
        <v>#REF!</v>
      </c>
      <c r="G18" s="26">
        <f t="shared" si="9"/>
        <v>0</v>
      </c>
      <c r="H18" s="17">
        <f t="shared" si="10"/>
        <v>0</v>
      </c>
      <c r="I18" s="17">
        <f t="shared" si="2"/>
        <v>0</v>
      </c>
      <c r="J18" s="17" t="e">
        <f>I18-#REF!</f>
        <v>#REF!</v>
      </c>
      <c r="K18" s="22" t="e">
        <f t="shared" si="16"/>
        <v>#DIV/0!</v>
      </c>
      <c r="L18" s="22" t="e">
        <f t="shared" si="11"/>
        <v>#DIV/0!</v>
      </c>
      <c r="M18" s="26" t="e">
        <f t="shared" si="13"/>
        <v>#DIV/0!</v>
      </c>
      <c r="N18" s="26" t="e">
        <f t="shared" si="12"/>
        <v>#DIV/0!</v>
      </c>
      <c r="O18" s="31">
        <v>0</v>
      </c>
      <c r="P18" s="31">
        <v>0</v>
      </c>
      <c r="Q18" s="38"/>
      <c r="R18" s="39"/>
      <c r="S18" s="40">
        <v>0</v>
      </c>
      <c r="T18" s="40">
        <v>0</v>
      </c>
      <c r="U18" s="38">
        <v>0</v>
      </c>
      <c r="V18" s="38">
        <v>0</v>
      </c>
      <c r="W18" s="31">
        <v>0</v>
      </c>
      <c r="X18" s="31">
        <v>0</v>
      </c>
      <c r="Y18" s="38">
        <v>0</v>
      </c>
      <c r="Z18" s="38">
        <v>0</v>
      </c>
      <c r="AA18" s="31">
        <v>0</v>
      </c>
      <c r="AB18" s="31">
        <v>0</v>
      </c>
      <c r="AC18" s="38">
        <v>0</v>
      </c>
      <c r="AD18" s="38">
        <v>0</v>
      </c>
      <c r="AE18" s="31">
        <v>0</v>
      </c>
      <c r="AF18" s="31">
        <v>0</v>
      </c>
      <c r="AG18" s="38">
        <v>0</v>
      </c>
      <c r="AH18" s="38">
        <v>0</v>
      </c>
      <c r="AI18" s="31">
        <v>0</v>
      </c>
      <c r="AJ18" s="31">
        <v>0</v>
      </c>
      <c r="AK18" s="38">
        <v>0</v>
      </c>
      <c r="AL18" s="38">
        <v>0</v>
      </c>
      <c r="AM18" s="31">
        <v>0</v>
      </c>
      <c r="AN18" s="31">
        <v>0</v>
      </c>
      <c r="AO18" s="38">
        <v>0</v>
      </c>
      <c r="AP18" s="38">
        <v>0</v>
      </c>
      <c r="AQ18" s="31">
        <v>0</v>
      </c>
      <c r="AR18" s="31">
        <v>0</v>
      </c>
      <c r="AS18" s="38">
        <v>0</v>
      </c>
      <c r="AT18" s="38">
        <v>0</v>
      </c>
      <c r="AU18" s="31">
        <v>0</v>
      </c>
      <c r="AV18" s="31">
        <v>0</v>
      </c>
      <c r="AW18" s="38">
        <v>0</v>
      </c>
      <c r="AX18" s="38">
        <v>0</v>
      </c>
      <c r="AY18" s="31">
        <v>0</v>
      </c>
      <c r="AZ18" s="31">
        <v>0</v>
      </c>
      <c r="BA18" s="38">
        <v>0</v>
      </c>
      <c r="BB18" s="38">
        <v>0</v>
      </c>
      <c r="BC18" s="54">
        <v>0</v>
      </c>
      <c r="BD18" s="54">
        <v>0</v>
      </c>
      <c r="BE18" s="38"/>
      <c r="BF18" s="38"/>
      <c r="BG18" s="31">
        <v>0</v>
      </c>
      <c r="BH18" s="31">
        <v>0</v>
      </c>
      <c r="BI18" s="38">
        <v>0</v>
      </c>
      <c r="BJ18" s="38">
        <v>0</v>
      </c>
      <c r="BK18" s="31">
        <v>0</v>
      </c>
      <c r="BL18" s="31">
        <v>0</v>
      </c>
      <c r="BM18" s="38">
        <v>0</v>
      </c>
      <c r="BN18" s="38">
        <v>0</v>
      </c>
      <c r="BO18" s="31">
        <v>0</v>
      </c>
      <c r="BP18" s="31">
        <v>0</v>
      </c>
      <c r="BQ18" s="38">
        <v>0</v>
      </c>
      <c r="BR18" s="38">
        <v>0</v>
      </c>
      <c r="BS18" s="31">
        <v>0</v>
      </c>
      <c r="BT18" s="31">
        <v>0</v>
      </c>
      <c r="BU18" s="41">
        <v>0</v>
      </c>
      <c r="BV18" s="41">
        <v>0</v>
      </c>
      <c r="BW18" s="31">
        <v>0</v>
      </c>
      <c r="BX18" s="31">
        <v>0</v>
      </c>
      <c r="BY18" s="38">
        <v>0</v>
      </c>
      <c r="BZ18" s="38">
        <v>0</v>
      </c>
    </row>
    <row r="19" s="2" customFormat="1" ht="21" customHeight="1" spans="1:78">
      <c r="A19" s="16" t="s">
        <v>67</v>
      </c>
      <c r="B19" s="18">
        <v>12</v>
      </c>
      <c r="C19" s="17">
        <f t="shared" si="7"/>
        <v>0</v>
      </c>
      <c r="D19" s="17">
        <f t="shared" si="8"/>
        <v>0</v>
      </c>
      <c r="E19" s="17">
        <f t="shared" si="1"/>
        <v>0</v>
      </c>
      <c r="F19" s="17" t="e">
        <f>E19-#REF!</f>
        <v>#REF!</v>
      </c>
      <c r="G19" s="26">
        <f t="shared" si="9"/>
        <v>0</v>
      </c>
      <c r="H19" s="17">
        <f t="shared" si="10"/>
        <v>0</v>
      </c>
      <c r="I19" s="17">
        <f>U19+Y19+BE19+AC19+AG19+AK19+AO19+AS19+AW19+BA19+BI19+BM19+BQ19+BU19+BY19+CC19</f>
        <v>0</v>
      </c>
      <c r="J19" s="17">
        <f>W19+AA19+BG19+AE19+AI19+AM19+AQ19+AU19+AY19+BC19+BK19+BO19+BS19+BW19+CA19+CE19</f>
        <v>0</v>
      </c>
      <c r="K19" s="22" t="e">
        <f t="shared" si="16"/>
        <v>#DIV/0!</v>
      </c>
      <c r="L19" s="22" t="e">
        <f t="shared" si="11"/>
        <v>#DIV/0!</v>
      </c>
      <c r="M19" s="26" t="e">
        <f t="shared" si="13"/>
        <v>#DIV/0!</v>
      </c>
      <c r="N19" s="26" t="e">
        <f t="shared" si="12"/>
        <v>#DIV/0!</v>
      </c>
      <c r="O19" s="31">
        <v>0</v>
      </c>
      <c r="P19" s="31">
        <v>0</v>
      </c>
      <c r="Q19" s="38"/>
      <c r="R19" s="39"/>
      <c r="S19" s="40">
        <v>0</v>
      </c>
      <c r="T19" s="40">
        <v>0</v>
      </c>
      <c r="U19" s="50">
        <v>0</v>
      </c>
      <c r="V19" s="50">
        <v>0</v>
      </c>
      <c r="W19" s="31">
        <v>0</v>
      </c>
      <c r="X19" s="31">
        <v>0</v>
      </c>
      <c r="Y19" s="50">
        <v>0</v>
      </c>
      <c r="Z19" s="50">
        <v>0</v>
      </c>
      <c r="AA19" s="31">
        <v>0</v>
      </c>
      <c r="AB19" s="31">
        <v>0</v>
      </c>
      <c r="AC19" s="50">
        <v>0</v>
      </c>
      <c r="AD19" s="50">
        <v>0</v>
      </c>
      <c r="AE19" s="31">
        <v>0</v>
      </c>
      <c r="AF19" s="31">
        <v>0</v>
      </c>
      <c r="AG19" s="50">
        <v>0</v>
      </c>
      <c r="AH19" s="50">
        <v>0</v>
      </c>
      <c r="AI19" s="31">
        <v>0</v>
      </c>
      <c r="AJ19" s="31">
        <v>0</v>
      </c>
      <c r="AK19" s="50">
        <v>0</v>
      </c>
      <c r="AL19" s="50">
        <v>0</v>
      </c>
      <c r="AM19" s="31">
        <v>0</v>
      </c>
      <c r="AN19" s="31">
        <v>0</v>
      </c>
      <c r="AO19" s="50">
        <v>0</v>
      </c>
      <c r="AP19" s="50">
        <v>0</v>
      </c>
      <c r="AQ19" s="31">
        <v>0</v>
      </c>
      <c r="AR19" s="31">
        <v>0</v>
      </c>
      <c r="AS19" s="50">
        <v>0</v>
      </c>
      <c r="AT19" s="50">
        <v>0</v>
      </c>
      <c r="AU19" s="31">
        <v>0</v>
      </c>
      <c r="AV19" s="31">
        <v>0</v>
      </c>
      <c r="AW19" s="50">
        <v>0</v>
      </c>
      <c r="AX19" s="50">
        <v>0</v>
      </c>
      <c r="AY19" s="31">
        <v>0</v>
      </c>
      <c r="AZ19" s="31">
        <v>0</v>
      </c>
      <c r="BA19" s="50">
        <v>0</v>
      </c>
      <c r="BB19" s="50">
        <v>0</v>
      </c>
      <c r="BC19" s="54">
        <v>0</v>
      </c>
      <c r="BD19" s="54">
        <v>0</v>
      </c>
      <c r="BE19" s="50"/>
      <c r="BF19" s="50"/>
      <c r="BG19" s="31">
        <v>0</v>
      </c>
      <c r="BH19" s="31">
        <v>0</v>
      </c>
      <c r="BI19" s="50">
        <v>0</v>
      </c>
      <c r="BJ19" s="50">
        <v>0</v>
      </c>
      <c r="BK19" s="31">
        <v>0</v>
      </c>
      <c r="BL19" s="31">
        <v>0</v>
      </c>
      <c r="BM19" s="50">
        <v>0</v>
      </c>
      <c r="BN19" s="50">
        <v>0</v>
      </c>
      <c r="BO19" s="31">
        <v>0</v>
      </c>
      <c r="BP19" s="31">
        <v>0</v>
      </c>
      <c r="BQ19" s="50">
        <v>0</v>
      </c>
      <c r="BR19" s="50">
        <v>0</v>
      </c>
      <c r="BS19" s="31">
        <v>0</v>
      </c>
      <c r="BT19" s="31">
        <v>0</v>
      </c>
      <c r="BU19" s="41">
        <v>0</v>
      </c>
      <c r="BV19" s="41">
        <v>0</v>
      </c>
      <c r="BW19" s="31">
        <v>0</v>
      </c>
      <c r="BX19" s="31">
        <v>0</v>
      </c>
      <c r="BY19" s="50">
        <v>0</v>
      </c>
      <c r="BZ19" s="50">
        <v>0</v>
      </c>
    </row>
    <row r="20" s="2" customFormat="1" ht="21" customHeight="1" spans="1:78">
      <c r="A20" s="16" t="s">
        <v>68</v>
      </c>
      <c r="B20" s="18">
        <v>13</v>
      </c>
      <c r="C20" s="17">
        <f t="shared" si="7"/>
        <v>0</v>
      </c>
      <c r="D20" s="17">
        <f t="shared" si="8"/>
        <v>0</v>
      </c>
      <c r="E20" s="17">
        <f t="shared" si="1"/>
        <v>0</v>
      </c>
      <c r="F20" s="17" t="e">
        <f>E20/D20</f>
        <v>#DIV/0!</v>
      </c>
      <c r="G20" s="26">
        <f t="shared" si="9"/>
        <v>0</v>
      </c>
      <c r="H20" s="17">
        <f t="shared" si="10"/>
        <v>0</v>
      </c>
      <c r="I20" s="17">
        <f t="shared" si="2"/>
        <v>0</v>
      </c>
      <c r="J20" s="17" t="e">
        <f>I20/H20</f>
        <v>#DIV/0!</v>
      </c>
      <c r="K20" s="22" t="e">
        <f t="shared" si="16"/>
        <v>#DIV/0!</v>
      </c>
      <c r="L20" s="22" t="e">
        <f t="shared" si="11"/>
        <v>#DIV/0!</v>
      </c>
      <c r="M20" s="26" t="e">
        <f t="shared" si="13"/>
        <v>#DIV/0!</v>
      </c>
      <c r="N20" s="26" t="e">
        <f t="shared" si="12"/>
        <v>#DIV/0!</v>
      </c>
      <c r="O20" s="31">
        <v>0</v>
      </c>
      <c r="P20" s="31">
        <v>0</v>
      </c>
      <c r="Q20" s="38"/>
      <c r="R20" s="39"/>
      <c r="S20" s="40">
        <v>0</v>
      </c>
      <c r="T20" s="40">
        <v>0</v>
      </c>
      <c r="U20" s="51">
        <v>0</v>
      </c>
      <c r="V20" s="51">
        <v>0</v>
      </c>
      <c r="W20" s="31">
        <v>0</v>
      </c>
      <c r="X20" s="31">
        <v>0</v>
      </c>
      <c r="Y20" s="51">
        <v>0</v>
      </c>
      <c r="Z20" s="51">
        <v>0</v>
      </c>
      <c r="AA20" s="31">
        <v>0</v>
      </c>
      <c r="AB20" s="31">
        <v>0</v>
      </c>
      <c r="AC20" s="51">
        <v>0</v>
      </c>
      <c r="AD20" s="51">
        <v>0</v>
      </c>
      <c r="AE20" s="31">
        <v>0</v>
      </c>
      <c r="AF20" s="31">
        <v>0</v>
      </c>
      <c r="AG20" s="51">
        <v>0</v>
      </c>
      <c r="AH20" s="51">
        <v>0</v>
      </c>
      <c r="AI20" s="31">
        <v>0</v>
      </c>
      <c r="AJ20" s="31">
        <v>0</v>
      </c>
      <c r="AK20" s="51">
        <v>0</v>
      </c>
      <c r="AL20" s="51">
        <v>0</v>
      </c>
      <c r="AM20" s="31">
        <v>0</v>
      </c>
      <c r="AN20" s="31">
        <v>0</v>
      </c>
      <c r="AO20" s="51">
        <v>0</v>
      </c>
      <c r="AP20" s="51">
        <v>0</v>
      </c>
      <c r="AQ20" s="31">
        <v>0</v>
      </c>
      <c r="AR20" s="31">
        <v>0</v>
      </c>
      <c r="AS20" s="51">
        <v>0</v>
      </c>
      <c r="AT20" s="51">
        <v>0</v>
      </c>
      <c r="AU20" s="31">
        <v>0</v>
      </c>
      <c r="AV20" s="31">
        <v>0</v>
      </c>
      <c r="AW20" s="51">
        <v>0</v>
      </c>
      <c r="AX20" s="51">
        <v>0</v>
      </c>
      <c r="AY20" s="31">
        <v>0</v>
      </c>
      <c r="AZ20" s="31">
        <v>0</v>
      </c>
      <c r="BA20" s="51">
        <v>0</v>
      </c>
      <c r="BB20" s="51">
        <v>0</v>
      </c>
      <c r="BC20" s="54">
        <v>0</v>
      </c>
      <c r="BD20" s="54">
        <v>0</v>
      </c>
      <c r="BE20" s="51"/>
      <c r="BF20" s="51"/>
      <c r="BG20" s="31">
        <v>0</v>
      </c>
      <c r="BH20" s="31">
        <v>0</v>
      </c>
      <c r="BI20" s="51">
        <v>0</v>
      </c>
      <c r="BJ20" s="51">
        <v>0</v>
      </c>
      <c r="BK20" s="31">
        <v>0</v>
      </c>
      <c r="BL20" s="31">
        <v>0</v>
      </c>
      <c r="BM20" s="51">
        <v>0</v>
      </c>
      <c r="BN20" s="51">
        <v>0</v>
      </c>
      <c r="BO20" s="31">
        <v>0</v>
      </c>
      <c r="BP20" s="31">
        <v>0</v>
      </c>
      <c r="BQ20" s="51">
        <v>0</v>
      </c>
      <c r="BR20" s="51">
        <v>0</v>
      </c>
      <c r="BS20" s="31">
        <v>0</v>
      </c>
      <c r="BT20" s="31">
        <v>0</v>
      </c>
      <c r="BU20" s="41">
        <v>0</v>
      </c>
      <c r="BV20" s="41">
        <v>0</v>
      </c>
      <c r="BW20" s="31">
        <v>0</v>
      </c>
      <c r="BX20" s="31">
        <v>0</v>
      </c>
      <c r="BY20" s="51">
        <v>0</v>
      </c>
      <c r="BZ20" s="51">
        <v>0</v>
      </c>
    </row>
    <row r="21" s="2" customFormat="1" ht="21" customHeight="1" spans="1:78">
      <c r="A21" s="16" t="s">
        <v>69</v>
      </c>
      <c r="B21" s="18">
        <v>14</v>
      </c>
      <c r="C21" s="17">
        <f t="shared" si="7"/>
        <v>0</v>
      </c>
      <c r="D21" s="17">
        <f t="shared" si="8"/>
        <v>0</v>
      </c>
      <c r="E21" s="17">
        <f t="shared" si="1"/>
        <v>0</v>
      </c>
      <c r="F21" s="17" t="e">
        <f>E21-#REF!</f>
        <v>#REF!</v>
      </c>
      <c r="G21" s="26">
        <f t="shared" si="9"/>
        <v>0</v>
      </c>
      <c r="H21" s="17">
        <f t="shared" si="10"/>
        <v>0</v>
      </c>
      <c r="I21" s="17"/>
      <c r="J21" s="17"/>
      <c r="K21" s="22" t="e">
        <f t="shared" si="16"/>
        <v>#DIV/0!</v>
      </c>
      <c r="L21" s="22" t="e">
        <f t="shared" si="11"/>
        <v>#DIV/0!</v>
      </c>
      <c r="M21" s="26" t="e">
        <f t="shared" si="13"/>
        <v>#DIV/0!</v>
      </c>
      <c r="N21" s="26" t="e">
        <f t="shared" si="12"/>
        <v>#DIV/0!</v>
      </c>
      <c r="O21" s="31">
        <v>0</v>
      </c>
      <c r="P21" s="31">
        <v>0</v>
      </c>
      <c r="Q21" s="38"/>
      <c r="R21" s="39"/>
      <c r="S21" s="40">
        <v>0</v>
      </c>
      <c r="T21" s="40">
        <v>0</v>
      </c>
      <c r="U21" s="42">
        <v>0</v>
      </c>
      <c r="V21" s="42">
        <v>0</v>
      </c>
      <c r="W21" s="31">
        <v>0</v>
      </c>
      <c r="X21" s="31">
        <v>0</v>
      </c>
      <c r="Y21" s="42">
        <v>0</v>
      </c>
      <c r="Z21" s="42">
        <v>0</v>
      </c>
      <c r="AA21" s="31">
        <v>0</v>
      </c>
      <c r="AB21" s="31">
        <v>0</v>
      </c>
      <c r="AC21" s="42">
        <v>0</v>
      </c>
      <c r="AD21" s="42">
        <v>0</v>
      </c>
      <c r="AE21" s="31">
        <v>0</v>
      </c>
      <c r="AF21" s="31">
        <v>0</v>
      </c>
      <c r="AG21" s="42">
        <v>0</v>
      </c>
      <c r="AH21" s="42">
        <v>0</v>
      </c>
      <c r="AI21" s="31">
        <v>0</v>
      </c>
      <c r="AJ21" s="31">
        <v>0</v>
      </c>
      <c r="AK21" s="42">
        <v>0</v>
      </c>
      <c r="AL21" s="42">
        <v>0</v>
      </c>
      <c r="AM21" s="31">
        <v>0</v>
      </c>
      <c r="AN21" s="31">
        <v>0</v>
      </c>
      <c r="AO21" s="42">
        <v>0</v>
      </c>
      <c r="AP21" s="42">
        <v>0</v>
      </c>
      <c r="AQ21" s="31">
        <v>0</v>
      </c>
      <c r="AR21" s="31">
        <v>0</v>
      </c>
      <c r="AS21" s="42">
        <v>0</v>
      </c>
      <c r="AT21" s="42">
        <v>0</v>
      </c>
      <c r="AU21" s="31">
        <v>0</v>
      </c>
      <c r="AV21" s="31">
        <v>0</v>
      </c>
      <c r="AW21" s="42">
        <v>0</v>
      </c>
      <c r="AX21" s="42">
        <v>0</v>
      </c>
      <c r="AY21" s="31">
        <v>0</v>
      </c>
      <c r="AZ21" s="31">
        <v>0</v>
      </c>
      <c r="BA21" s="42">
        <v>0</v>
      </c>
      <c r="BB21" s="42">
        <v>0</v>
      </c>
      <c r="BC21" s="54">
        <v>0</v>
      </c>
      <c r="BD21" s="54">
        <v>0</v>
      </c>
      <c r="BE21" s="42"/>
      <c r="BF21" s="42"/>
      <c r="BG21" s="31">
        <v>0</v>
      </c>
      <c r="BH21" s="31">
        <v>0</v>
      </c>
      <c r="BI21" s="42">
        <v>0</v>
      </c>
      <c r="BJ21" s="42">
        <v>0</v>
      </c>
      <c r="BK21" s="31">
        <v>0</v>
      </c>
      <c r="BL21" s="31">
        <v>0</v>
      </c>
      <c r="BM21" s="42">
        <v>0</v>
      </c>
      <c r="BN21" s="42">
        <v>0</v>
      </c>
      <c r="BO21" s="31">
        <v>0</v>
      </c>
      <c r="BP21" s="31">
        <v>0</v>
      </c>
      <c r="BQ21" s="42">
        <v>0</v>
      </c>
      <c r="BR21" s="42">
        <v>0</v>
      </c>
      <c r="BS21" s="31">
        <v>0</v>
      </c>
      <c r="BT21" s="31">
        <v>0</v>
      </c>
      <c r="BU21" s="41">
        <v>0</v>
      </c>
      <c r="BV21" s="41">
        <v>0</v>
      </c>
      <c r="BW21" s="31">
        <v>0</v>
      </c>
      <c r="BX21" s="31">
        <v>0</v>
      </c>
      <c r="BY21" s="42">
        <v>0</v>
      </c>
      <c r="BZ21" s="42">
        <v>0</v>
      </c>
    </row>
    <row r="22" s="1" customFormat="1" ht="21" customHeight="1" spans="1:78">
      <c r="A22" s="16" t="s">
        <v>70</v>
      </c>
      <c r="B22" s="13">
        <v>15</v>
      </c>
      <c r="C22" s="17">
        <f t="shared" si="7"/>
        <v>424.24</v>
      </c>
      <c r="D22" s="17">
        <f t="shared" si="8"/>
        <v>407.85</v>
      </c>
      <c r="E22" s="26">
        <f t="shared" si="1"/>
        <v>16.39</v>
      </c>
      <c r="F22" s="26"/>
      <c r="G22" s="26">
        <f t="shared" si="9"/>
        <v>1594.36</v>
      </c>
      <c r="H22" s="17">
        <f t="shared" si="10"/>
        <v>1483.17</v>
      </c>
      <c r="I22" s="26">
        <f t="shared" si="2"/>
        <v>111.19</v>
      </c>
      <c r="J22" s="26"/>
      <c r="K22" s="22">
        <f t="shared" si="16"/>
        <v>3758.15576089006</v>
      </c>
      <c r="L22" s="22">
        <f t="shared" si="11"/>
        <v>3636.55755792571</v>
      </c>
      <c r="M22" s="26">
        <f t="shared" si="13"/>
        <v>121.598202964351</v>
      </c>
      <c r="N22" s="26">
        <f t="shared" si="12"/>
        <v>3.34377226339602</v>
      </c>
      <c r="O22" s="31">
        <v>0.6</v>
      </c>
      <c r="P22" s="31">
        <v>3.2</v>
      </c>
      <c r="Q22" s="38">
        <v>0.6</v>
      </c>
      <c r="R22" s="39">
        <v>2.98</v>
      </c>
      <c r="S22" s="40">
        <v>31.9</v>
      </c>
      <c r="T22" s="40">
        <v>60.39</v>
      </c>
      <c r="U22" s="43">
        <v>31.9</v>
      </c>
      <c r="V22" s="43">
        <v>66.86</v>
      </c>
      <c r="W22" s="31">
        <v>19.9</v>
      </c>
      <c r="X22" s="31">
        <v>97.17</v>
      </c>
      <c r="Y22" s="43">
        <v>19.9</v>
      </c>
      <c r="Z22" s="43">
        <v>90.3</v>
      </c>
      <c r="AA22" s="31">
        <v>60.16</v>
      </c>
      <c r="AB22" s="31">
        <v>134.86</v>
      </c>
      <c r="AC22" s="43">
        <v>61.16</v>
      </c>
      <c r="AD22" s="43">
        <v>152.35</v>
      </c>
      <c r="AE22" s="31">
        <v>13.9</v>
      </c>
      <c r="AF22" s="31">
        <v>28.5</v>
      </c>
      <c r="AG22" s="43">
        <v>13.9</v>
      </c>
      <c r="AH22" s="43">
        <v>31.26</v>
      </c>
      <c r="AI22" s="31">
        <v>4.9</v>
      </c>
      <c r="AJ22" s="31">
        <v>15.03</v>
      </c>
      <c r="AK22" s="43">
        <v>4.9</v>
      </c>
      <c r="AL22" s="43">
        <v>15.3</v>
      </c>
      <c r="AM22" s="31">
        <v>22.79</v>
      </c>
      <c r="AN22" s="31">
        <v>124.06</v>
      </c>
      <c r="AO22" s="43">
        <v>25.5</v>
      </c>
      <c r="AP22" s="43">
        <v>126.8</v>
      </c>
      <c r="AQ22" s="31">
        <v>72.6</v>
      </c>
      <c r="AR22" s="31">
        <v>285.17</v>
      </c>
      <c r="AS22" s="43">
        <v>80.2</v>
      </c>
      <c r="AT22" s="43">
        <v>313.5</v>
      </c>
      <c r="AU22" s="31">
        <v>0.6</v>
      </c>
      <c r="AV22" s="31">
        <v>1.6</v>
      </c>
      <c r="AW22" s="43">
        <v>0.6</v>
      </c>
      <c r="AX22" s="43">
        <v>1.75</v>
      </c>
      <c r="AY22" s="31">
        <v>118.5</v>
      </c>
      <c r="AZ22" s="31">
        <v>471.01</v>
      </c>
      <c r="BA22" s="43">
        <v>122.68</v>
      </c>
      <c r="BB22" s="43">
        <v>529.06</v>
      </c>
      <c r="BC22" s="54">
        <v>2.8</v>
      </c>
      <c r="BD22" s="54">
        <v>13.8</v>
      </c>
      <c r="BE22" s="43">
        <v>2.8</v>
      </c>
      <c r="BF22" s="43">
        <v>15.1</v>
      </c>
      <c r="BG22" s="31">
        <v>6.6</v>
      </c>
      <c r="BH22" s="31">
        <v>5.1</v>
      </c>
      <c r="BI22" s="43">
        <v>6.6</v>
      </c>
      <c r="BJ22" s="43">
        <v>12.2</v>
      </c>
      <c r="BK22" s="31">
        <v>12</v>
      </c>
      <c r="BL22" s="31">
        <v>49.86</v>
      </c>
      <c r="BM22" s="43">
        <v>12</v>
      </c>
      <c r="BN22" s="43">
        <v>43.54</v>
      </c>
      <c r="BO22" s="31">
        <v>34.7</v>
      </c>
      <c r="BP22" s="31">
        <v>151.42</v>
      </c>
      <c r="BQ22" s="43">
        <v>35.6</v>
      </c>
      <c r="BR22" s="43">
        <v>167.7</v>
      </c>
      <c r="BS22" s="31">
        <v>0</v>
      </c>
      <c r="BT22" s="31">
        <v>0</v>
      </c>
      <c r="BU22" s="41">
        <v>0</v>
      </c>
      <c r="BV22" s="41">
        <v>0</v>
      </c>
      <c r="BW22" s="31">
        <v>5.9</v>
      </c>
      <c r="BX22" s="31">
        <v>42</v>
      </c>
      <c r="BY22" s="43">
        <v>5.9</v>
      </c>
      <c r="BZ22" s="43">
        <v>25.66</v>
      </c>
    </row>
    <row r="23" s="1" customFormat="1" ht="21" customHeight="1" spans="1:78">
      <c r="A23" s="16" t="s">
        <v>71</v>
      </c>
      <c r="B23" s="13">
        <v>16</v>
      </c>
      <c r="C23" s="17">
        <f t="shared" si="7"/>
        <v>234.58</v>
      </c>
      <c r="D23" s="17">
        <f t="shared" si="8"/>
        <v>226.2</v>
      </c>
      <c r="E23" s="26">
        <f t="shared" si="1"/>
        <v>8.38000000000005</v>
      </c>
      <c r="F23" s="26"/>
      <c r="G23" s="26">
        <f t="shared" si="9"/>
        <v>888.78</v>
      </c>
      <c r="H23" s="17">
        <f t="shared" si="10"/>
        <v>813.67</v>
      </c>
      <c r="I23" s="26">
        <f t="shared" si="2"/>
        <v>75.11</v>
      </c>
      <c r="J23" s="26"/>
      <c r="K23" s="22">
        <f t="shared" si="16"/>
        <v>3788.8140506437</v>
      </c>
      <c r="L23" s="22">
        <f t="shared" si="11"/>
        <v>3597.12643678161</v>
      </c>
      <c r="M23" s="26">
        <f t="shared" si="13"/>
        <v>191.687613862093</v>
      </c>
      <c r="N23" s="26">
        <f t="shared" si="12"/>
        <v>5.3289095401828</v>
      </c>
      <c r="O23" s="31">
        <v>0.6</v>
      </c>
      <c r="P23" s="31">
        <v>3.2</v>
      </c>
      <c r="Q23" s="38">
        <v>0.6</v>
      </c>
      <c r="R23" s="39">
        <v>2.98</v>
      </c>
      <c r="S23" s="40">
        <v>30</v>
      </c>
      <c r="T23" s="40">
        <v>57.39</v>
      </c>
      <c r="U23" s="43">
        <v>30</v>
      </c>
      <c r="V23" s="43">
        <v>63.5</v>
      </c>
      <c r="W23" s="31">
        <v>13.4</v>
      </c>
      <c r="X23" s="31">
        <v>75.17</v>
      </c>
      <c r="Y23" s="43">
        <v>13.4</v>
      </c>
      <c r="Z23" s="43">
        <v>66.2</v>
      </c>
      <c r="AA23" s="31">
        <v>35</v>
      </c>
      <c r="AB23" s="31">
        <v>96.77</v>
      </c>
      <c r="AC23" s="43">
        <v>36</v>
      </c>
      <c r="AD23" s="43">
        <v>110.25</v>
      </c>
      <c r="AE23" s="31">
        <v>9.4</v>
      </c>
      <c r="AF23" s="31">
        <v>21.5</v>
      </c>
      <c r="AG23" s="43">
        <v>9.4</v>
      </c>
      <c r="AH23" s="43">
        <v>23.58</v>
      </c>
      <c r="AI23" s="31">
        <v>4.9</v>
      </c>
      <c r="AJ23" s="31">
        <v>15.03</v>
      </c>
      <c r="AK23" s="43">
        <v>4.9</v>
      </c>
      <c r="AL23" s="43">
        <v>15.3</v>
      </c>
      <c r="AM23" s="31">
        <v>0</v>
      </c>
      <c r="AN23" s="31">
        <v>0</v>
      </c>
      <c r="AO23" s="43">
        <v>0</v>
      </c>
      <c r="AP23" s="43">
        <v>0</v>
      </c>
      <c r="AQ23" s="31">
        <v>20.7</v>
      </c>
      <c r="AR23" s="31">
        <v>42.55</v>
      </c>
      <c r="AS23" s="43">
        <v>23</v>
      </c>
      <c r="AT23" s="43">
        <v>54</v>
      </c>
      <c r="AU23" s="31">
        <v>0.6</v>
      </c>
      <c r="AV23" s="31">
        <v>1.6</v>
      </c>
      <c r="AW23" s="43">
        <v>0.6</v>
      </c>
      <c r="AX23" s="43">
        <v>1.75</v>
      </c>
      <c r="AY23" s="31">
        <v>72</v>
      </c>
      <c r="AZ23" s="31">
        <v>335.5</v>
      </c>
      <c r="BA23" s="43">
        <v>76.18</v>
      </c>
      <c r="BB23" s="43">
        <v>380</v>
      </c>
      <c r="BC23" s="54">
        <v>2.8</v>
      </c>
      <c r="BD23" s="54">
        <v>13.8</v>
      </c>
      <c r="BE23" s="43">
        <v>2.8</v>
      </c>
      <c r="BF23" s="43">
        <v>15.1</v>
      </c>
      <c r="BG23" s="31">
        <v>6.6</v>
      </c>
      <c r="BH23" s="31">
        <v>5.1</v>
      </c>
      <c r="BI23" s="43">
        <v>6.6</v>
      </c>
      <c r="BJ23" s="43">
        <v>12.2</v>
      </c>
      <c r="BK23" s="31">
        <v>6.3</v>
      </c>
      <c r="BL23" s="31">
        <v>25.06</v>
      </c>
      <c r="BM23" s="43">
        <v>6.3</v>
      </c>
      <c r="BN23" s="43">
        <v>27.56</v>
      </c>
      <c r="BO23" s="31">
        <v>20.1</v>
      </c>
      <c r="BP23" s="31">
        <v>85</v>
      </c>
      <c r="BQ23" s="43">
        <v>21</v>
      </c>
      <c r="BR23" s="43">
        <v>97.5</v>
      </c>
      <c r="BS23" s="31">
        <v>0</v>
      </c>
      <c r="BT23" s="31">
        <v>0</v>
      </c>
      <c r="BU23" s="41">
        <v>0</v>
      </c>
      <c r="BV23" s="41">
        <v>0</v>
      </c>
      <c r="BW23" s="31">
        <v>3.8</v>
      </c>
      <c r="BX23" s="31">
        <v>36</v>
      </c>
      <c r="BY23" s="43">
        <v>3.8</v>
      </c>
      <c r="BZ23" s="43">
        <v>18.86</v>
      </c>
    </row>
    <row r="24" s="1" customFormat="1" ht="21" customHeight="1" spans="1:78">
      <c r="A24" s="16" t="s">
        <v>72</v>
      </c>
      <c r="B24" s="13">
        <v>17</v>
      </c>
      <c r="C24" s="17">
        <f t="shared" si="7"/>
        <v>123.4</v>
      </c>
      <c r="D24" s="17">
        <f t="shared" si="8"/>
        <v>120.69</v>
      </c>
      <c r="E24" s="26">
        <f t="shared" si="1"/>
        <v>2.70999999999998</v>
      </c>
      <c r="F24" s="26"/>
      <c r="G24" s="26">
        <f t="shared" si="9"/>
        <v>432.68</v>
      </c>
      <c r="H24" s="17">
        <f t="shared" si="10"/>
        <v>403.85</v>
      </c>
      <c r="I24" s="26">
        <f t="shared" si="2"/>
        <v>28.83</v>
      </c>
      <c r="J24" s="26"/>
      <c r="K24" s="22">
        <f t="shared" si="16"/>
        <v>3506.3209076175</v>
      </c>
      <c r="L24" s="22">
        <f t="shared" si="11"/>
        <v>3346.17615378242</v>
      </c>
      <c r="M24" s="26">
        <f t="shared" si="13"/>
        <v>160.144753835085</v>
      </c>
      <c r="N24" s="26">
        <f t="shared" si="12"/>
        <v>4.78590326615238</v>
      </c>
      <c r="O24" s="31">
        <v>0</v>
      </c>
      <c r="P24" s="31">
        <v>0</v>
      </c>
      <c r="Q24" s="38"/>
      <c r="R24" s="39"/>
      <c r="S24" s="40">
        <v>1.9</v>
      </c>
      <c r="T24" s="40">
        <v>3</v>
      </c>
      <c r="U24" s="38">
        <v>1.9</v>
      </c>
      <c r="V24" s="39">
        <v>3.36</v>
      </c>
      <c r="W24" s="31">
        <v>6.5</v>
      </c>
      <c r="X24" s="31">
        <v>22</v>
      </c>
      <c r="Y24" s="38">
        <v>6.5</v>
      </c>
      <c r="Z24" s="39">
        <v>24.1</v>
      </c>
      <c r="AA24" s="31">
        <v>9.9</v>
      </c>
      <c r="AB24" s="31">
        <v>21.3</v>
      </c>
      <c r="AC24" s="38">
        <v>9.9</v>
      </c>
      <c r="AD24" s="39">
        <v>23.6</v>
      </c>
      <c r="AE24" s="31">
        <v>4.5</v>
      </c>
      <c r="AF24" s="31">
        <v>7</v>
      </c>
      <c r="AG24" s="38">
        <v>4.5</v>
      </c>
      <c r="AH24" s="39">
        <v>7.68</v>
      </c>
      <c r="AI24" s="31">
        <v>0</v>
      </c>
      <c r="AJ24" s="31">
        <v>0</v>
      </c>
      <c r="AK24" s="38">
        <v>0</v>
      </c>
      <c r="AL24" s="39">
        <v>0</v>
      </c>
      <c r="AM24" s="31">
        <v>22.79</v>
      </c>
      <c r="AN24" s="31">
        <v>124.06</v>
      </c>
      <c r="AO24" s="38">
        <v>25.5</v>
      </c>
      <c r="AP24" s="39">
        <v>126.8</v>
      </c>
      <c r="AQ24" s="31">
        <v>7.9</v>
      </c>
      <c r="AR24" s="31">
        <v>11.76</v>
      </c>
      <c r="AS24" s="38">
        <v>7.9</v>
      </c>
      <c r="AT24" s="39">
        <v>13.5</v>
      </c>
      <c r="AU24" s="31">
        <v>0</v>
      </c>
      <c r="AV24" s="31">
        <v>0</v>
      </c>
      <c r="AW24" s="38">
        <v>0</v>
      </c>
      <c r="AX24" s="39">
        <v>0</v>
      </c>
      <c r="AY24" s="31">
        <v>46.5</v>
      </c>
      <c r="AZ24" s="31">
        <v>135.51</v>
      </c>
      <c r="BA24" s="38">
        <v>46.5</v>
      </c>
      <c r="BB24" s="39">
        <v>149.06</v>
      </c>
      <c r="BC24" s="54">
        <v>0</v>
      </c>
      <c r="BD24" s="54">
        <v>0</v>
      </c>
      <c r="BE24" s="38"/>
      <c r="BF24" s="39"/>
      <c r="BG24" s="31">
        <v>0</v>
      </c>
      <c r="BH24" s="31">
        <v>0</v>
      </c>
      <c r="BI24" s="38">
        <v>0</v>
      </c>
      <c r="BJ24" s="39">
        <v>0</v>
      </c>
      <c r="BK24" s="31">
        <v>4</v>
      </c>
      <c r="BL24" s="31">
        <v>6.8</v>
      </c>
      <c r="BM24" s="38">
        <v>4</v>
      </c>
      <c r="BN24" s="39">
        <v>7.58</v>
      </c>
      <c r="BO24" s="31">
        <v>14.6</v>
      </c>
      <c r="BP24" s="31">
        <v>66.42</v>
      </c>
      <c r="BQ24" s="38">
        <v>14.6</v>
      </c>
      <c r="BR24" s="39">
        <v>70.2</v>
      </c>
      <c r="BS24" s="31">
        <v>0</v>
      </c>
      <c r="BT24" s="31">
        <v>0</v>
      </c>
      <c r="BU24" s="41">
        <v>0</v>
      </c>
      <c r="BV24" s="41">
        <v>0</v>
      </c>
      <c r="BW24" s="31">
        <v>2.1</v>
      </c>
      <c r="BX24" s="31">
        <v>6</v>
      </c>
      <c r="BY24" s="38">
        <v>2.1</v>
      </c>
      <c r="BZ24" s="39">
        <v>6.8</v>
      </c>
    </row>
    <row r="25" s="1" customFormat="1" ht="21" customHeight="1" spans="1:78">
      <c r="A25" s="16" t="s">
        <v>73</v>
      </c>
      <c r="B25" s="13">
        <v>18</v>
      </c>
      <c r="C25" s="17">
        <f t="shared" si="7"/>
        <v>66.26</v>
      </c>
      <c r="D25" s="17">
        <f t="shared" si="8"/>
        <v>60.96</v>
      </c>
      <c r="E25" s="26">
        <f t="shared" si="1"/>
        <v>5.3</v>
      </c>
      <c r="F25" s="26"/>
      <c r="G25" s="26">
        <f t="shared" si="9"/>
        <v>272.9</v>
      </c>
      <c r="H25" s="17">
        <f t="shared" si="10"/>
        <v>265.65</v>
      </c>
      <c r="I25" s="26">
        <f t="shared" si="2"/>
        <v>7.25</v>
      </c>
      <c r="J25" s="26"/>
      <c r="K25" s="22">
        <f t="shared" si="16"/>
        <v>4118.6236039843</v>
      </c>
      <c r="L25" s="22">
        <f t="shared" si="11"/>
        <v>4357.77559055118</v>
      </c>
      <c r="M25" s="26">
        <f t="shared" si="13"/>
        <v>-239.151986566876</v>
      </c>
      <c r="N25" s="26">
        <f t="shared" si="12"/>
        <v>-5.48793717339235</v>
      </c>
      <c r="O25" s="31">
        <v>0</v>
      </c>
      <c r="P25" s="31">
        <v>0</v>
      </c>
      <c r="Q25" s="38"/>
      <c r="R25" s="39"/>
      <c r="S25" s="40">
        <v>0</v>
      </c>
      <c r="T25" s="40">
        <v>0</v>
      </c>
      <c r="U25" s="38">
        <v>0</v>
      </c>
      <c r="V25" s="38">
        <v>0</v>
      </c>
      <c r="W25" s="31">
        <v>0</v>
      </c>
      <c r="X25" s="31">
        <v>0</v>
      </c>
      <c r="Y25" s="38">
        <v>0</v>
      </c>
      <c r="Z25" s="38">
        <v>0</v>
      </c>
      <c r="AA25" s="31">
        <v>15.26</v>
      </c>
      <c r="AB25" s="31">
        <v>16.79</v>
      </c>
      <c r="AC25" s="38">
        <v>15.26</v>
      </c>
      <c r="AD25" s="38">
        <v>18.5</v>
      </c>
      <c r="AE25" s="31">
        <v>0</v>
      </c>
      <c r="AF25" s="31">
        <v>0</v>
      </c>
      <c r="AG25" s="38">
        <v>0</v>
      </c>
      <c r="AH25" s="38">
        <v>0</v>
      </c>
      <c r="AI25" s="31">
        <v>0</v>
      </c>
      <c r="AJ25" s="31">
        <v>0</v>
      </c>
      <c r="AK25" s="38">
        <v>0</v>
      </c>
      <c r="AL25" s="38">
        <v>0</v>
      </c>
      <c r="AM25" s="31">
        <v>0</v>
      </c>
      <c r="AN25" s="31">
        <v>0</v>
      </c>
      <c r="AO25" s="38">
        <v>0</v>
      </c>
      <c r="AP25" s="38">
        <v>0</v>
      </c>
      <c r="AQ25" s="31">
        <v>44</v>
      </c>
      <c r="AR25" s="31">
        <v>230.86</v>
      </c>
      <c r="AS25" s="38">
        <v>49.3</v>
      </c>
      <c r="AT25" s="38">
        <v>246</v>
      </c>
      <c r="AU25" s="31">
        <v>0</v>
      </c>
      <c r="AV25" s="31">
        <v>0</v>
      </c>
      <c r="AW25" s="38"/>
      <c r="AX25" s="38"/>
      <c r="AY25" s="31">
        <v>0</v>
      </c>
      <c r="AZ25" s="31">
        <v>0</v>
      </c>
      <c r="BA25" s="38"/>
      <c r="BB25" s="38"/>
      <c r="BC25" s="54">
        <v>0</v>
      </c>
      <c r="BD25" s="54">
        <v>0</v>
      </c>
      <c r="BE25" s="38"/>
      <c r="BF25" s="38"/>
      <c r="BG25" s="31">
        <v>0</v>
      </c>
      <c r="BH25" s="31">
        <v>0</v>
      </c>
      <c r="BI25" s="38">
        <v>0</v>
      </c>
      <c r="BJ25" s="38">
        <v>0</v>
      </c>
      <c r="BK25" s="31">
        <v>1.7</v>
      </c>
      <c r="BL25" s="31">
        <v>18</v>
      </c>
      <c r="BM25" s="38">
        <v>1.7</v>
      </c>
      <c r="BN25" s="38">
        <v>8.4</v>
      </c>
      <c r="BO25" s="31">
        <v>0</v>
      </c>
      <c r="BP25" s="31">
        <v>0</v>
      </c>
      <c r="BQ25" s="38"/>
      <c r="BR25" s="38"/>
      <c r="BS25" s="31">
        <v>0</v>
      </c>
      <c r="BT25" s="31">
        <v>0</v>
      </c>
      <c r="BU25" s="41">
        <v>0</v>
      </c>
      <c r="BV25" s="41">
        <v>0</v>
      </c>
      <c r="BW25" s="31">
        <v>0</v>
      </c>
      <c r="BX25" s="31">
        <v>0</v>
      </c>
      <c r="BY25" s="38">
        <v>0</v>
      </c>
      <c r="BZ25" s="38">
        <v>0</v>
      </c>
    </row>
    <row r="26" s="1" customFormat="1" ht="21" customHeight="1" spans="1:78">
      <c r="A26" s="16" t="s">
        <v>74</v>
      </c>
      <c r="B26" s="13">
        <v>19</v>
      </c>
      <c r="C26" s="17">
        <f t="shared" si="7"/>
        <v>207.1</v>
      </c>
      <c r="D26" s="17">
        <f t="shared" si="8"/>
        <v>208.6</v>
      </c>
      <c r="E26" s="26">
        <f t="shared" si="1"/>
        <v>-1.50000000000003</v>
      </c>
      <c r="F26" s="26"/>
      <c r="G26" s="26">
        <f t="shared" si="9"/>
        <v>455.93</v>
      </c>
      <c r="H26" s="17">
        <f t="shared" si="10"/>
        <v>408.97</v>
      </c>
      <c r="I26" s="26">
        <f t="shared" si="2"/>
        <v>46.96</v>
      </c>
      <c r="J26" s="26"/>
      <c r="K26" s="22">
        <f t="shared" si="16"/>
        <v>2201.4968614196</v>
      </c>
      <c r="L26" s="22">
        <f t="shared" si="11"/>
        <v>1960.54650047939</v>
      </c>
      <c r="M26" s="26">
        <f t="shared" si="13"/>
        <v>240.950360940215</v>
      </c>
      <c r="N26" s="26">
        <f t="shared" si="12"/>
        <v>12.2899589926226</v>
      </c>
      <c r="O26" s="31">
        <v>1.6</v>
      </c>
      <c r="P26" s="31">
        <v>14.5</v>
      </c>
      <c r="Q26" s="38">
        <v>1.6</v>
      </c>
      <c r="R26" s="39">
        <v>7.13</v>
      </c>
      <c r="S26" s="40">
        <v>0</v>
      </c>
      <c r="T26" s="40">
        <v>0</v>
      </c>
      <c r="U26" s="50">
        <v>0</v>
      </c>
      <c r="V26" s="50">
        <v>0</v>
      </c>
      <c r="W26" s="31">
        <v>29.4</v>
      </c>
      <c r="X26" s="31">
        <v>59.24</v>
      </c>
      <c r="Y26" s="50">
        <v>29.4</v>
      </c>
      <c r="Z26" s="50">
        <v>65.2</v>
      </c>
      <c r="AA26" s="31">
        <v>18.4</v>
      </c>
      <c r="AB26" s="31">
        <v>5.2</v>
      </c>
      <c r="AC26" s="50">
        <v>18.4</v>
      </c>
      <c r="AD26" s="50">
        <v>17.45</v>
      </c>
      <c r="AE26" s="31">
        <v>17.3</v>
      </c>
      <c r="AF26" s="31">
        <v>51.12</v>
      </c>
      <c r="AG26" s="50">
        <v>17.3</v>
      </c>
      <c r="AH26" s="50">
        <v>56.2</v>
      </c>
      <c r="AI26" s="31">
        <v>4.8</v>
      </c>
      <c r="AJ26" s="31">
        <v>10.22</v>
      </c>
      <c r="AK26" s="50">
        <v>4.8</v>
      </c>
      <c r="AL26" s="50">
        <v>10.67</v>
      </c>
      <c r="AM26" s="31">
        <v>0</v>
      </c>
      <c r="AN26" s="31">
        <v>0</v>
      </c>
      <c r="AO26" s="50">
        <v>0</v>
      </c>
      <c r="AP26" s="50">
        <v>0</v>
      </c>
      <c r="AQ26" s="31">
        <v>27.2</v>
      </c>
      <c r="AR26" s="31">
        <v>42</v>
      </c>
      <c r="AS26" s="50">
        <v>28.3</v>
      </c>
      <c r="AT26" s="50">
        <v>48.06</v>
      </c>
      <c r="AU26" s="31">
        <v>4.6</v>
      </c>
      <c r="AV26" s="31">
        <v>9.22</v>
      </c>
      <c r="AW26" s="50">
        <v>4.6</v>
      </c>
      <c r="AX26" s="50">
        <v>10.14</v>
      </c>
      <c r="AY26" s="31">
        <v>40</v>
      </c>
      <c r="AZ26" s="31">
        <v>78</v>
      </c>
      <c r="BA26" s="50">
        <v>37.4</v>
      </c>
      <c r="BB26" s="50">
        <v>85.52</v>
      </c>
      <c r="BC26" s="54">
        <v>4.8</v>
      </c>
      <c r="BD26" s="54">
        <v>14.8</v>
      </c>
      <c r="BE26" s="50">
        <v>4.8</v>
      </c>
      <c r="BF26" s="50">
        <v>15</v>
      </c>
      <c r="BG26" s="31">
        <v>35.8</v>
      </c>
      <c r="BH26" s="31">
        <v>88.4</v>
      </c>
      <c r="BI26" s="50">
        <v>35.8</v>
      </c>
      <c r="BJ26" s="50">
        <v>100.69</v>
      </c>
      <c r="BK26" s="31">
        <v>9.2</v>
      </c>
      <c r="BL26" s="31">
        <v>13.2</v>
      </c>
      <c r="BM26" s="50">
        <v>9.2</v>
      </c>
      <c r="BN26" s="50">
        <v>14.5</v>
      </c>
      <c r="BO26" s="31">
        <v>9.6</v>
      </c>
      <c r="BP26" s="31">
        <v>16.05</v>
      </c>
      <c r="BQ26" s="50">
        <v>9.6</v>
      </c>
      <c r="BR26" s="50">
        <v>17.65</v>
      </c>
      <c r="BS26" s="31">
        <v>0</v>
      </c>
      <c r="BT26" s="31">
        <v>0</v>
      </c>
      <c r="BU26" s="41">
        <v>0</v>
      </c>
      <c r="BV26" s="41">
        <v>0</v>
      </c>
      <c r="BW26" s="31">
        <v>5.9</v>
      </c>
      <c r="BX26" s="31">
        <v>7.02</v>
      </c>
      <c r="BY26" s="50">
        <v>5.9</v>
      </c>
      <c r="BZ26" s="50">
        <v>7.72</v>
      </c>
    </row>
    <row r="27" s="1" customFormat="1" ht="21" customHeight="1" spans="1:78">
      <c r="A27" s="16" t="s">
        <v>75</v>
      </c>
      <c r="B27" s="13">
        <v>20</v>
      </c>
      <c r="C27" s="17">
        <f t="shared" si="7"/>
        <v>63.2</v>
      </c>
      <c r="D27" s="17">
        <f t="shared" si="8"/>
        <v>60.6</v>
      </c>
      <c r="E27" s="26">
        <f t="shared" si="1"/>
        <v>2.59999999999999</v>
      </c>
      <c r="F27" s="26"/>
      <c r="G27" s="26">
        <f t="shared" si="9"/>
        <v>198.75</v>
      </c>
      <c r="H27" s="17">
        <f t="shared" si="10"/>
        <v>193.1</v>
      </c>
      <c r="I27" s="26">
        <f t="shared" si="2"/>
        <v>5.65000000000003</v>
      </c>
      <c r="J27" s="26"/>
      <c r="K27" s="22">
        <f t="shared" si="16"/>
        <v>3144.77848101266</v>
      </c>
      <c r="L27" s="22">
        <f t="shared" si="11"/>
        <v>3186.46864686469</v>
      </c>
      <c r="M27" s="26">
        <f t="shared" si="13"/>
        <v>-41.690165852031</v>
      </c>
      <c r="N27" s="26">
        <f t="shared" si="12"/>
        <v>-1.30835010390113</v>
      </c>
      <c r="O27" s="31">
        <v>1.2</v>
      </c>
      <c r="P27" s="31">
        <v>13.5</v>
      </c>
      <c r="Q27" s="38">
        <v>1.2</v>
      </c>
      <c r="R27" s="39">
        <v>5.98</v>
      </c>
      <c r="S27" s="40">
        <v>0</v>
      </c>
      <c r="T27" s="40">
        <v>0</v>
      </c>
      <c r="U27" s="51">
        <v>0</v>
      </c>
      <c r="V27" s="51">
        <v>0</v>
      </c>
      <c r="W27" s="31">
        <v>12.3</v>
      </c>
      <c r="X27" s="31">
        <v>35.04</v>
      </c>
      <c r="Y27" s="51">
        <v>12.3</v>
      </c>
      <c r="Z27" s="51">
        <v>38.4</v>
      </c>
      <c r="AA27" s="31">
        <v>6.7</v>
      </c>
      <c r="AB27" s="31">
        <v>2.31</v>
      </c>
      <c r="AC27" s="51">
        <v>6.7</v>
      </c>
      <c r="AD27" s="51">
        <v>7.36</v>
      </c>
      <c r="AE27" s="31">
        <v>5.6</v>
      </c>
      <c r="AF27" s="31">
        <v>32.74</v>
      </c>
      <c r="AG27" s="51">
        <v>5.6</v>
      </c>
      <c r="AH27" s="51">
        <v>27.86</v>
      </c>
      <c r="AI27" s="31">
        <v>0</v>
      </c>
      <c r="AJ27" s="31">
        <v>0</v>
      </c>
      <c r="AK27" s="51"/>
      <c r="AL27" s="51"/>
      <c r="AM27" s="31">
        <v>0</v>
      </c>
      <c r="AN27" s="31">
        <v>0</v>
      </c>
      <c r="AO27" s="51">
        <v>0</v>
      </c>
      <c r="AP27" s="51">
        <v>0</v>
      </c>
      <c r="AQ27" s="31">
        <v>9.5</v>
      </c>
      <c r="AR27" s="31">
        <v>26.8</v>
      </c>
      <c r="AS27" s="51">
        <v>10.6</v>
      </c>
      <c r="AT27" s="51">
        <v>32.89</v>
      </c>
      <c r="AU27" s="31">
        <v>1.4</v>
      </c>
      <c r="AV27" s="31">
        <v>4.81</v>
      </c>
      <c r="AW27" s="51">
        <v>1.4</v>
      </c>
      <c r="AX27" s="51">
        <v>5.29</v>
      </c>
      <c r="AY27" s="31">
        <v>16.5</v>
      </c>
      <c r="AZ27" s="31">
        <v>56.9</v>
      </c>
      <c r="BA27" s="51">
        <v>18</v>
      </c>
      <c r="BB27" s="51">
        <v>59.14</v>
      </c>
      <c r="BC27" s="54">
        <v>2.7</v>
      </c>
      <c r="BD27" s="54">
        <v>12.6</v>
      </c>
      <c r="BE27" s="51">
        <v>2.7</v>
      </c>
      <c r="BF27" s="51">
        <v>12.6</v>
      </c>
      <c r="BG27" s="31">
        <v>0</v>
      </c>
      <c r="BH27" s="31">
        <v>0</v>
      </c>
      <c r="BI27" s="51"/>
      <c r="BJ27" s="51"/>
      <c r="BK27" s="31">
        <v>3.3</v>
      </c>
      <c r="BL27" s="31">
        <v>4.2</v>
      </c>
      <c r="BM27" s="51">
        <v>3.3</v>
      </c>
      <c r="BN27" s="51">
        <v>4.61</v>
      </c>
      <c r="BO27" s="31">
        <v>1.4</v>
      </c>
      <c r="BP27" s="31">
        <v>4.2</v>
      </c>
      <c r="BQ27" s="51">
        <v>1.4</v>
      </c>
      <c r="BR27" s="51">
        <v>4.62</v>
      </c>
      <c r="BS27" s="31">
        <v>0</v>
      </c>
      <c r="BT27" s="31">
        <v>0</v>
      </c>
      <c r="BU27" s="41">
        <v>0</v>
      </c>
      <c r="BV27" s="41">
        <v>0</v>
      </c>
      <c r="BW27" s="57"/>
      <c r="BX27" s="57"/>
      <c r="BY27" s="51"/>
      <c r="BZ27" s="51"/>
    </row>
    <row r="28" s="1" customFormat="1" ht="21" customHeight="1" spans="1:78">
      <c r="A28" s="16" t="s">
        <v>76</v>
      </c>
      <c r="B28" s="13">
        <v>21</v>
      </c>
      <c r="C28" s="17">
        <f t="shared" si="7"/>
        <v>68.72</v>
      </c>
      <c r="D28" s="17">
        <f t="shared" si="8"/>
        <v>67.52</v>
      </c>
      <c r="E28" s="26">
        <f t="shared" si="1"/>
        <v>1.2</v>
      </c>
      <c r="F28" s="26"/>
      <c r="G28" s="26">
        <f t="shared" si="9"/>
        <v>164.58</v>
      </c>
      <c r="H28" s="17">
        <f t="shared" si="10"/>
        <v>145.6</v>
      </c>
      <c r="I28" s="26">
        <f t="shared" si="2"/>
        <v>18.98</v>
      </c>
      <c r="J28" s="26"/>
      <c r="K28" s="22">
        <f t="shared" si="16"/>
        <v>2394.93597206054</v>
      </c>
      <c r="L28" s="22">
        <f t="shared" si="11"/>
        <v>2156.3981042654</v>
      </c>
      <c r="M28" s="26">
        <f t="shared" si="13"/>
        <v>238.537867795136</v>
      </c>
      <c r="N28" s="26">
        <f t="shared" si="12"/>
        <v>11.0618659570931</v>
      </c>
      <c r="O28" s="31">
        <v>0.4</v>
      </c>
      <c r="P28" s="31">
        <v>1</v>
      </c>
      <c r="Q28" s="38">
        <v>0.4</v>
      </c>
      <c r="R28" s="39">
        <v>1.15</v>
      </c>
      <c r="S28" s="40">
        <v>0</v>
      </c>
      <c r="T28" s="40">
        <v>0</v>
      </c>
      <c r="U28" s="42">
        <v>0</v>
      </c>
      <c r="V28" s="42">
        <v>0</v>
      </c>
      <c r="W28" s="31">
        <v>7.12</v>
      </c>
      <c r="X28" s="31">
        <v>15.2</v>
      </c>
      <c r="Y28" s="42">
        <v>7.12</v>
      </c>
      <c r="Z28" s="42">
        <v>16.6</v>
      </c>
      <c r="AA28" s="31">
        <v>4.9</v>
      </c>
      <c r="AB28" s="31">
        <v>0.92</v>
      </c>
      <c r="AC28" s="42">
        <v>4.9</v>
      </c>
      <c r="AD28" s="42">
        <v>4.37</v>
      </c>
      <c r="AE28" s="31">
        <v>5.1</v>
      </c>
      <c r="AF28" s="31">
        <v>15.16</v>
      </c>
      <c r="AG28" s="42">
        <v>5.1</v>
      </c>
      <c r="AH28" s="42">
        <v>16.65</v>
      </c>
      <c r="AI28" s="31">
        <v>2.3</v>
      </c>
      <c r="AJ28" s="31">
        <v>5.61</v>
      </c>
      <c r="AK28" s="42">
        <v>2.3</v>
      </c>
      <c r="AL28" s="42">
        <v>5.6</v>
      </c>
      <c r="AM28" s="31">
        <v>0</v>
      </c>
      <c r="AN28" s="31">
        <v>0</v>
      </c>
      <c r="AO28" s="42">
        <v>0</v>
      </c>
      <c r="AP28" s="42">
        <v>0</v>
      </c>
      <c r="AQ28" s="31">
        <v>7.5</v>
      </c>
      <c r="AR28" s="31">
        <v>12.2</v>
      </c>
      <c r="AS28" s="42">
        <v>7.5</v>
      </c>
      <c r="AT28" s="42">
        <v>13.42</v>
      </c>
      <c r="AU28" s="31">
        <v>1.4</v>
      </c>
      <c r="AV28" s="31">
        <v>3.41</v>
      </c>
      <c r="AW28" s="42">
        <v>1.4</v>
      </c>
      <c r="AX28" s="42">
        <v>3.75</v>
      </c>
      <c r="AY28" s="31">
        <v>10</v>
      </c>
      <c r="AZ28" s="31">
        <v>21</v>
      </c>
      <c r="BA28" s="42">
        <v>11.2</v>
      </c>
      <c r="BB28" s="42">
        <v>22.38</v>
      </c>
      <c r="BC28" s="54">
        <v>0.8</v>
      </c>
      <c r="BD28" s="54">
        <v>1.2</v>
      </c>
      <c r="BE28" s="42">
        <v>0.8</v>
      </c>
      <c r="BF28" s="42">
        <v>1.32</v>
      </c>
      <c r="BG28" s="31">
        <v>16.9</v>
      </c>
      <c r="BH28" s="31">
        <v>50.5</v>
      </c>
      <c r="BI28" s="42">
        <v>16.9</v>
      </c>
      <c r="BJ28" s="42">
        <v>58</v>
      </c>
      <c r="BK28" s="31">
        <v>4</v>
      </c>
      <c r="BL28" s="31">
        <v>5.8</v>
      </c>
      <c r="BM28" s="42">
        <v>4</v>
      </c>
      <c r="BN28" s="42">
        <v>6.38</v>
      </c>
      <c r="BO28" s="31">
        <v>3.8</v>
      </c>
      <c r="BP28" s="31">
        <v>7.3</v>
      </c>
      <c r="BQ28" s="42">
        <v>3.8</v>
      </c>
      <c r="BR28" s="42">
        <v>8.03</v>
      </c>
      <c r="BS28" s="31">
        <v>0</v>
      </c>
      <c r="BT28" s="31">
        <v>0</v>
      </c>
      <c r="BU28" s="41">
        <v>0</v>
      </c>
      <c r="BV28" s="41">
        <v>0</v>
      </c>
      <c r="BW28" s="31">
        <v>3.3</v>
      </c>
      <c r="BX28" s="31">
        <v>6.3</v>
      </c>
      <c r="BY28" s="42">
        <v>3.3</v>
      </c>
      <c r="BZ28" s="42">
        <v>6.93</v>
      </c>
    </row>
    <row r="29" s="2" customFormat="1" ht="21" customHeight="1" spans="1:78">
      <c r="A29" s="16" t="s">
        <v>77</v>
      </c>
      <c r="B29" s="18">
        <v>22</v>
      </c>
      <c r="C29" s="17">
        <f t="shared" si="7"/>
        <v>271.75</v>
      </c>
      <c r="D29" s="17">
        <f t="shared" si="8"/>
        <v>258.08</v>
      </c>
      <c r="E29" s="17">
        <f t="shared" si="1"/>
        <v>13.67</v>
      </c>
      <c r="F29" s="26"/>
      <c r="G29" s="26">
        <f t="shared" si="9"/>
        <v>753.66</v>
      </c>
      <c r="H29" s="17">
        <f t="shared" si="10"/>
        <v>692.19</v>
      </c>
      <c r="I29" s="17">
        <f t="shared" si="2"/>
        <v>61.47</v>
      </c>
      <c r="J29" s="26"/>
      <c r="K29" s="22">
        <f t="shared" si="16"/>
        <v>2773.35786568537</v>
      </c>
      <c r="L29" s="22">
        <f t="shared" si="11"/>
        <v>2682.07532548047</v>
      </c>
      <c r="M29" s="26">
        <f t="shared" si="13"/>
        <v>91.2825402049029</v>
      </c>
      <c r="N29" s="26">
        <f t="shared" si="12"/>
        <v>3.40342940176561</v>
      </c>
      <c r="O29" s="31">
        <v>0.4</v>
      </c>
      <c r="P29" s="31">
        <v>1</v>
      </c>
      <c r="Q29" s="38">
        <v>0.5</v>
      </c>
      <c r="R29" s="39">
        <v>1.4</v>
      </c>
      <c r="S29" s="40">
        <v>0</v>
      </c>
      <c r="T29" s="40">
        <v>0</v>
      </c>
      <c r="U29" s="43">
        <v>3</v>
      </c>
      <c r="V29" s="43">
        <v>10.8</v>
      </c>
      <c r="W29" s="31">
        <v>18.6</v>
      </c>
      <c r="X29" s="31">
        <v>51.84</v>
      </c>
      <c r="Y29" s="43">
        <v>18.6</v>
      </c>
      <c r="Z29" s="43">
        <v>56.5</v>
      </c>
      <c r="AA29" s="31">
        <v>26</v>
      </c>
      <c r="AB29" s="31">
        <v>70.06</v>
      </c>
      <c r="AC29" s="43">
        <v>26</v>
      </c>
      <c r="AD29" s="43">
        <v>77.68</v>
      </c>
      <c r="AE29" s="31">
        <v>17.9</v>
      </c>
      <c r="AF29" s="31">
        <v>50</v>
      </c>
      <c r="AG29" s="43">
        <v>17.9</v>
      </c>
      <c r="AH29" s="43">
        <v>53.95</v>
      </c>
      <c r="AI29" s="31">
        <v>1</v>
      </c>
      <c r="AJ29" s="31">
        <v>0.9</v>
      </c>
      <c r="AK29" s="41">
        <v>2</v>
      </c>
      <c r="AL29" s="41">
        <v>3</v>
      </c>
      <c r="AM29" s="31">
        <v>4.8</v>
      </c>
      <c r="AN29" s="31">
        <v>1</v>
      </c>
      <c r="AO29" s="43">
        <v>4.8</v>
      </c>
      <c r="AP29" s="43">
        <v>1.12</v>
      </c>
      <c r="AQ29" s="31">
        <v>25.53</v>
      </c>
      <c r="AR29" s="31">
        <v>48.1</v>
      </c>
      <c r="AS29" s="43">
        <v>27.2</v>
      </c>
      <c r="AT29" s="43">
        <v>56.9</v>
      </c>
      <c r="AU29" s="31">
        <v>4.3</v>
      </c>
      <c r="AV29" s="31">
        <v>4.7</v>
      </c>
      <c r="AW29" s="43">
        <v>4.3</v>
      </c>
      <c r="AX29" s="43">
        <v>5.14</v>
      </c>
      <c r="AY29" s="31">
        <v>107.05</v>
      </c>
      <c r="AZ29" s="31">
        <v>249.69</v>
      </c>
      <c r="BA29" s="43">
        <v>112.25</v>
      </c>
      <c r="BB29" s="43">
        <v>290.97</v>
      </c>
      <c r="BC29" s="54">
        <v>5</v>
      </c>
      <c r="BD29" s="54">
        <v>16.4</v>
      </c>
      <c r="BE29" s="43">
        <v>5</v>
      </c>
      <c r="BF29" s="43">
        <v>16.57</v>
      </c>
      <c r="BG29" s="31">
        <v>28.5</v>
      </c>
      <c r="BH29" s="31">
        <v>158.5</v>
      </c>
      <c r="BI29" s="43">
        <v>31.2</v>
      </c>
      <c r="BJ29" s="43">
        <v>137.04</v>
      </c>
      <c r="BK29" s="31">
        <v>6.8</v>
      </c>
      <c r="BL29" s="31">
        <v>19.2</v>
      </c>
      <c r="BM29" s="43">
        <v>6.8</v>
      </c>
      <c r="BN29" s="43">
        <v>19.35</v>
      </c>
      <c r="BO29" s="31">
        <v>8</v>
      </c>
      <c r="BP29" s="31">
        <v>12.4</v>
      </c>
      <c r="BQ29" s="43">
        <v>8</v>
      </c>
      <c r="BR29" s="43">
        <v>13.64</v>
      </c>
      <c r="BS29" s="31">
        <v>0</v>
      </c>
      <c r="BT29" s="31">
        <v>0</v>
      </c>
      <c r="BU29" s="41">
        <v>0</v>
      </c>
      <c r="BV29" s="41">
        <v>0</v>
      </c>
      <c r="BW29" s="31">
        <v>4.2</v>
      </c>
      <c r="BX29" s="31">
        <v>8.4</v>
      </c>
      <c r="BY29" s="43">
        <v>4.2</v>
      </c>
      <c r="BZ29" s="43">
        <v>9.6</v>
      </c>
    </row>
    <row r="30" s="2" customFormat="1" ht="21" customHeight="1" spans="1:78">
      <c r="A30" s="16" t="s">
        <v>78</v>
      </c>
      <c r="B30" s="18">
        <v>23</v>
      </c>
      <c r="C30" s="17">
        <f t="shared" si="7"/>
        <v>66.76</v>
      </c>
      <c r="D30" s="17">
        <f t="shared" si="8"/>
        <v>64.66</v>
      </c>
      <c r="E30" s="17">
        <f t="shared" si="1"/>
        <v>2.10000000000001</v>
      </c>
      <c r="F30" s="26"/>
      <c r="G30" s="26">
        <f t="shared" si="9"/>
        <v>215.2</v>
      </c>
      <c r="H30" s="17">
        <f t="shared" si="10"/>
        <v>217.12</v>
      </c>
      <c r="I30" s="17">
        <f t="shared" si="2"/>
        <v>-1.91999999999999</v>
      </c>
      <c r="J30" s="26"/>
      <c r="K30" s="22">
        <f t="shared" si="16"/>
        <v>3223.48711803475</v>
      </c>
      <c r="L30" s="22">
        <f t="shared" si="11"/>
        <v>3357.8719455614</v>
      </c>
      <c r="M30" s="26">
        <f t="shared" si="13"/>
        <v>-134.384827526649</v>
      </c>
      <c r="N30" s="26">
        <f t="shared" si="12"/>
        <v>-4.00208315580006</v>
      </c>
      <c r="O30" s="31">
        <v>0.1</v>
      </c>
      <c r="P30" s="31">
        <v>0.6</v>
      </c>
      <c r="Q30" s="38">
        <v>0.2</v>
      </c>
      <c r="R30" s="39">
        <v>0.96</v>
      </c>
      <c r="S30" s="40">
        <v>0</v>
      </c>
      <c r="T30" s="40">
        <v>0</v>
      </c>
      <c r="U30" s="43">
        <v>0</v>
      </c>
      <c r="V30" s="43">
        <v>0</v>
      </c>
      <c r="W30" s="31">
        <v>4.7</v>
      </c>
      <c r="X30" s="31">
        <v>13</v>
      </c>
      <c r="Y30" s="43">
        <v>4.7</v>
      </c>
      <c r="Z30" s="43">
        <v>14</v>
      </c>
      <c r="AA30" s="31">
        <v>7.2</v>
      </c>
      <c r="AB30" s="31">
        <v>17</v>
      </c>
      <c r="AC30" s="43">
        <v>7.2</v>
      </c>
      <c r="AD30" s="43">
        <v>18.75</v>
      </c>
      <c r="AE30" s="31">
        <v>4.9</v>
      </c>
      <c r="AF30" s="31">
        <v>10.5</v>
      </c>
      <c r="AG30" s="43">
        <v>4.9</v>
      </c>
      <c r="AH30" s="43">
        <v>11.53</v>
      </c>
      <c r="AI30" s="31">
        <v>1</v>
      </c>
      <c r="AJ30" s="31">
        <v>0.9</v>
      </c>
      <c r="AK30" s="41">
        <v>1</v>
      </c>
      <c r="AL30" s="41">
        <v>1</v>
      </c>
      <c r="AM30" s="31">
        <v>0</v>
      </c>
      <c r="AN30" s="31">
        <v>0</v>
      </c>
      <c r="AO30" s="43">
        <v>0</v>
      </c>
      <c r="AP30" s="43">
        <v>0</v>
      </c>
      <c r="AQ30" s="31">
        <v>6</v>
      </c>
      <c r="AR30" s="31">
        <v>10</v>
      </c>
      <c r="AS30" s="43">
        <v>6</v>
      </c>
      <c r="AT30" s="43">
        <v>11</v>
      </c>
      <c r="AU30" s="31">
        <v>0.6</v>
      </c>
      <c r="AV30" s="31">
        <v>0.6</v>
      </c>
      <c r="AW30" s="43">
        <v>0.6</v>
      </c>
      <c r="AX30" s="43">
        <v>0.66</v>
      </c>
      <c r="AY30" s="31">
        <v>19.66</v>
      </c>
      <c r="AZ30" s="31">
        <v>54.12</v>
      </c>
      <c r="BA30" s="43">
        <v>19.66</v>
      </c>
      <c r="BB30" s="43">
        <v>59.53</v>
      </c>
      <c r="BC30" s="54">
        <v>1.8</v>
      </c>
      <c r="BD30" s="54">
        <v>9.4</v>
      </c>
      <c r="BE30" s="43">
        <v>1.8</v>
      </c>
      <c r="BF30" s="43">
        <v>8.87</v>
      </c>
      <c r="BG30" s="31">
        <v>14</v>
      </c>
      <c r="BH30" s="31">
        <v>92.8</v>
      </c>
      <c r="BI30" s="43">
        <v>16</v>
      </c>
      <c r="BJ30" s="43">
        <v>79.86</v>
      </c>
      <c r="BK30" s="31">
        <v>2.2</v>
      </c>
      <c r="BL30" s="31">
        <v>4</v>
      </c>
      <c r="BM30" s="43">
        <v>2.2</v>
      </c>
      <c r="BN30" s="43">
        <v>4.42</v>
      </c>
      <c r="BO30" s="31">
        <v>2.5</v>
      </c>
      <c r="BP30" s="31">
        <v>4.2</v>
      </c>
      <c r="BQ30" s="43">
        <v>2.5</v>
      </c>
      <c r="BR30" s="43">
        <v>4.62</v>
      </c>
      <c r="BS30" s="31">
        <v>0</v>
      </c>
      <c r="BT30" s="31">
        <v>0</v>
      </c>
      <c r="BU30" s="41">
        <v>0</v>
      </c>
      <c r="BV30" s="41">
        <v>0</v>
      </c>
      <c r="BW30" s="31">
        <v>0</v>
      </c>
      <c r="BX30" s="31">
        <v>0</v>
      </c>
      <c r="BY30" s="43">
        <v>0</v>
      </c>
      <c r="BZ30" s="43">
        <v>0</v>
      </c>
    </row>
    <row r="31" s="2" customFormat="1" ht="21" customHeight="1" spans="1:78">
      <c r="A31" s="16" t="s">
        <v>79</v>
      </c>
      <c r="B31" s="18">
        <v>24</v>
      </c>
      <c r="C31" s="17">
        <f t="shared" si="7"/>
        <v>82.29</v>
      </c>
      <c r="D31" s="17">
        <f t="shared" si="8"/>
        <v>82.69</v>
      </c>
      <c r="E31" s="17">
        <f t="shared" si="1"/>
        <v>-0.400000000000006</v>
      </c>
      <c r="F31" s="26"/>
      <c r="G31" s="26">
        <f t="shared" si="9"/>
        <v>129.79</v>
      </c>
      <c r="H31" s="17">
        <f t="shared" si="10"/>
        <v>116.95</v>
      </c>
      <c r="I31" s="17">
        <f t="shared" si="2"/>
        <v>12.84</v>
      </c>
      <c r="J31" s="26"/>
      <c r="K31" s="22">
        <f t="shared" si="16"/>
        <v>1577.22688054442</v>
      </c>
      <c r="L31" s="22">
        <f t="shared" si="11"/>
        <v>1414.31853912202</v>
      </c>
      <c r="M31" s="26">
        <f t="shared" si="13"/>
        <v>162.908341422396</v>
      </c>
      <c r="N31" s="26">
        <f t="shared" si="12"/>
        <v>11.5185042772278</v>
      </c>
      <c r="O31" s="31">
        <v>0.3</v>
      </c>
      <c r="P31" s="31">
        <v>0.4</v>
      </c>
      <c r="Q31" s="38">
        <v>0.3</v>
      </c>
      <c r="R31" s="39">
        <v>0.44</v>
      </c>
      <c r="S31" s="40">
        <v>0</v>
      </c>
      <c r="T31" s="40">
        <v>0</v>
      </c>
      <c r="U31" s="38">
        <v>0</v>
      </c>
      <c r="V31" s="39">
        <v>0</v>
      </c>
      <c r="W31" s="31">
        <v>1.4</v>
      </c>
      <c r="X31" s="31">
        <v>3</v>
      </c>
      <c r="Y31" s="38">
        <v>1.4</v>
      </c>
      <c r="Z31" s="39">
        <v>3.2</v>
      </c>
      <c r="AA31" s="31">
        <v>6.4</v>
      </c>
      <c r="AB31" s="31">
        <v>10.5</v>
      </c>
      <c r="AC31" s="38">
        <v>6.4</v>
      </c>
      <c r="AD31" s="39">
        <v>11.73</v>
      </c>
      <c r="AE31" s="31">
        <v>5.5</v>
      </c>
      <c r="AF31" s="31">
        <v>11.5</v>
      </c>
      <c r="AG31" s="38">
        <v>5.5</v>
      </c>
      <c r="AH31" s="39">
        <v>12.62</v>
      </c>
      <c r="AI31" s="31">
        <v>0</v>
      </c>
      <c r="AJ31" s="31">
        <v>0</v>
      </c>
      <c r="AK31" s="38">
        <v>0</v>
      </c>
      <c r="AL31" s="39"/>
      <c r="AM31" s="31">
        <v>4.8</v>
      </c>
      <c r="AN31" s="31">
        <v>1</v>
      </c>
      <c r="AO31" s="38">
        <v>4.8</v>
      </c>
      <c r="AP31" s="39">
        <v>1.12</v>
      </c>
      <c r="AQ31" s="31">
        <v>4.8</v>
      </c>
      <c r="AR31" s="31">
        <v>6.1</v>
      </c>
      <c r="AS31" s="38">
        <v>4.8</v>
      </c>
      <c r="AT31" s="39">
        <v>6.7</v>
      </c>
      <c r="AU31" s="31">
        <v>2.1</v>
      </c>
      <c r="AV31" s="31">
        <v>1.1</v>
      </c>
      <c r="AW31" s="38">
        <v>2.1</v>
      </c>
      <c r="AX31" s="39">
        <v>1.2</v>
      </c>
      <c r="AY31" s="31">
        <v>39.59</v>
      </c>
      <c r="AZ31" s="31">
        <v>58.95</v>
      </c>
      <c r="BA31" s="38">
        <v>39.59</v>
      </c>
      <c r="BB31" s="39">
        <v>64.84</v>
      </c>
      <c r="BC31" s="54">
        <v>0.6</v>
      </c>
      <c r="BD31" s="54">
        <v>0.6</v>
      </c>
      <c r="BE31" s="38">
        <v>0.6</v>
      </c>
      <c r="BF31" s="39">
        <v>0.66</v>
      </c>
      <c r="BG31" s="31">
        <v>5.4</v>
      </c>
      <c r="BH31" s="31">
        <v>5</v>
      </c>
      <c r="BI31" s="38">
        <v>5</v>
      </c>
      <c r="BJ31" s="39">
        <v>6.2</v>
      </c>
      <c r="BK31" s="31">
        <v>2.1</v>
      </c>
      <c r="BL31" s="31">
        <v>2.2</v>
      </c>
      <c r="BM31" s="38">
        <v>2.1</v>
      </c>
      <c r="BN31" s="39">
        <v>2.46</v>
      </c>
      <c r="BO31" s="31">
        <v>5.5</v>
      </c>
      <c r="BP31" s="31">
        <v>8.2</v>
      </c>
      <c r="BQ31" s="38">
        <v>5.5</v>
      </c>
      <c r="BR31" s="39">
        <v>9.02</v>
      </c>
      <c r="BS31" s="31">
        <v>0</v>
      </c>
      <c r="BT31" s="31">
        <v>0</v>
      </c>
      <c r="BU31" s="41">
        <v>0</v>
      </c>
      <c r="BV31" s="41">
        <v>0</v>
      </c>
      <c r="BW31" s="31">
        <v>4.2</v>
      </c>
      <c r="BX31" s="31">
        <v>8.4</v>
      </c>
      <c r="BY31" s="38">
        <v>4.2</v>
      </c>
      <c r="BZ31" s="39">
        <v>9.6</v>
      </c>
    </row>
    <row r="32" s="2" customFormat="1" ht="21" customHeight="1" spans="1:78">
      <c r="A32" s="16" t="s">
        <v>80</v>
      </c>
      <c r="B32" s="18">
        <v>25</v>
      </c>
      <c r="C32" s="17">
        <f t="shared" si="7"/>
        <v>122.7</v>
      </c>
      <c r="D32" s="17">
        <f t="shared" si="8"/>
        <v>110.73</v>
      </c>
      <c r="E32" s="17">
        <f t="shared" si="1"/>
        <v>11.97</v>
      </c>
      <c r="F32" s="26"/>
      <c r="G32" s="26">
        <f t="shared" si="9"/>
        <v>408.67</v>
      </c>
      <c r="H32" s="17">
        <f t="shared" si="10"/>
        <v>358.12</v>
      </c>
      <c r="I32" s="17">
        <f t="shared" si="2"/>
        <v>50.5500000000001</v>
      </c>
      <c r="J32" s="26"/>
      <c r="K32" s="22">
        <f t="shared" si="16"/>
        <v>3330.64384678077</v>
      </c>
      <c r="L32" s="22">
        <f t="shared" si="11"/>
        <v>3234.17321412445</v>
      </c>
      <c r="M32" s="26">
        <f t="shared" si="13"/>
        <v>96.4706326563164</v>
      </c>
      <c r="N32" s="26">
        <f t="shared" si="12"/>
        <v>2.9828529973288</v>
      </c>
      <c r="O32" s="31">
        <v>0</v>
      </c>
      <c r="P32" s="31">
        <v>0</v>
      </c>
      <c r="Q32" s="39"/>
      <c r="R32" s="39"/>
      <c r="S32" s="40">
        <v>0</v>
      </c>
      <c r="T32" s="40">
        <v>0</v>
      </c>
      <c r="U32" s="38">
        <v>3</v>
      </c>
      <c r="V32" s="38">
        <v>10.8</v>
      </c>
      <c r="W32" s="31">
        <v>12.5</v>
      </c>
      <c r="X32" s="31">
        <v>35.84</v>
      </c>
      <c r="Y32" s="38">
        <v>12.5</v>
      </c>
      <c r="Z32" s="38">
        <v>39.3</v>
      </c>
      <c r="AA32" s="31">
        <v>12.4</v>
      </c>
      <c r="AB32" s="31">
        <v>42.56</v>
      </c>
      <c r="AC32" s="38">
        <v>12.4</v>
      </c>
      <c r="AD32" s="38">
        <v>47.2</v>
      </c>
      <c r="AE32" s="31">
        <v>7.5</v>
      </c>
      <c r="AF32" s="31">
        <v>28</v>
      </c>
      <c r="AG32" s="38">
        <v>7.5</v>
      </c>
      <c r="AH32" s="38">
        <v>29.8</v>
      </c>
      <c r="AI32" s="31">
        <v>0</v>
      </c>
      <c r="AJ32" s="31">
        <v>0</v>
      </c>
      <c r="AK32" s="38">
        <v>1</v>
      </c>
      <c r="AL32" s="38">
        <v>2</v>
      </c>
      <c r="AM32" s="31">
        <v>0</v>
      </c>
      <c r="AN32" s="31">
        <v>0</v>
      </c>
      <c r="AO32" s="38">
        <v>0</v>
      </c>
      <c r="AP32" s="38">
        <v>0</v>
      </c>
      <c r="AQ32" s="31">
        <v>14.73</v>
      </c>
      <c r="AR32" s="31">
        <v>32</v>
      </c>
      <c r="AS32" s="38">
        <v>16.4</v>
      </c>
      <c r="AT32" s="38">
        <v>39.2</v>
      </c>
      <c r="AU32" s="31">
        <v>1.6</v>
      </c>
      <c r="AV32" s="31">
        <v>3</v>
      </c>
      <c r="AW32" s="38">
        <v>1.6</v>
      </c>
      <c r="AX32" s="38">
        <v>3.28</v>
      </c>
      <c r="AY32" s="31">
        <v>47.8</v>
      </c>
      <c r="AZ32" s="31">
        <v>136.62</v>
      </c>
      <c r="BA32" s="38">
        <v>53</v>
      </c>
      <c r="BB32" s="38">
        <v>166.6</v>
      </c>
      <c r="BC32" s="54">
        <v>2.6</v>
      </c>
      <c r="BD32" s="54">
        <v>6.4</v>
      </c>
      <c r="BE32" s="38">
        <v>2.6</v>
      </c>
      <c r="BF32" s="38">
        <v>7.04</v>
      </c>
      <c r="BG32" s="31">
        <v>9.1</v>
      </c>
      <c r="BH32" s="31">
        <v>60.7</v>
      </c>
      <c r="BI32" s="38">
        <v>10.2</v>
      </c>
      <c r="BJ32" s="38">
        <v>50.98</v>
      </c>
      <c r="BK32" s="31">
        <v>2.5</v>
      </c>
      <c r="BL32" s="31">
        <v>13</v>
      </c>
      <c r="BM32" s="38">
        <v>2.5</v>
      </c>
      <c r="BN32" s="38">
        <v>12.47</v>
      </c>
      <c r="BO32" s="31">
        <v>0</v>
      </c>
      <c r="BP32" s="31">
        <v>0</v>
      </c>
      <c r="BQ32" s="38">
        <v>0</v>
      </c>
      <c r="BR32" s="38">
        <v>0</v>
      </c>
      <c r="BS32" s="31">
        <v>0</v>
      </c>
      <c r="BT32" s="31">
        <v>0</v>
      </c>
      <c r="BU32" s="41">
        <v>0</v>
      </c>
      <c r="BV32" s="41">
        <v>0</v>
      </c>
      <c r="BW32" s="31">
        <v>0</v>
      </c>
      <c r="BX32" s="31">
        <v>0</v>
      </c>
      <c r="BY32" s="38"/>
      <c r="BZ32" s="38"/>
    </row>
    <row r="33" s="1" customFormat="1" ht="21" customHeight="1" spans="1:78">
      <c r="A33" s="16" t="s">
        <v>81</v>
      </c>
      <c r="B33" s="13">
        <v>26</v>
      </c>
      <c r="C33" s="17">
        <f t="shared" si="7"/>
        <v>68.23</v>
      </c>
      <c r="D33" s="17">
        <f t="shared" si="8"/>
        <v>68.23</v>
      </c>
      <c r="E33" s="26">
        <f t="shared" si="1"/>
        <v>0</v>
      </c>
      <c r="F33" s="26">
        <f>E33/D33</f>
        <v>0</v>
      </c>
      <c r="G33" s="26">
        <f t="shared" si="9"/>
        <v>184.37</v>
      </c>
      <c r="H33" s="17">
        <f t="shared" si="10"/>
        <v>198.72</v>
      </c>
      <c r="I33" s="26">
        <f t="shared" si="2"/>
        <v>-14.35</v>
      </c>
      <c r="J33" s="26">
        <f>I33/H33</f>
        <v>-0.0722121578099839</v>
      </c>
      <c r="K33" s="22">
        <f t="shared" si="16"/>
        <v>2702.18379012165</v>
      </c>
      <c r="L33" s="22">
        <f t="shared" si="11"/>
        <v>2912.50183203869</v>
      </c>
      <c r="M33" s="26">
        <f t="shared" si="13"/>
        <v>-210.318041917043</v>
      </c>
      <c r="N33" s="26">
        <f t="shared" si="12"/>
        <v>-7.2212157809983</v>
      </c>
      <c r="O33" s="31">
        <v>1.1</v>
      </c>
      <c r="P33" s="31">
        <v>6.4</v>
      </c>
      <c r="Q33" s="38">
        <v>1.1</v>
      </c>
      <c r="R33" s="39">
        <v>4.8</v>
      </c>
      <c r="S33" s="40">
        <v>3.7</v>
      </c>
      <c r="T33" s="40">
        <v>7.1</v>
      </c>
      <c r="U33" s="50">
        <v>3.7</v>
      </c>
      <c r="V33" s="50">
        <v>8.2</v>
      </c>
      <c r="W33" s="31">
        <v>15.6</v>
      </c>
      <c r="X33" s="31">
        <v>47.73</v>
      </c>
      <c r="Y33" s="50">
        <v>15.6</v>
      </c>
      <c r="Z33" s="50">
        <v>52.5</v>
      </c>
      <c r="AA33" s="31">
        <v>0</v>
      </c>
      <c r="AB33" s="31">
        <v>0</v>
      </c>
      <c r="AC33" s="50">
        <v>0</v>
      </c>
      <c r="AD33" s="50">
        <v>0</v>
      </c>
      <c r="AE33" s="31">
        <v>0</v>
      </c>
      <c r="AF33" s="31">
        <v>0</v>
      </c>
      <c r="AG33" s="50">
        <v>0</v>
      </c>
      <c r="AH33" s="50">
        <v>0</v>
      </c>
      <c r="AI33" s="31">
        <v>0</v>
      </c>
      <c r="AJ33" s="31">
        <v>0</v>
      </c>
      <c r="AK33" s="50">
        <v>0</v>
      </c>
      <c r="AL33" s="50">
        <v>0</v>
      </c>
      <c r="AM33" s="31">
        <v>16.3</v>
      </c>
      <c r="AN33" s="31">
        <v>9.02</v>
      </c>
      <c r="AO33" s="50">
        <v>16.3</v>
      </c>
      <c r="AP33" s="50">
        <v>10.27</v>
      </c>
      <c r="AQ33" s="31">
        <v>0</v>
      </c>
      <c r="AR33" s="31">
        <v>0</v>
      </c>
      <c r="AS33" s="50">
        <v>0</v>
      </c>
      <c r="AT33" s="50">
        <v>0</v>
      </c>
      <c r="AU33" s="31">
        <v>0</v>
      </c>
      <c r="AV33" s="31">
        <v>0</v>
      </c>
      <c r="AW33" s="50">
        <v>0</v>
      </c>
      <c r="AX33" s="50">
        <v>0</v>
      </c>
      <c r="AY33" s="31">
        <v>8.9</v>
      </c>
      <c r="AZ33" s="31">
        <v>16.8</v>
      </c>
      <c r="BA33" s="50">
        <v>8.9</v>
      </c>
      <c r="BB33" s="50">
        <v>18.48</v>
      </c>
      <c r="BC33" s="54">
        <v>0</v>
      </c>
      <c r="BD33" s="54">
        <v>0</v>
      </c>
      <c r="BE33" s="50"/>
      <c r="BF33" s="50"/>
      <c r="BG33" s="31">
        <v>0.5</v>
      </c>
      <c r="BH33" s="31">
        <v>1.4</v>
      </c>
      <c r="BI33" s="50">
        <v>0.5</v>
      </c>
      <c r="BJ33" s="50">
        <v>1.54</v>
      </c>
      <c r="BK33" s="31">
        <v>3.6</v>
      </c>
      <c r="BL33" s="31">
        <v>7.8</v>
      </c>
      <c r="BM33" s="50">
        <v>3.6</v>
      </c>
      <c r="BN33" s="50">
        <v>8.58</v>
      </c>
      <c r="BO33" s="31">
        <v>0</v>
      </c>
      <c r="BP33" s="31">
        <v>0</v>
      </c>
      <c r="BQ33" s="50">
        <v>0</v>
      </c>
      <c r="BR33" s="50">
        <v>0</v>
      </c>
      <c r="BS33" s="31">
        <v>0</v>
      </c>
      <c r="BT33" s="31">
        <v>0</v>
      </c>
      <c r="BU33" s="41">
        <v>0</v>
      </c>
      <c r="BV33" s="41">
        <v>0</v>
      </c>
      <c r="BW33" s="31">
        <v>18.53</v>
      </c>
      <c r="BX33" s="31">
        <v>102.47</v>
      </c>
      <c r="BY33" s="50">
        <v>18.53</v>
      </c>
      <c r="BZ33" s="50">
        <v>80</v>
      </c>
    </row>
    <row r="34" s="1" customFormat="1" ht="21" customHeight="1" spans="1:78">
      <c r="A34" s="16" t="s">
        <v>82</v>
      </c>
      <c r="B34" s="13">
        <v>27</v>
      </c>
      <c r="C34" s="17">
        <f t="shared" si="7"/>
        <v>52.9</v>
      </c>
      <c r="D34" s="17">
        <f t="shared" si="8"/>
        <v>52.9</v>
      </c>
      <c r="E34" s="26">
        <f t="shared" si="1"/>
        <v>0</v>
      </c>
      <c r="F34" s="26">
        <f>E34/D34</f>
        <v>0</v>
      </c>
      <c r="G34" s="26">
        <f t="shared" si="9"/>
        <v>164.54</v>
      </c>
      <c r="H34" s="17">
        <f t="shared" si="10"/>
        <v>185.61</v>
      </c>
      <c r="I34" s="26">
        <f t="shared" si="2"/>
        <v>-21.07</v>
      </c>
      <c r="J34" s="26">
        <f>I34/H34</f>
        <v>-0.113517590647056</v>
      </c>
      <c r="K34" s="22">
        <f t="shared" si="16"/>
        <v>3110.39697542533</v>
      </c>
      <c r="L34" s="22">
        <f t="shared" si="11"/>
        <v>3508.69565217391</v>
      </c>
      <c r="M34" s="26">
        <f t="shared" si="13"/>
        <v>-398.298676748579</v>
      </c>
      <c r="N34" s="26">
        <f t="shared" si="12"/>
        <v>-11.3517590647055</v>
      </c>
      <c r="O34" s="31">
        <v>0.9</v>
      </c>
      <c r="P34" s="31">
        <v>6.1</v>
      </c>
      <c r="Q34" s="38">
        <v>0.9</v>
      </c>
      <c r="R34" s="39">
        <v>4.46</v>
      </c>
      <c r="S34" s="40">
        <v>2.9</v>
      </c>
      <c r="T34" s="40">
        <v>6.8</v>
      </c>
      <c r="U34" s="51">
        <v>2.9</v>
      </c>
      <c r="V34" s="51">
        <v>7.4</v>
      </c>
      <c r="W34" s="31">
        <v>12.5</v>
      </c>
      <c r="X34" s="31">
        <v>44.33</v>
      </c>
      <c r="Y34" s="51">
        <v>12.5</v>
      </c>
      <c r="Z34" s="51">
        <v>48.6</v>
      </c>
      <c r="AA34" s="31">
        <v>0</v>
      </c>
      <c r="AB34" s="31">
        <v>0</v>
      </c>
      <c r="AC34" s="51">
        <v>0</v>
      </c>
      <c r="AD34" s="51">
        <v>0</v>
      </c>
      <c r="AE34" s="31">
        <v>0</v>
      </c>
      <c r="AF34" s="31">
        <v>0</v>
      </c>
      <c r="AG34" s="51">
        <v>0</v>
      </c>
      <c r="AH34" s="51">
        <v>0</v>
      </c>
      <c r="AI34" s="31">
        <v>0</v>
      </c>
      <c r="AJ34" s="31">
        <v>0</v>
      </c>
      <c r="AK34" s="51">
        <v>0</v>
      </c>
      <c r="AL34" s="51">
        <v>0</v>
      </c>
      <c r="AM34" s="31">
        <v>12.9</v>
      </c>
      <c r="AN34" s="31">
        <v>8.61</v>
      </c>
      <c r="AO34" s="51">
        <v>12.9</v>
      </c>
      <c r="AP34" s="51">
        <v>9.8</v>
      </c>
      <c r="AQ34" s="31">
        <v>0</v>
      </c>
      <c r="AR34" s="31">
        <v>0</v>
      </c>
      <c r="AS34" s="51">
        <v>0</v>
      </c>
      <c r="AT34" s="51">
        <v>0</v>
      </c>
      <c r="AU34" s="31">
        <v>0</v>
      </c>
      <c r="AV34" s="31">
        <v>0</v>
      </c>
      <c r="AW34" s="51">
        <v>0</v>
      </c>
      <c r="AX34" s="51">
        <v>0</v>
      </c>
      <c r="AY34" s="31">
        <v>7.1</v>
      </c>
      <c r="AZ34" s="31">
        <v>16.2</v>
      </c>
      <c r="BA34" s="51">
        <v>7.1</v>
      </c>
      <c r="BB34" s="51">
        <v>17.8</v>
      </c>
      <c r="BC34" s="54">
        <v>0</v>
      </c>
      <c r="BD34" s="54">
        <v>0</v>
      </c>
      <c r="BE34" s="51"/>
      <c r="BF34" s="51"/>
      <c r="BG34" s="31">
        <v>0.4</v>
      </c>
      <c r="BH34" s="31">
        <v>1.3</v>
      </c>
      <c r="BI34" s="51">
        <v>0.4</v>
      </c>
      <c r="BJ34" s="51">
        <v>1.43</v>
      </c>
      <c r="BK34" s="31">
        <v>2.8</v>
      </c>
      <c r="BL34" s="31">
        <v>7.5</v>
      </c>
      <c r="BM34" s="51">
        <v>2.8</v>
      </c>
      <c r="BN34" s="51">
        <v>8.25</v>
      </c>
      <c r="BO34" s="31">
        <v>0</v>
      </c>
      <c r="BP34" s="31">
        <v>0</v>
      </c>
      <c r="BQ34" s="51">
        <v>0</v>
      </c>
      <c r="BR34" s="51">
        <v>0</v>
      </c>
      <c r="BS34" s="31">
        <v>0</v>
      </c>
      <c r="BT34" s="31">
        <v>0</v>
      </c>
      <c r="BU34" s="41">
        <v>0</v>
      </c>
      <c r="BV34" s="41">
        <v>0</v>
      </c>
      <c r="BW34" s="31">
        <v>13.4</v>
      </c>
      <c r="BX34" s="31">
        <v>94.77</v>
      </c>
      <c r="BY34" s="51">
        <v>13.4</v>
      </c>
      <c r="BZ34" s="51">
        <v>66.8</v>
      </c>
    </row>
    <row r="35" s="1" customFormat="1" ht="21" customHeight="1" spans="1:78">
      <c r="A35" s="16" t="s">
        <v>83</v>
      </c>
      <c r="B35" s="13">
        <v>28</v>
      </c>
      <c r="C35" s="17">
        <f t="shared" si="7"/>
        <v>3.5</v>
      </c>
      <c r="D35" s="17">
        <f t="shared" si="8"/>
        <v>0</v>
      </c>
      <c r="E35" s="26">
        <f t="shared" si="1"/>
        <v>3.5</v>
      </c>
      <c r="F35" s="26" t="e">
        <f>E35-#REF!</f>
        <v>#REF!</v>
      </c>
      <c r="G35" s="26">
        <f t="shared" si="9"/>
        <v>0.58</v>
      </c>
      <c r="H35" s="17">
        <f t="shared" si="10"/>
        <v>0</v>
      </c>
      <c r="I35" s="26"/>
      <c r="J35" s="26"/>
      <c r="K35" s="22">
        <f t="shared" si="16"/>
        <v>165.714285714286</v>
      </c>
      <c r="L35" s="22" t="e">
        <f t="shared" si="11"/>
        <v>#DIV/0!</v>
      </c>
      <c r="M35" s="26" t="e">
        <f t="shared" si="13"/>
        <v>#DIV/0!</v>
      </c>
      <c r="N35" s="26" t="e">
        <f t="shared" si="12"/>
        <v>#DIV/0!</v>
      </c>
      <c r="O35" s="31">
        <v>0</v>
      </c>
      <c r="P35" s="31">
        <v>0</v>
      </c>
      <c r="Q35" s="38"/>
      <c r="R35" s="38"/>
      <c r="S35" s="40">
        <v>0</v>
      </c>
      <c r="T35" s="40">
        <v>0</v>
      </c>
      <c r="U35" s="42"/>
      <c r="V35" s="42"/>
      <c r="W35" s="31">
        <v>0</v>
      </c>
      <c r="X35" s="31">
        <v>0</v>
      </c>
      <c r="Y35" s="42"/>
      <c r="Z35" s="42"/>
      <c r="AA35" s="31">
        <v>0</v>
      </c>
      <c r="AB35" s="31">
        <v>0</v>
      </c>
      <c r="AC35" s="42">
        <v>0</v>
      </c>
      <c r="AD35" s="42">
        <v>0</v>
      </c>
      <c r="AE35" s="31">
        <v>0</v>
      </c>
      <c r="AF35" s="31">
        <v>0</v>
      </c>
      <c r="AG35" s="42">
        <v>0</v>
      </c>
      <c r="AH35" s="42">
        <v>0</v>
      </c>
      <c r="AI35" s="31">
        <v>0</v>
      </c>
      <c r="AJ35" s="31">
        <v>0</v>
      </c>
      <c r="AK35" s="42">
        <v>0</v>
      </c>
      <c r="AL35" s="42">
        <v>0</v>
      </c>
      <c r="AM35" s="31">
        <v>0</v>
      </c>
      <c r="AN35" s="31">
        <v>0</v>
      </c>
      <c r="AO35" s="42">
        <v>3.4</v>
      </c>
      <c r="AP35" s="42">
        <v>0.47</v>
      </c>
      <c r="AQ35" s="31">
        <v>0</v>
      </c>
      <c r="AR35" s="31">
        <v>0</v>
      </c>
      <c r="AS35" s="42">
        <v>0</v>
      </c>
      <c r="AT35" s="42">
        <v>0</v>
      </c>
      <c r="AU35" s="31">
        <v>0</v>
      </c>
      <c r="AV35" s="31">
        <v>0</v>
      </c>
      <c r="AW35" s="42">
        <v>0</v>
      </c>
      <c r="AX35" s="42">
        <v>0</v>
      </c>
      <c r="AY35" s="31">
        <v>0</v>
      </c>
      <c r="AZ35" s="31">
        <v>0</v>
      </c>
      <c r="BA35" s="42"/>
      <c r="BB35" s="42"/>
      <c r="BC35" s="54">
        <v>0</v>
      </c>
      <c r="BD35" s="54">
        <v>0</v>
      </c>
      <c r="BE35" s="42"/>
      <c r="BF35" s="42"/>
      <c r="BG35" s="31">
        <v>0</v>
      </c>
      <c r="BH35" s="31">
        <v>0</v>
      </c>
      <c r="BI35" s="42">
        <v>0.1</v>
      </c>
      <c r="BJ35" s="42">
        <v>0.11</v>
      </c>
      <c r="BK35" s="31">
        <v>0</v>
      </c>
      <c r="BL35" s="31">
        <v>0</v>
      </c>
      <c r="BM35" s="42"/>
      <c r="BN35" s="42"/>
      <c r="BO35" s="31">
        <v>0</v>
      </c>
      <c r="BP35" s="31">
        <v>0</v>
      </c>
      <c r="BQ35" s="42">
        <v>0</v>
      </c>
      <c r="BR35" s="42">
        <v>0</v>
      </c>
      <c r="BS35" s="31">
        <v>0</v>
      </c>
      <c r="BT35" s="31">
        <v>0</v>
      </c>
      <c r="BU35" s="41">
        <v>0</v>
      </c>
      <c r="BV35" s="41">
        <v>0</v>
      </c>
      <c r="BW35" s="58"/>
      <c r="BX35" s="58"/>
      <c r="BY35" s="42"/>
      <c r="BZ35" s="42"/>
    </row>
    <row r="36" ht="21" customHeight="1" spans="1:78">
      <c r="A36" s="16" t="s">
        <v>84</v>
      </c>
      <c r="B36" s="13">
        <v>29</v>
      </c>
      <c r="C36" s="17">
        <f t="shared" si="7"/>
        <v>119</v>
      </c>
      <c r="D36" s="17">
        <f t="shared" si="8"/>
        <v>110.67</v>
      </c>
      <c r="E36" s="26">
        <f t="shared" si="1"/>
        <v>8.33</v>
      </c>
      <c r="F36" s="26">
        <f>E36/D36</f>
        <v>0.0752688172043011</v>
      </c>
      <c r="G36" s="26">
        <f t="shared" si="9"/>
        <v>370.21</v>
      </c>
      <c r="H36" s="17">
        <f t="shared" si="10"/>
        <v>343.31</v>
      </c>
      <c r="I36" s="26">
        <f t="shared" si="2"/>
        <v>26.9</v>
      </c>
      <c r="J36" s="26">
        <f>I36/H36</f>
        <v>0.0783548396492967</v>
      </c>
      <c r="K36" s="22">
        <f t="shared" si="16"/>
        <v>3111.00840336134</v>
      </c>
      <c r="L36" s="22">
        <f t="shared" si="11"/>
        <v>3102.10535827234</v>
      </c>
      <c r="M36" s="26">
        <f t="shared" si="13"/>
        <v>8.90304508900499</v>
      </c>
      <c r="N36" s="26">
        <f t="shared" si="12"/>
        <v>0.287000087384633</v>
      </c>
      <c r="O36" s="31">
        <v>0.6</v>
      </c>
      <c r="P36" s="31">
        <v>2.6</v>
      </c>
      <c r="Q36" s="38">
        <v>0.6</v>
      </c>
      <c r="R36" s="39">
        <v>2.1</v>
      </c>
      <c r="S36" s="40">
        <v>42.5</v>
      </c>
      <c r="T36" s="40">
        <v>163.4</v>
      </c>
      <c r="U36" s="49">
        <v>42.5</v>
      </c>
      <c r="V36" s="43">
        <v>155.3</v>
      </c>
      <c r="W36" s="31">
        <v>0</v>
      </c>
      <c r="X36" s="31">
        <v>0</v>
      </c>
      <c r="Y36" s="43">
        <v>5</v>
      </c>
      <c r="Z36" s="43">
        <v>12.08</v>
      </c>
      <c r="AA36" s="31">
        <v>0</v>
      </c>
      <c r="AB36" s="31">
        <v>0</v>
      </c>
      <c r="AC36" s="43">
        <v>0.6</v>
      </c>
      <c r="AD36" s="43">
        <v>1.5</v>
      </c>
      <c r="AE36" s="31">
        <v>0</v>
      </c>
      <c r="AF36" s="31">
        <v>0</v>
      </c>
      <c r="AG36" s="43">
        <v>0.2</v>
      </c>
      <c r="AH36" s="43">
        <v>0.5</v>
      </c>
      <c r="AI36" s="31">
        <v>0</v>
      </c>
      <c r="AJ36" s="31">
        <v>0</v>
      </c>
      <c r="AK36" s="43"/>
      <c r="AL36" s="43"/>
      <c r="AM36" s="31">
        <v>15</v>
      </c>
      <c r="AN36" s="31">
        <v>15.55</v>
      </c>
      <c r="AO36" s="41">
        <v>15</v>
      </c>
      <c r="AP36" s="41">
        <v>31.2</v>
      </c>
      <c r="AQ36" s="31">
        <v>0</v>
      </c>
      <c r="AR36" s="31">
        <v>0</v>
      </c>
      <c r="AS36" s="43">
        <v>1.2</v>
      </c>
      <c r="AT36" s="43">
        <v>3</v>
      </c>
      <c r="AU36" s="31">
        <v>0</v>
      </c>
      <c r="AV36" s="31">
        <v>0</v>
      </c>
      <c r="AW36" s="43"/>
      <c r="AX36" s="43"/>
      <c r="AY36" s="26">
        <v>31.8</v>
      </c>
      <c r="AZ36" s="26">
        <v>90.26</v>
      </c>
      <c r="BA36" s="38">
        <v>31.8</v>
      </c>
      <c r="BB36" s="38">
        <v>90.3</v>
      </c>
      <c r="BC36" s="54">
        <v>0</v>
      </c>
      <c r="BD36" s="54">
        <v>0</v>
      </c>
      <c r="BE36" s="55">
        <v>1.03</v>
      </c>
      <c r="BF36" s="55">
        <v>2.05</v>
      </c>
      <c r="BG36" s="31">
        <v>0</v>
      </c>
      <c r="BH36" s="31">
        <v>0</v>
      </c>
      <c r="BI36" s="56"/>
      <c r="BJ36" s="56"/>
      <c r="BK36" s="31">
        <v>0</v>
      </c>
      <c r="BL36" s="31">
        <v>0</v>
      </c>
      <c r="BM36" s="43">
        <v>0.3</v>
      </c>
      <c r="BN36" s="43">
        <v>0.68</v>
      </c>
      <c r="BO36" s="31">
        <v>0</v>
      </c>
      <c r="BP36" s="31">
        <v>0</v>
      </c>
      <c r="BQ36" s="43"/>
      <c r="BR36" s="43"/>
      <c r="BS36" s="31">
        <v>10</v>
      </c>
      <c r="BT36" s="31">
        <v>26.3</v>
      </c>
      <c r="BU36" s="41">
        <v>10</v>
      </c>
      <c r="BV36" s="41">
        <v>27.5</v>
      </c>
      <c r="BW36" s="31">
        <v>10.77</v>
      </c>
      <c r="BX36" s="31">
        <v>45.2</v>
      </c>
      <c r="BY36" s="41">
        <v>10.77</v>
      </c>
      <c r="BZ36" s="41">
        <v>44</v>
      </c>
    </row>
    <row r="37" ht="21" customHeight="1" spans="1:78">
      <c r="A37" s="16" t="s">
        <v>85</v>
      </c>
      <c r="B37" s="13">
        <v>30</v>
      </c>
      <c r="C37" s="17">
        <f t="shared" si="7"/>
        <v>0</v>
      </c>
      <c r="D37" s="17">
        <f t="shared" si="8"/>
        <v>0</v>
      </c>
      <c r="E37" s="26"/>
      <c r="F37" s="26"/>
      <c r="G37" s="26">
        <f t="shared" si="9"/>
        <v>0</v>
      </c>
      <c r="H37" s="17">
        <f t="shared" si="10"/>
        <v>0</v>
      </c>
      <c r="I37" s="26">
        <f t="shared" si="2"/>
        <v>0</v>
      </c>
      <c r="J37" s="26"/>
      <c r="K37" s="22" t="e">
        <f t="shared" si="16"/>
        <v>#DIV/0!</v>
      </c>
      <c r="L37" s="22" t="e">
        <f t="shared" si="11"/>
        <v>#DIV/0!</v>
      </c>
      <c r="M37" s="26" t="e">
        <f t="shared" si="13"/>
        <v>#DIV/0!</v>
      </c>
      <c r="N37" s="26" t="e">
        <f t="shared" si="12"/>
        <v>#DIV/0!</v>
      </c>
      <c r="O37" s="31">
        <v>0</v>
      </c>
      <c r="P37" s="31">
        <v>0</v>
      </c>
      <c r="Q37" s="38"/>
      <c r="R37" s="39"/>
      <c r="S37" s="40">
        <v>0</v>
      </c>
      <c r="T37" s="40">
        <v>0</v>
      </c>
      <c r="U37" s="49">
        <v>0</v>
      </c>
      <c r="V37" s="43">
        <v>0</v>
      </c>
      <c r="W37" s="31">
        <v>0</v>
      </c>
      <c r="X37" s="31">
        <v>0</v>
      </c>
      <c r="Y37" s="43">
        <v>0</v>
      </c>
      <c r="Z37" s="43">
        <v>0</v>
      </c>
      <c r="AA37" s="31">
        <v>0</v>
      </c>
      <c r="AB37" s="31">
        <v>0</v>
      </c>
      <c r="AC37" s="43">
        <v>0</v>
      </c>
      <c r="AD37" s="43">
        <v>0</v>
      </c>
      <c r="AE37" s="31">
        <v>0</v>
      </c>
      <c r="AF37" s="31">
        <v>0</v>
      </c>
      <c r="AG37" s="43">
        <v>0</v>
      </c>
      <c r="AH37" s="43">
        <v>0</v>
      </c>
      <c r="AI37" s="31">
        <v>0</v>
      </c>
      <c r="AJ37" s="31">
        <v>0</v>
      </c>
      <c r="AK37" s="43">
        <v>0</v>
      </c>
      <c r="AL37" s="43">
        <v>0</v>
      </c>
      <c r="AM37" s="31">
        <v>0</v>
      </c>
      <c r="AN37" s="31">
        <v>0</v>
      </c>
      <c r="AO37" s="41">
        <v>0</v>
      </c>
      <c r="AP37" s="41">
        <v>0</v>
      </c>
      <c r="AQ37" s="31">
        <v>0</v>
      </c>
      <c r="AR37" s="31">
        <v>0</v>
      </c>
      <c r="AS37" s="43">
        <v>0</v>
      </c>
      <c r="AT37" s="43">
        <v>0</v>
      </c>
      <c r="AU37" s="31">
        <v>0</v>
      </c>
      <c r="AV37" s="31">
        <v>0</v>
      </c>
      <c r="AW37" s="43">
        <v>0</v>
      </c>
      <c r="AX37" s="43">
        <v>0</v>
      </c>
      <c r="AY37" s="31">
        <v>0</v>
      </c>
      <c r="AZ37" s="31">
        <v>0</v>
      </c>
      <c r="BA37" s="43">
        <v>0</v>
      </c>
      <c r="BB37" s="43">
        <v>0</v>
      </c>
      <c r="BC37" s="54">
        <v>0</v>
      </c>
      <c r="BD37" s="54">
        <v>0</v>
      </c>
      <c r="BE37" s="55">
        <v>0</v>
      </c>
      <c r="BF37" s="55">
        <v>0</v>
      </c>
      <c r="BG37" s="31">
        <v>0</v>
      </c>
      <c r="BH37" s="31">
        <v>0</v>
      </c>
      <c r="BI37" s="43"/>
      <c r="BJ37" s="43"/>
      <c r="BK37" s="31">
        <v>0</v>
      </c>
      <c r="BL37" s="31">
        <v>0</v>
      </c>
      <c r="BM37" s="43">
        <v>0</v>
      </c>
      <c r="BN37" s="43">
        <v>0</v>
      </c>
      <c r="BO37" s="31">
        <v>0</v>
      </c>
      <c r="BP37" s="31">
        <v>0</v>
      </c>
      <c r="BQ37" s="43">
        <v>0</v>
      </c>
      <c r="BR37" s="43">
        <v>0</v>
      </c>
      <c r="BS37" s="31">
        <v>0</v>
      </c>
      <c r="BT37" s="31">
        <v>0</v>
      </c>
      <c r="BU37" s="41">
        <v>0</v>
      </c>
      <c r="BV37" s="41">
        <v>0</v>
      </c>
      <c r="BW37" s="31">
        <v>0</v>
      </c>
      <c r="BX37" s="31">
        <v>0</v>
      </c>
      <c r="BY37" s="41">
        <v>0</v>
      </c>
      <c r="BZ37" s="41">
        <v>0</v>
      </c>
    </row>
    <row r="38" s="1" customFormat="1" ht="21" customHeight="1" spans="1:78">
      <c r="A38" s="16" t="s">
        <v>86</v>
      </c>
      <c r="B38" s="13">
        <v>31</v>
      </c>
      <c r="C38" s="17">
        <f t="shared" si="7"/>
        <v>119</v>
      </c>
      <c r="D38" s="17">
        <f t="shared" si="8"/>
        <v>110.67</v>
      </c>
      <c r="E38" s="26">
        <f t="shared" si="1"/>
        <v>8.33</v>
      </c>
      <c r="F38" s="26">
        <f>E38/D38</f>
        <v>0.0752688172043011</v>
      </c>
      <c r="G38" s="26">
        <f t="shared" si="9"/>
        <v>370.21</v>
      </c>
      <c r="H38" s="17">
        <f t="shared" si="10"/>
        <v>343.31</v>
      </c>
      <c r="I38" s="26">
        <f t="shared" si="2"/>
        <v>26.9</v>
      </c>
      <c r="J38" s="26">
        <f>I38/H38</f>
        <v>0.0783548396492967</v>
      </c>
      <c r="K38" s="22">
        <f t="shared" si="16"/>
        <v>3111.00840336134</v>
      </c>
      <c r="L38" s="22">
        <f t="shared" si="11"/>
        <v>3102.10535827234</v>
      </c>
      <c r="M38" s="26">
        <f t="shared" si="13"/>
        <v>8.90304508900499</v>
      </c>
      <c r="N38" s="26">
        <f t="shared" si="12"/>
        <v>0.287000087384633</v>
      </c>
      <c r="O38" s="31">
        <v>0.6</v>
      </c>
      <c r="P38" s="31">
        <v>2.6</v>
      </c>
      <c r="Q38" s="38">
        <v>0.6</v>
      </c>
      <c r="R38" s="39">
        <v>2.1</v>
      </c>
      <c r="S38" s="40">
        <v>42.5</v>
      </c>
      <c r="T38" s="40">
        <v>163.4</v>
      </c>
      <c r="U38" s="49">
        <v>42.5</v>
      </c>
      <c r="V38" s="39">
        <v>155.3</v>
      </c>
      <c r="W38" s="31">
        <v>0</v>
      </c>
      <c r="X38" s="31">
        <v>0</v>
      </c>
      <c r="Y38" s="38">
        <v>5</v>
      </c>
      <c r="Z38" s="39">
        <v>12.08</v>
      </c>
      <c r="AA38" s="31">
        <v>0</v>
      </c>
      <c r="AB38" s="31">
        <v>0</v>
      </c>
      <c r="AC38" s="38">
        <v>0.6</v>
      </c>
      <c r="AD38" s="39">
        <v>1.5</v>
      </c>
      <c r="AE38" s="31">
        <v>0</v>
      </c>
      <c r="AF38" s="31">
        <v>0</v>
      </c>
      <c r="AG38" s="38">
        <v>0.2</v>
      </c>
      <c r="AH38" s="39">
        <v>0.5</v>
      </c>
      <c r="AI38" s="31">
        <v>0</v>
      </c>
      <c r="AJ38" s="31">
        <v>0</v>
      </c>
      <c r="AK38" s="38"/>
      <c r="AL38" s="39"/>
      <c r="AM38" s="31">
        <v>15</v>
      </c>
      <c r="AN38" s="31">
        <v>15.55</v>
      </c>
      <c r="AO38" s="41">
        <v>15</v>
      </c>
      <c r="AP38" s="41">
        <v>31.2</v>
      </c>
      <c r="AQ38" s="31">
        <v>0</v>
      </c>
      <c r="AR38" s="31">
        <v>0</v>
      </c>
      <c r="AS38" s="38">
        <v>1.2</v>
      </c>
      <c r="AT38" s="39">
        <v>3</v>
      </c>
      <c r="AU38" s="31">
        <v>0</v>
      </c>
      <c r="AV38" s="31">
        <v>0</v>
      </c>
      <c r="AW38" s="38"/>
      <c r="AX38" s="39"/>
      <c r="AY38" s="26">
        <v>31.8</v>
      </c>
      <c r="AZ38" s="26">
        <v>90.26</v>
      </c>
      <c r="BA38" s="38">
        <v>31.8</v>
      </c>
      <c r="BB38" s="38">
        <v>90.3</v>
      </c>
      <c r="BC38" s="54">
        <v>0</v>
      </c>
      <c r="BD38" s="54">
        <v>0</v>
      </c>
      <c r="BE38" s="55">
        <v>1.03</v>
      </c>
      <c r="BF38" s="55">
        <v>2.05</v>
      </c>
      <c r="BG38" s="31">
        <v>0</v>
      </c>
      <c r="BH38" s="31">
        <v>0</v>
      </c>
      <c r="BI38" s="38"/>
      <c r="BJ38" s="39"/>
      <c r="BK38" s="31">
        <v>0</v>
      </c>
      <c r="BL38" s="31">
        <v>0</v>
      </c>
      <c r="BM38" s="38">
        <v>0.3</v>
      </c>
      <c r="BN38" s="39">
        <v>0.68</v>
      </c>
      <c r="BO38" s="31">
        <v>0</v>
      </c>
      <c r="BP38" s="31">
        <v>0</v>
      </c>
      <c r="BQ38" s="38"/>
      <c r="BR38" s="39"/>
      <c r="BS38" s="31">
        <v>10</v>
      </c>
      <c r="BT38" s="31">
        <v>26.3</v>
      </c>
      <c r="BU38" s="41">
        <v>10</v>
      </c>
      <c r="BV38" s="41">
        <v>27.5</v>
      </c>
      <c r="BW38" s="31">
        <v>10.77</v>
      </c>
      <c r="BX38" s="31">
        <v>45.2</v>
      </c>
      <c r="BY38" s="41">
        <v>10.77</v>
      </c>
      <c r="BZ38" s="41">
        <v>44</v>
      </c>
    </row>
    <row r="39" ht="21" customHeight="1" spans="1:78">
      <c r="A39" s="16" t="s">
        <v>87</v>
      </c>
      <c r="B39" s="13">
        <v>32</v>
      </c>
      <c r="C39" s="17">
        <f t="shared" si="7"/>
        <v>0</v>
      </c>
      <c r="D39" s="17">
        <f t="shared" si="8"/>
        <v>0</v>
      </c>
      <c r="E39" s="11" t="s">
        <v>88</v>
      </c>
      <c r="F39" s="11" t="s">
        <v>88</v>
      </c>
      <c r="G39" s="26">
        <f t="shared" si="9"/>
        <v>0</v>
      </c>
      <c r="H39" s="17">
        <f t="shared" si="10"/>
        <v>0</v>
      </c>
      <c r="I39" s="26"/>
      <c r="J39" s="26"/>
      <c r="K39" s="22" t="e">
        <f t="shared" si="16"/>
        <v>#DIV/0!</v>
      </c>
      <c r="L39" s="22" t="e">
        <f t="shared" si="11"/>
        <v>#DIV/0!</v>
      </c>
      <c r="M39" s="26" t="e">
        <f t="shared" si="13"/>
        <v>#DIV/0!</v>
      </c>
      <c r="N39" s="26" t="e">
        <f t="shared" si="12"/>
        <v>#DIV/0!</v>
      </c>
      <c r="O39" s="31">
        <v>0</v>
      </c>
      <c r="P39" s="31">
        <v>0</v>
      </c>
      <c r="Q39" s="38"/>
      <c r="R39" s="39"/>
      <c r="S39" s="40">
        <v>0</v>
      </c>
      <c r="T39" s="40">
        <v>0</v>
      </c>
      <c r="U39" s="38">
        <v>0</v>
      </c>
      <c r="V39" s="38">
        <v>0</v>
      </c>
      <c r="W39" s="31">
        <v>0</v>
      </c>
      <c r="X39" s="31">
        <v>0</v>
      </c>
      <c r="Y39" s="38">
        <v>0</v>
      </c>
      <c r="Z39" s="38">
        <v>0</v>
      </c>
      <c r="AA39" s="31">
        <v>0</v>
      </c>
      <c r="AB39" s="31">
        <v>0</v>
      </c>
      <c r="AC39" s="38">
        <v>0</v>
      </c>
      <c r="AD39" s="38">
        <v>0</v>
      </c>
      <c r="AE39" s="31">
        <v>0</v>
      </c>
      <c r="AF39" s="31">
        <v>0</v>
      </c>
      <c r="AG39" s="38">
        <v>0</v>
      </c>
      <c r="AH39" s="38">
        <v>0</v>
      </c>
      <c r="AI39" s="31">
        <v>0</v>
      </c>
      <c r="AJ39" s="31">
        <v>0</v>
      </c>
      <c r="AK39" s="38">
        <v>0</v>
      </c>
      <c r="AL39" s="38">
        <v>0</v>
      </c>
      <c r="AM39" s="31">
        <v>0</v>
      </c>
      <c r="AN39" s="31">
        <v>0</v>
      </c>
      <c r="AO39" s="41">
        <v>0</v>
      </c>
      <c r="AP39" s="41">
        <v>0</v>
      </c>
      <c r="AQ39" s="31">
        <v>0</v>
      </c>
      <c r="AR39" s="31">
        <v>0</v>
      </c>
      <c r="AS39" s="38">
        <v>0</v>
      </c>
      <c r="AT39" s="38">
        <v>0</v>
      </c>
      <c r="AU39" s="31">
        <v>0</v>
      </c>
      <c r="AV39" s="31">
        <v>0</v>
      </c>
      <c r="AW39" s="38">
        <v>0</v>
      </c>
      <c r="AX39" s="38">
        <v>0</v>
      </c>
      <c r="AY39" s="31">
        <v>0</v>
      </c>
      <c r="AZ39" s="31">
        <v>0</v>
      </c>
      <c r="BA39" s="38">
        <v>0</v>
      </c>
      <c r="BB39" s="38">
        <v>0</v>
      </c>
      <c r="BC39" s="54">
        <v>0</v>
      </c>
      <c r="BD39" s="54">
        <v>0</v>
      </c>
      <c r="BE39" s="38"/>
      <c r="BF39" s="38"/>
      <c r="BG39" s="31">
        <v>0</v>
      </c>
      <c r="BH39" s="31">
        <v>0</v>
      </c>
      <c r="BI39" s="38">
        <v>0</v>
      </c>
      <c r="BJ39" s="38">
        <v>0</v>
      </c>
      <c r="BK39" s="31">
        <v>0</v>
      </c>
      <c r="BL39" s="31">
        <v>0</v>
      </c>
      <c r="BM39" s="38">
        <v>0</v>
      </c>
      <c r="BN39" s="38">
        <v>0</v>
      </c>
      <c r="BO39" s="31">
        <v>0</v>
      </c>
      <c r="BP39" s="31">
        <v>0</v>
      </c>
      <c r="BQ39" s="38">
        <v>0</v>
      </c>
      <c r="BR39" s="38">
        <v>0</v>
      </c>
      <c r="BS39" s="31">
        <v>0</v>
      </c>
      <c r="BT39" s="31">
        <v>0</v>
      </c>
      <c r="BU39" s="41">
        <v>0</v>
      </c>
      <c r="BV39" s="41">
        <v>0</v>
      </c>
      <c r="BW39" s="31">
        <v>0</v>
      </c>
      <c r="BX39" s="31">
        <v>0</v>
      </c>
      <c r="BY39" s="38">
        <v>0</v>
      </c>
      <c r="BZ39" s="38">
        <v>0</v>
      </c>
    </row>
    <row r="40" ht="21" customHeight="1" spans="1:78">
      <c r="A40" s="16" t="s">
        <v>89</v>
      </c>
      <c r="B40" s="13">
        <v>33</v>
      </c>
      <c r="C40" s="17">
        <f t="shared" si="7"/>
        <v>0</v>
      </c>
      <c r="D40" s="17">
        <f t="shared" si="8"/>
        <v>0</v>
      </c>
      <c r="E40" s="11" t="s">
        <v>88</v>
      </c>
      <c r="F40" s="11" t="s">
        <v>88</v>
      </c>
      <c r="G40" s="26">
        <f t="shared" si="9"/>
        <v>0</v>
      </c>
      <c r="H40" s="17">
        <f t="shared" si="10"/>
        <v>0</v>
      </c>
      <c r="I40" s="26"/>
      <c r="J40" s="26"/>
      <c r="K40" s="22" t="e">
        <f t="shared" si="16"/>
        <v>#DIV/0!</v>
      </c>
      <c r="L40" s="22" t="e">
        <f t="shared" si="11"/>
        <v>#DIV/0!</v>
      </c>
      <c r="M40" s="26" t="e">
        <f t="shared" si="13"/>
        <v>#DIV/0!</v>
      </c>
      <c r="N40" s="26" t="e">
        <f t="shared" si="12"/>
        <v>#DIV/0!</v>
      </c>
      <c r="O40" s="31">
        <v>0</v>
      </c>
      <c r="P40" s="31">
        <v>0</v>
      </c>
      <c r="Q40" s="38"/>
      <c r="R40" s="39"/>
      <c r="S40" s="40">
        <v>0</v>
      </c>
      <c r="T40" s="40">
        <v>0</v>
      </c>
      <c r="U40" s="50">
        <v>0</v>
      </c>
      <c r="V40" s="50">
        <v>0</v>
      </c>
      <c r="W40" s="31">
        <v>0</v>
      </c>
      <c r="X40" s="31">
        <v>0</v>
      </c>
      <c r="Y40" s="50">
        <v>0</v>
      </c>
      <c r="Z40" s="50">
        <v>0</v>
      </c>
      <c r="AA40" s="31">
        <v>0</v>
      </c>
      <c r="AB40" s="31">
        <v>0</v>
      </c>
      <c r="AC40" s="50">
        <v>0</v>
      </c>
      <c r="AD40" s="50">
        <v>0</v>
      </c>
      <c r="AE40" s="31">
        <v>0</v>
      </c>
      <c r="AF40" s="31">
        <v>0</v>
      </c>
      <c r="AG40" s="50">
        <v>0</v>
      </c>
      <c r="AH40" s="50">
        <v>0</v>
      </c>
      <c r="AI40" s="31">
        <v>0</v>
      </c>
      <c r="AJ40" s="31">
        <v>0</v>
      </c>
      <c r="AK40" s="50">
        <v>0</v>
      </c>
      <c r="AL40" s="50">
        <v>0</v>
      </c>
      <c r="AM40" s="31">
        <v>0</v>
      </c>
      <c r="AN40" s="31">
        <v>0</v>
      </c>
      <c r="AO40" s="41">
        <v>0</v>
      </c>
      <c r="AP40" s="41">
        <v>0</v>
      </c>
      <c r="AQ40" s="31">
        <v>0</v>
      </c>
      <c r="AR40" s="31">
        <v>0</v>
      </c>
      <c r="AS40" s="50">
        <v>0</v>
      </c>
      <c r="AT40" s="50">
        <v>0</v>
      </c>
      <c r="AU40" s="31">
        <v>0</v>
      </c>
      <c r="AV40" s="31">
        <v>0</v>
      </c>
      <c r="AW40" s="50">
        <v>0</v>
      </c>
      <c r="AX40" s="50">
        <v>0</v>
      </c>
      <c r="AY40" s="31">
        <v>0</v>
      </c>
      <c r="AZ40" s="31">
        <v>0</v>
      </c>
      <c r="BA40" s="50">
        <v>0</v>
      </c>
      <c r="BB40" s="50">
        <v>0</v>
      </c>
      <c r="BC40" s="54">
        <v>0</v>
      </c>
      <c r="BD40" s="54">
        <v>0</v>
      </c>
      <c r="BE40" s="50"/>
      <c r="BF40" s="50"/>
      <c r="BG40" s="31">
        <v>0</v>
      </c>
      <c r="BH40" s="31">
        <v>0</v>
      </c>
      <c r="BI40" s="50">
        <v>0</v>
      </c>
      <c r="BJ40" s="50">
        <v>0</v>
      </c>
      <c r="BK40" s="31">
        <v>0</v>
      </c>
      <c r="BL40" s="31">
        <v>0</v>
      </c>
      <c r="BM40" s="50">
        <v>0</v>
      </c>
      <c r="BN40" s="50">
        <v>0</v>
      </c>
      <c r="BO40" s="31">
        <v>0</v>
      </c>
      <c r="BP40" s="31">
        <v>0</v>
      </c>
      <c r="BQ40" s="50">
        <v>0</v>
      </c>
      <c r="BR40" s="50">
        <v>0</v>
      </c>
      <c r="BS40" s="31">
        <v>0</v>
      </c>
      <c r="BT40" s="31">
        <v>0</v>
      </c>
      <c r="BU40" s="41">
        <v>0</v>
      </c>
      <c r="BV40" s="41">
        <v>0</v>
      </c>
      <c r="BW40" s="31">
        <v>0</v>
      </c>
      <c r="BX40" s="31">
        <v>0</v>
      </c>
      <c r="BY40" s="50">
        <v>0</v>
      </c>
      <c r="BZ40" s="50">
        <v>0</v>
      </c>
    </row>
    <row r="41" ht="21" customHeight="1" spans="1:78">
      <c r="A41" s="16" t="s">
        <v>90</v>
      </c>
      <c r="B41" s="13">
        <v>34</v>
      </c>
      <c r="C41" s="17">
        <f t="shared" si="7"/>
        <v>11.77</v>
      </c>
      <c r="D41" s="17">
        <f t="shared" si="8"/>
        <v>11.77</v>
      </c>
      <c r="E41" s="11"/>
      <c r="F41" s="11"/>
      <c r="G41" s="26">
        <f t="shared" si="9"/>
        <v>21.56</v>
      </c>
      <c r="H41" s="17">
        <f t="shared" si="10"/>
        <v>19.61</v>
      </c>
      <c r="I41" s="26"/>
      <c r="J41" s="26"/>
      <c r="K41" s="22">
        <f t="shared" si="16"/>
        <v>1831.77570093458</v>
      </c>
      <c r="L41" s="22">
        <f t="shared" si="11"/>
        <v>1666.1002548853</v>
      </c>
      <c r="M41" s="26">
        <f t="shared" si="13"/>
        <v>165.675446049279</v>
      </c>
      <c r="N41" s="26">
        <f t="shared" si="12"/>
        <v>9.94390617032136</v>
      </c>
      <c r="O41" s="31">
        <v>0</v>
      </c>
      <c r="P41" s="31">
        <v>0</v>
      </c>
      <c r="Q41" s="38"/>
      <c r="R41" s="39"/>
      <c r="S41" s="40">
        <v>0</v>
      </c>
      <c r="T41" s="40">
        <v>0</v>
      </c>
      <c r="U41" s="51">
        <v>0</v>
      </c>
      <c r="V41" s="51">
        <v>0</v>
      </c>
      <c r="W41" s="31">
        <v>0</v>
      </c>
      <c r="X41" s="31">
        <v>0</v>
      </c>
      <c r="Y41" s="51">
        <v>0</v>
      </c>
      <c r="Z41" s="51">
        <v>0</v>
      </c>
      <c r="AA41" s="31">
        <v>0</v>
      </c>
      <c r="AB41" s="31">
        <v>0</v>
      </c>
      <c r="AC41" s="51">
        <v>0</v>
      </c>
      <c r="AD41" s="51">
        <v>0</v>
      </c>
      <c r="AE41" s="31">
        <v>0</v>
      </c>
      <c r="AF41" s="31">
        <v>0</v>
      </c>
      <c r="AG41" s="51">
        <v>0</v>
      </c>
      <c r="AH41" s="51">
        <v>0</v>
      </c>
      <c r="AI41" s="31">
        <v>0</v>
      </c>
      <c r="AJ41" s="31">
        <v>0</v>
      </c>
      <c r="AK41" s="51">
        <v>0</v>
      </c>
      <c r="AL41" s="51">
        <v>0</v>
      </c>
      <c r="AM41" s="31">
        <v>5.49</v>
      </c>
      <c r="AN41" s="31">
        <v>3.1</v>
      </c>
      <c r="AO41" s="41">
        <v>5.49</v>
      </c>
      <c r="AP41" s="41">
        <v>3.4</v>
      </c>
      <c r="AQ41" s="31">
        <v>0</v>
      </c>
      <c r="AR41" s="31">
        <v>0</v>
      </c>
      <c r="AS41" s="51">
        <v>0</v>
      </c>
      <c r="AT41" s="51">
        <v>0</v>
      </c>
      <c r="AU41" s="31">
        <v>0</v>
      </c>
      <c r="AV41" s="31">
        <v>0</v>
      </c>
      <c r="AW41" s="51">
        <v>0</v>
      </c>
      <c r="AX41" s="51">
        <v>0</v>
      </c>
      <c r="AY41" s="31">
        <v>0</v>
      </c>
      <c r="AZ41" s="31">
        <v>0</v>
      </c>
      <c r="BA41" s="51">
        <v>0</v>
      </c>
      <c r="BB41" s="51">
        <v>0</v>
      </c>
      <c r="BC41" s="54">
        <v>0</v>
      </c>
      <c r="BD41" s="54">
        <v>0</v>
      </c>
      <c r="BE41" s="51"/>
      <c r="BF41" s="51"/>
      <c r="BG41" s="31">
        <v>0</v>
      </c>
      <c r="BH41" s="31">
        <v>0</v>
      </c>
      <c r="BI41" s="51">
        <v>0</v>
      </c>
      <c r="BJ41" s="51">
        <v>0</v>
      </c>
      <c r="BK41" s="31">
        <v>0</v>
      </c>
      <c r="BL41" s="31">
        <v>0</v>
      </c>
      <c r="BM41" s="51">
        <v>0</v>
      </c>
      <c r="BN41" s="51">
        <v>0</v>
      </c>
      <c r="BO41" s="31">
        <v>0</v>
      </c>
      <c r="BP41" s="31">
        <v>0</v>
      </c>
      <c r="BQ41" s="51">
        <v>0</v>
      </c>
      <c r="BR41" s="51">
        <v>0</v>
      </c>
      <c r="BS41" s="31">
        <v>6.28</v>
      </c>
      <c r="BT41" s="31">
        <v>16.51</v>
      </c>
      <c r="BU41" s="41">
        <v>6.28</v>
      </c>
      <c r="BV41" s="41">
        <v>18.16</v>
      </c>
      <c r="BW41" s="31">
        <v>0</v>
      </c>
      <c r="BX41" s="31">
        <v>0</v>
      </c>
      <c r="BY41" s="51">
        <v>0</v>
      </c>
      <c r="BZ41" s="51">
        <v>0</v>
      </c>
    </row>
    <row r="42" ht="21" customHeight="1" spans="1:78">
      <c r="A42" s="16" t="s">
        <v>91</v>
      </c>
      <c r="B42" s="13">
        <v>35</v>
      </c>
      <c r="C42" s="17">
        <f t="shared" si="7"/>
        <v>0</v>
      </c>
      <c r="D42" s="17">
        <f t="shared" si="8"/>
        <v>0</v>
      </c>
      <c r="E42" s="11" t="s">
        <v>88</v>
      </c>
      <c r="F42" s="11" t="s">
        <v>88</v>
      </c>
      <c r="G42" s="26">
        <f t="shared" si="9"/>
        <v>0</v>
      </c>
      <c r="H42" s="17">
        <f t="shared" si="10"/>
        <v>0</v>
      </c>
      <c r="I42" s="26"/>
      <c r="J42" s="26"/>
      <c r="K42" s="22" t="e">
        <f t="shared" si="16"/>
        <v>#DIV/0!</v>
      </c>
      <c r="L42" s="22" t="e">
        <f t="shared" si="11"/>
        <v>#DIV/0!</v>
      </c>
      <c r="M42" s="26" t="e">
        <f t="shared" si="13"/>
        <v>#DIV/0!</v>
      </c>
      <c r="N42" s="26" t="e">
        <f t="shared" si="12"/>
        <v>#DIV/0!</v>
      </c>
      <c r="O42" s="31">
        <v>0</v>
      </c>
      <c r="P42" s="31">
        <v>0</v>
      </c>
      <c r="Q42" s="42">
        <v>0</v>
      </c>
      <c r="R42" s="42">
        <v>0</v>
      </c>
      <c r="S42" s="31">
        <v>0</v>
      </c>
      <c r="T42" s="31">
        <v>0</v>
      </c>
      <c r="U42" s="42">
        <v>0</v>
      </c>
      <c r="V42" s="42">
        <v>0</v>
      </c>
      <c r="W42" s="31">
        <v>0</v>
      </c>
      <c r="X42" s="31">
        <v>0</v>
      </c>
      <c r="Y42" s="42">
        <v>0</v>
      </c>
      <c r="Z42" s="42">
        <v>0</v>
      </c>
      <c r="AA42" s="31">
        <v>0</v>
      </c>
      <c r="AB42" s="31">
        <v>0</v>
      </c>
      <c r="AC42" s="42">
        <v>0</v>
      </c>
      <c r="AD42" s="42">
        <v>0</v>
      </c>
      <c r="AE42" s="31">
        <v>0</v>
      </c>
      <c r="AF42" s="31">
        <v>0</v>
      </c>
      <c r="AG42" s="42">
        <v>0</v>
      </c>
      <c r="AH42" s="42">
        <v>0</v>
      </c>
      <c r="AI42" s="31">
        <v>0</v>
      </c>
      <c r="AJ42" s="31">
        <v>0</v>
      </c>
      <c r="AK42" s="42">
        <v>0</v>
      </c>
      <c r="AL42" s="42">
        <v>0</v>
      </c>
      <c r="AM42" s="31">
        <v>0</v>
      </c>
      <c r="AN42" s="31">
        <v>0</v>
      </c>
      <c r="AO42" s="42">
        <v>0</v>
      </c>
      <c r="AP42" s="42">
        <v>0</v>
      </c>
      <c r="AQ42" s="31">
        <v>0</v>
      </c>
      <c r="AR42" s="31">
        <v>0</v>
      </c>
      <c r="AS42" s="42">
        <v>0</v>
      </c>
      <c r="AT42" s="42">
        <v>0</v>
      </c>
      <c r="AU42" s="31">
        <v>0</v>
      </c>
      <c r="AV42" s="31">
        <v>0</v>
      </c>
      <c r="AW42" s="42">
        <v>0</v>
      </c>
      <c r="AX42" s="42">
        <v>0</v>
      </c>
      <c r="AY42" s="31">
        <v>0</v>
      </c>
      <c r="AZ42" s="31">
        <v>0</v>
      </c>
      <c r="BA42" s="42">
        <v>0</v>
      </c>
      <c r="BB42" s="42">
        <v>0</v>
      </c>
      <c r="BC42" s="54">
        <v>0</v>
      </c>
      <c r="BD42" s="54">
        <v>0</v>
      </c>
      <c r="BE42" s="42"/>
      <c r="BF42" s="42"/>
      <c r="BG42" s="31">
        <v>0</v>
      </c>
      <c r="BH42" s="31">
        <v>0</v>
      </c>
      <c r="BI42" s="42">
        <v>0</v>
      </c>
      <c r="BJ42" s="42">
        <v>0</v>
      </c>
      <c r="BK42" s="31">
        <v>0</v>
      </c>
      <c r="BL42" s="31">
        <v>0</v>
      </c>
      <c r="BM42" s="42">
        <v>0</v>
      </c>
      <c r="BN42" s="42">
        <v>0</v>
      </c>
      <c r="BO42" s="31">
        <v>0</v>
      </c>
      <c r="BP42" s="31">
        <v>0</v>
      </c>
      <c r="BQ42" s="42">
        <v>0</v>
      </c>
      <c r="BR42" s="42">
        <v>0</v>
      </c>
      <c r="BS42" s="31">
        <v>0</v>
      </c>
      <c r="BT42" s="31">
        <v>0</v>
      </c>
      <c r="BU42" s="41">
        <v>0</v>
      </c>
      <c r="BV42" s="41">
        <v>0</v>
      </c>
      <c r="BW42" s="31">
        <v>0</v>
      </c>
      <c r="BX42" s="31">
        <v>0</v>
      </c>
      <c r="BY42" s="42">
        <v>0</v>
      </c>
      <c r="BZ42" s="42">
        <v>0</v>
      </c>
    </row>
    <row r="43" ht="21" customHeight="1" spans="1:78">
      <c r="A43" s="16" t="s">
        <v>92</v>
      </c>
      <c r="B43" s="13">
        <v>36</v>
      </c>
      <c r="C43" s="17">
        <f t="shared" si="7"/>
        <v>0</v>
      </c>
      <c r="D43" s="17">
        <f t="shared" si="8"/>
        <v>0</v>
      </c>
      <c r="E43" s="11" t="s">
        <v>88</v>
      </c>
      <c r="F43" s="11" t="s">
        <v>88</v>
      </c>
      <c r="G43" s="26">
        <f t="shared" si="9"/>
        <v>0</v>
      </c>
      <c r="H43" s="17">
        <f t="shared" si="10"/>
        <v>0</v>
      </c>
      <c r="I43" s="26"/>
      <c r="J43" s="26"/>
      <c r="K43" s="22" t="e">
        <f t="shared" si="16"/>
        <v>#DIV/0!</v>
      </c>
      <c r="L43" s="22" t="e">
        <f t="shared" si="11"/>
        <v>#DIV/0!</v>
      </c>
      <c r="M43" s="26" t="e">
        <f t="shared" si="13"/>
        <v>#DIV/0!</v>
      </c>
      <c r="N43" s="26" t="e">
        <f t="shared" si="12"/>
        <v>#DIV/0!</v>
      </c>
      <c r="O43" s="31">
        <v>0</v>
      </c>
      <c r="P43" s="31">
        <v>0</v>
      </c>
      <c r="Q43" s="43">
        <v>0</v>
      </c>
      <c r="R43" s="43">
        <v>0</v>
      </c>
      <c r="S43" s="31">
        <v>0</v>
      </c>
      <c r="T43" s="31">
        <v>0</v>
      </c>
      <c r="U43" s="43">
        <v>0</v>
      </c>
      <c r="V43" s="43">
        <v>0</v>
      </c>
      <c r="W43" s="31">
        <v>0</v>
      </c>
      <c r="X43" s="31">
        <v>0</v>
      </c>
      <c r="Y43" s="43">
        <v>0</v>
      </c>
      <c r="Z43" s="43">
        <v>0</v>
      </c>
      <c r="AA43" s="31">
        <v>0</v>
      </c>
      <c r="AB43" s="31">
        <v>0</v>
      </c>
      <c r="AC43" s="43">
        <v>0</v>
      </c>
      <c r="AD43" s="43">
        <v>0</v>
      </c>
      <c r="AE43" s="31">
        <v>0</v>
      </c>
      <c r="AF43" s="31">
        <v>0</v>
      </c>
      <c r="AG43" s="43">
        <v>0</v>
      </c>
      <c r="AH43" s="43">
        <v>0</v>
      </c>
      <c r="AI43" s="31">
        <v>0</v>
      </c>
      <c r="AJ43" s="31">
        <v>0</v>
      </c>
      <c r="AK43" s="43">
        <v>0</v>
      </c>
      <c r="AL43" s="43">
        <v>0</v>
      </c>
      <c r="AM43" s="31">
        <v>0</v>
      </c>
      <c r="AN43" s="31">
        <v>0</v>
      </c>
      <c r="AO43" s="43">
        <v>0</v>
      </c>
      <c r="AP43" s="43">
        <v>0</v>
      </c>
      <c r="AQ43" s="31">
        <v>0</v>
      </c>
      <c r="AR43" s="31">
        <v>0</v>
      </c>
      <c r="AS43" s="43">
        <v>0</v>
      </c>
      <c r="AT43" s="43">
        <v>0</v>
      </c>
      <c r="AU43" s="31">
        <v>0</v>
      </c>
      <c r="AV43" s="31">
        <v>0</v>
      </c>
      <c r="AW43" s="43">
        <v>0</v>
      </c>
      <c r="AX43" s="43">
        <v>0</v>
      </c>
      <c r="AY43" s="31">
        <v>0</v>
      </c>
      <c r="AZ43" s="31">
        <v>0</v>
      </c>
      <c r="BA43" s="43">
        <v>0</v>
      </c>
      <c r="BB43" s="43">
        <v>0</v>
      </c>
      <c r="BC43" s="54">
        <v>0</v>
      </c>
      <c r="BD43" s="54">
        <v>0</v>
      </c>
      <c r="BE43" s="43"/>
      <c r="BF43" s="43"/>
      <c r="BG43" s="31">
        <v>0</v>
      </c>
      <c r="BH43" s="31">
        <v>0</v>
      </c>
      <c r="BI43" s="43">
        <v>0</v>
      </c>
      <c r="BJ43" s="43">
        <v>0</v>
      </c>
      <c r="BK43" s="31">
        <v>0</v>
      </c>
      <c r="BL43" s="31">
        <v>0</v>
      </c>
      <c r="BM43" s="43">
        <v>0</v>
      </c>
      <c r="BN43" s="43">
        <v>0</v>
      </c>
      <c r="BO43" s="31">
        <v>0</v>
      </c>
      <c r="BP43" s="31">
        <v>0</v>
      </c>
      <c r="BQ43" s="43">
        <v>0</v>
      </c>
      <c r="BR43" s="43">
        <v>0</v>
      </c>
      <c r="BS43" s="31">
        <v>0</v>
      </c>
      <c r="BT43" s="31">
        <v>0</v>
      </c>
      <c r="BU43" s="41">
        <v>0</v>
      </c>
      <c r="BV43" s="41">
        <v>0</v>
      </c>
      <c r="BW43" s="31">
        <v>0</v>
      </c>
      <c r="BX43" s="31">
        <v>0</v>
      </c>
      <c r="BY43" s="43">
        <v>0</v>
      </c>
      <c r="BZ43" s="43">
        <v>0</v>
      </c>
    </row>
    <row r="44" ht="21" customHeight="1" spans="1:78">
      <c r="A44" s="16" t="s">
        <v>93</v>
      </c>
      <c r="B44" s="13">
        <v>37</v>
      </c>
      <c r="C44" s="17">
        <f t="shared" si="7"/>
        <v>0</v>
      </c>
      <c r="D44" s="17">
        <f t="shared" si="8"/>
        <v>0</v>
      </c>
      <c r="E44" s="11" t="s">
        <v>88</v>
      </c>
      <c r="F44" s="11" t="s">
        <v>88</v>
      </c>
      <c r="G44" s="26">
        <f t="shared" si="9"/>
        <v>0</v>
      </c>
      <c r="H44" s="17">
        <f t="shared" si="10"/>
        <v>0</v>
      </c>
      <c r="I44" s="26"/>
      <c r="J44" s="26"/>
      <c r="K44" s="22" t="e">
        <f t="shared" si="16"/>
        <v>#DIV/0!</v>
      </c>
      <c r="L44" s="22" t="e">
        <f t="shared" si="11"/>
        <v>#DIV/0!</v>
      </c>
      <c r="M44" s="26" t="e">
        <f t="shared" si="13"/>
        <v>#DIV/0!</v>
      </c>
      <c r="N44" s="26" t="e">
        <f t="shared" si="12"/>
        <v>#DIV/0!</v>
      </c>
      <c r="O44" s="31">
        <v>0</v>
      </c>
      <c r="P44" s="31">
        <v>0</v>
      </c>
      <c r="Q44" s="43">
        <v>0</v>
      </c>
      <c r="R44" s="43">
        <v>0</v>
      </c>
      <c r="S44" s="31">
        <v>0</v>
      </c>
      <c r="T44" s="31">
        <v>0</v>
      </c>
      <c r="U44" s="43">
        <v>0</v>
      </c>
      <c r="V44" s="43">
        <v>0</v>
      </c>
      <c r="W44" s="31">
        <v>0</v>
      </c>
      <c r="X44" s="31">
        <v>0</v>
      </c>
      <c r="Y44" s="43">
        <v>0</v>
      </c>
      <c r="Z44" s="43">
        <v>0</v>
      </c>
      <c r="AA44" s="31">
        <v>0</v>
      </c>
      <c r="AB44" s="31">
        <v>0</v>
      </c>
      <c r="AC44" s="43">
        <v>0</v>
      </c>
      <c r="AD44" s="43">
        <v>0</v>
      </c>
      <c r="AE44" s="31">
        <v>0</v>
      </c>
      <c r="AF44" s="31">
        <v>0</v>
      </c>
      <c r="AG44" s="43">
        <v>0</v>
      </c>
      <c r="AH44" s="43">
        <v>0</v>
      </c>
      <c r="AI44" s="31">
        <v>0</v>
      </c>
      <c r="AJ44" s="31">
        <v>0</v>
      </c>
      <c r="AK44" s="43">
        <v>0</v>
      </c>
      <c r="AL44" s="43">
        <v>0</v>
      </c>
      <c r="AM44" s="31">
        <v>0</v>
      </c>
      <c r="AN44" s="31">
        <v>0</v>
      </c>
      <c r="AO44" s="43">
        <v>0</v>
      </c>
      <c r="AP44" s="43">
        <v>0</v>
      </c>
      <c r="AQ44" s="31">
        <v>0</v>
      </c>
      <c r="AR44" s="31">
        <v>0</v>
      </c>
      <c r="AS44" s="43">
        <v>0</v>
      </c>
      <c r="AT44" s="43">
        <v>0</v>
      </c>
      <c r="AU44" s="31">
        <v>0</v>
      </c>
      <c r="AV44" s="31">
        <v>0</v>
      </c>
      <c r="AW44" s="43">
        <v>0</v>
      </c>
      <c r="AX44" s="43">
        <v>0</v>
      </c>
      <c r="AY44" s="31">
        <v>0</v>
      </c>
      <c r="AZ44" s="31">
        <v>0</v>
      </c>
      <c r="BA44" s="43">
        <v>0</v>
      </c>
      <c r="BB44" s="43">
        <v>0</v>
      </c>
      <c r="BC44" s="54">
        <v>0</v>
      </c>
      <c r="BD44" s="54">
        <v>0</v>
      </c>
      <c r="BE44" s="43"/>
      <c r="BF44" s="43"/>
      <c r="BG44" s="31">
        <v>0</v>
      </c>
      <c r="BH44" s="31">
        <v>0</v>
      </c>
      <c r="BI44" s="43">
        <v>0</v>
      </c>
      <c r="BJ44" s="43">
        <v>0</v>
      </c>
      <c r="BK44" s="31">
        <v>0</v>
      </c>
      <c r="BL44" s="31">
        <v>0</v>
      </c>
      <c r="BM44" s="43">
        <v>0</v>
      </c>
      <c r="BN44" s="43">
        <v>0</v>
      </c>
      <c r="BO44" s="31">
        <v>0</v>
      </c>
      <c r="BP44" s="31">
        <v>0</v>
      </c>
      <c r="BQ44" s="43">
        <v>0</v>
      </c>
      <c r="BR44" s="43">
        <v>0</v>
      </c>
      <c r="BS44" s="31">
        <v>0</v>
      </c>
      <c r="BT44" s="31">
        <v>0</v>
      </c>
      <c r="BU44" s="41">
        <v>0</v>
      </c>
      <c r="BV44" s="41">
        <v>0</v>
      </c>
      <c r="BW44" s="31">
        <v>0</v>
      </c>
      <c r="BX44" s="31">
        <v>0</v>
      </c>
      <c r="BY44" s="43">
        <v>0</v>
      </c>
      <c r="BZ44" s="43">
        <v>0</v>
      </c>
    </row>
    <row r="45" ht="21" customHeight="1" spans="1:78">
      <c r="A45" s="16" t="s">
        <v>94</v>
      </c>
      <c r="B45" s="13">
        <v>38</v>
      </c>
      <c r="C45" s="17">
        <f t="shared" si="7"/>
        <v>0</v>
      </c>
      <c r="D45" s="17">
        <f t="shared" si="8"/>
        <v>0</v>
      </c>
      <c r="E45" s="26"/>
      <c r="F45" s="26"/>
      <c r="G45" s="26">
        <f t="shared" si="9"/>
        <v>0</v>
      </c>
      <c r="H45" s="17">
        <f t="shared" si="10"/>
        <v>0</v>
      </c>
      <c r="I45" s="26"/>
      <c r="J45" s="26"/>
      <c r="K45" s="22" t="e">
        <f t="shared" si="16"/>
        <v>#DIV/0!</v>
      </c>
      <c r="L45" s="22" t="e">
        <f t="shared" si="11"/>
        <v>#DIV/0!</v>
      </c>
      <c r="M45" s="26" t="e">
        <f t="shared" si="13"/>
        <v>#DIV/0!</v>
      </c>
      <c r="N45" s="26" t="e">
        <f t="shared" si="12"/>
        <v>#DIV/0!</v>
      </c>
      <c r="O45" s="31">
        <v>0</v>
      </c>
      <c r="P45" s="31">
        <v>0</v>
      </c>
      <c r="Q45" s="38">
        <v>0</v>
      </c>
      <c r="R45" s="39">
        <v>0</v>
      </c>
      <c r="S45" s="31">
        <v>0</v>
      </c>
      <c r="T45" s="31">
        <v>0</v>
      </c>
      <c r="U45" s="38">
        <v>0</v>
      </c>
      <c r="V45" s="39">
        <v>0</v>
      </c>
      <c r="W45" s="31">
        <v>0</v>
      </c>
      <c r="X45" s="31">
        <v>0</v>
      </c>
      <c r="Y45" s="38">
        <v>0</v>
      </c>
      <c r="Z45" s="39">
        <v>0</v>
      </c>
      <c r="AA45" s="31">
        <v>0</v>
      </c>
      <c r="AB45" s="31">
        <v>0</v>
      </c>
      <c r="AC45" s="38">
        <v>0</v>
      </c>
      <c r="AD45" s="39">
        <v>0</v>
      </c>
      <c r="AE45" s="31">
        <v>0</v>
      </c>
      <c r="AF45" s="31">
        <v>0</v>
      </c>
      <c r="AG45" s="38">
        <v>0</v>
      </c>
      <c r="AH45" s="39">
        <v>0</v>
      </c>
      <c r="AI45" s="31">
        <v>0</v>
      </c>
      <c r="AJ45" s="31">
        <v>0</v>
      </c>
      <c r="AK45" s="38">
        <v>0</v>
      </c>
      <c r="AL45" s="39">
        <v>0</v>
      </c>
      <c r="AM45" s="31">
        <v>0</v>
      </c>
      <c r="AN45" s="31">
        <v>0</v>
      </c>
      <c r="AO45" s="38">
        <v>0</v>
      </c>
      <c r="AP45" s="39">
        <v>0</v>
      </c>
      <c r="AQ45" s="31">
        <v>0</v>
      </c>
      <c r="AR45" s="31">
        <v>0</v>
      </c>
      <c r="AS45" s="38">
        <v>0</v>
      </c>
      <c r="AT45" s="39">
        <v>0</v>
      </c>
      <c r="AU45" s="31">
        <v>0</v>
      </c>
      <c r="AV45" s="31">
        <v>0</v>
      </c>
      <c r="AW45" s="38">
        <v>0</v>
      </c>
      <c r="AX45" s="39">
        <v>0</v>
      </c>
      <c r="AY45" s="31">
        <v>0</v>
      </c>
      <c r="AZ45" s="31">
        <v>0</v>
      </c>
      <c r="BA45" s="38">
        <v>0</v>
      </c>
      <c r="BB45" s="39">
        <v>0</v>
      </c>
      <c r="BC45" s="54">
        <v>0</v>
      </c>
      <c r="BD45" s="54">
        <v>0</v>
      </c>
      <c r="BE45" s="38"/>
      <c r="BF45" s="39"/>
      <c r="BG45" s="31">
        <v>0</v>
      </c>
      <c r="BH45" s="31">
        <v>0</v>
      </c>
      <c r="BI45" s="38">
        <v>0</v>
      </c>
      <c r="BJ45" s="39">
        <v>0</v>
      </c>
      <c r="BK45" s="31">
        <v>0</v>
      </c>
      <c r="BL45" s="31">
        <v>0</v>
      </c>
      <c r="BM45" s="38">
        <v>0</v>
      </c>
      <c r="BN45" s="39">
        <v>0</v>
      </c>
      <c r="BO45" s="31">
        <v>0</v>
      </c>
      <c r="BP45" s="31">
        <v>0</v>
      </c>
      <c r="BQ45" s="38">
        <v>0</v>
      </c>
      <c r="BR45" s="39">
        <v>0</v>
      </c>
      <c r="BS45" s="31">
        <v>0</v>
      </c>
      <c r="BT45" s="31">
        <v>0</v>
      </c>
      <c r="BU45" s="41">
        <v>0</v>
      </c>
      <c r="BV45" s="41">
        <v>0</v>
      </c>
      <c r="BW45" s="31">
        <v>0</v>
      </c>
      <c r="BX45" s="31">
        <v>0</v>
      </c>
      <c r="BY45" s="38">
        <v>0</v>
      </c>
      <c r="BZ45" s="39">
        <v>0</v>
      </c>
    </row>
    <row r="46" ht="21" customHeight="1" spans="1:78">
      <c r="A46" s="16" t="s">
        <v>95</v>
      </c>
      <c r="B46" s="13">
        <v>39</v>
      </c>
      <c r="C46" s="17">
        <f t="shared" si="7"/>
        <v>0</v>
      </c>
      <c r="D46" s="17">
        <f t="shared" si="8"/>
        <v>0</v>
      </c>
      <c r="E46" s="26"/>
      <c r="F46" s="26"/>
      <c r="G46" s="26">
        <f t="shared" si="9"/>
        <v>0</v>
      </c>
      <c r="H46" s="17">
        <f t="shared" si="10"/>
        <v>0</v>
      </c>
      <c r="I46" s="26"/>
      <c r="J46" s="26"/>
      <c r="K46" s="22" t="e">
        <f t="shared" si="16"/>
        <v>#DIV/0!</v>
      </c>
      <c r="L46" s="22" t="e">
        <f t="shared" si="11"/>
        <v>#DIV/0!</v>
      </c>
      <c r="M46" s="26" t="e">
        <f t="shared" si="13"/>
        <v>#DIV/0!</v>
      </c>
      <c r="N46" s="26" t="e">
        <f t="shared" si="12"/>
        <v>#DIV/0!</v>
      </c>
      <c r="O46" s="31">
        <v>0</v>
      </c>
      <c r="P46" s="31">
        <v>0</v>
      </c>
      <c r="Q46" s="38"/>
      <c r="R46" s="38"/>
      <c r="S46" s="31">
        <v>0</v>
      </c>
      <c r="T46" s="31">
        <v>0</v>
      </c>
      <c r="U46" s="38">
        <v>0</v>
      </c>
      <c r="V46" s="38">
        <v>0</v>
      </c>
      <c r="W46" s="31">
        <v>0</v>
      </c>
      <c r="X46" s="31">
        <v>0</v>
      </c>
      <c r="Y46" s="38">
        <v>0</v>
      </c>
      <c r="Z46" s="38">
        <v>0</v>
      </c>
      <c r="AA46" s="31">
        <v>0</v>
      </c>
      <c r="AB46" s="31">
        <v>0</v>
      </c>
      <c r="AC46" s="38">
        <v>0</v>
      </c>
      <c r="AD46" s="38">
        <v>0</v>
      </c>
      <c r="AE46" s="31">
        <v>0</v>
      </c>
      <c r="AF46" s="31">
        <v>0</v>
      </c>
      <c r="AG46" s="38">
        <v>0</v>
      </c>
      <c r="AH46" s="38">
        <v>0</v>
      </c>
      <c r="AI46" s="31">
        <v>0</v>
      </c>
      <c r="AJ46" s="31">
        <v>0</v>
      </c>
      <c r="AK46" s="38">
        <v>0</v>
      </c>
      <c r="AL46" s="38">
        <v>0</v>
      </c>
      <c r="AM46" s="31">
        <v>0</v>
      </c>
      <c r="AN46" s="31">
        <v>0</v>
      </c>
      <c r="AO46" s="38">
        <v>0</v>
      </c>
      <c r="AP46" s="38">
        <v>0</v>
      </c>
      <c r="AQ46" s="31">
        <v>0</v>
      </c>
      <c r="AR46" s="31">
        <v>0</v>
      </c>
      <c r="AS46" s="38">
        <v>0</v>
      </c>
      <c r="AT46" s="38">
        <v>0</v>
      </c>
      <c r="AU46" s="31">
        <v>0</v>
      </c>
      <c r="AV46" s="31">
        <v>0</v>
      </c>
      <c r="AW46" s="38">
        <v>0</v>
      </c>
      <c r="AX46" s="38">
        <v>0</v>
      </c>
      <c r="AY46" s="31">
        <v>0</v>
      </c>
      <c r="AZ46" s="31">
        <v>0</v>
      </c>
      <c r="BA46" s="38">
        <v>0</v>
      </c>
      <c r="BB46" s="38">
        <v>0</v>
      </c>
      <c r="BC46" s="54">
        <v>0</v>
      </c>
      <c r="BD46" s="54">
        <v>0</v>
      </c>
      <c r="BE46" s="38"/>
      <c r="BF46" s="38"/>
      <c r="BG46" s="31">
        <v>0</v>
      </c>
      <c r="BH46" s="31">
        <v>0</v>
      </c>
      <c r="BI46" s="38">
        <v>0</v>
      </c>
      <c r="BJ46" s="38">
        <v>0</v>
      </c>
      <c r="BK46" s="31">
        <v>0</v>
      </c>
      <c r="BL46" s="31">
        <v>0</v>
      </c>
      <c r="BM46" s="38">
        <v>0</v>
      </c>
      <c r="BN46" s="38">
        <v>0</v>
      </c>
      <c r="BO46" s="31">
        <v>0</v>
      </c>
      <c r="BP46" s="31">
        <v>0</v>
      </c>
      <c r="BQ46" s="38">
        <v>0</v>
      </c>
      <c r="BR46" s="38">
        <v>0</v>
      </c>
      <c r="BS46" s="31">
        <v>0</v>
      </c>
      <c r="BT46" s="31">
        <v>0</v>
      </c>
      <c r="BU46" s="41">
        <v>0</v>
      </c>
      <c r="BV46" s="41">
        <v>0</v>
      </c>
      <c r="BW46" s="31">
        <v>0</v>
      </c>
      <c r="BX46" s="31">
        <v>0</v>
      </c>
      <c r="BY46" s="38">
        <v>0</v>
      </c>
      <c r="BZ46" s="38">
        <v>0</v>
      </c>
    </row>
    <row r="47" ht="21" customHeight="1" spans="1:78">
      <c r="A47" s="16" t="s">
        <v>96</v>
      </c>
      <c r="B47" s="13">
        <v>40</v>
      </c>
      <c r="C47" s="17">
        <f t="shared" si="7"/>
        <v>0</v>
      </c>
      <c r="D47" s="17">
        <f t="shared" si="8"/>
        <v>0</v>
      </c>
      <c r="E47" s="26"/>
      <c r="F47" s="26"/>
      <c r="G47" s="26">
        <f t="shared" si="9"/>
        <v>0</v>
      </c>
      <c r="H47" s="17">
        <f t="shared" si="10"/>
        <v>0</v>
      </c>
      <c r="I47" s="26"/>
      <c r="J47" s="26"/>
      <c r="K47" s="22" t="e">
        <f t="shared" si="16"/>
        <v>#DIV/0!</v>
      </c>
      <c r="L47" s="22" t="e">
        <f t="shared" si="11"/>
        <v>#DIV/0!</v>
      </c>
      <c r="M47" s="26" t="e">
        <f t="shared" si="13"/>
        <v>#DIV/0!</v>
      </c>
      <c r="N47" s="26" t="e">
        <f t="shared" si="12"/>
        <v>#DIV/0!</v>
      </c>
      <c r="O47" s="31">
        <v>0</v>
      </c>
      <c r="P47" s="31">
        <v>0</v>
      </c>
      <c r="Q47" s="38"/>
      <c r="R47" s="38"/>
      <c r="S47" s="31">
        <v>0</v>
      </c>
      <c r="T47" s="31">
        <v>0</v>
      </c>
      <c r="U47" s="50">
        <v>0</v>
      </c>
      <c r="V47" s="50">
        <v>0</v>
      </c>
      <c r="W47" s="31">
        <v>0</v>
      </c>
      <c r="X47" s="31">
        <v>0</v>
      </c>
      <c r="Y47" s="50">
        <v>0</v>
      </c>
      <c r="Z47" s="50">
        <v>0</v>
      </c>
      <c r="AA47" s="31">
        <v>0</v>
      </c>
      <c r="AB47" s="31">
        <v>0</v>
      </c>
      <c r="AC47" s="50">
        <v>0</v>
      </c>
      <c r="AD47" s="50">
        <v>0</v>
      </c>
      <c r="AE47" s="31">
        <v>0</v>
      </c>
      <c r="AF47" s="31">
        <v>0</v>
      </c>
      <c r="AG47" s="50">
        <v>0</v>
      </c>
      <c r="AH47" s="50">
        <v>0</v>
      </c>
      <c r="AI47" s="31">
        <v>0</v>
      </c>
      <c r="AJ47" s="31">
        <v>0</v>
      </c>
      <c r="AK47" s="50">
        <v>0</v>
      </c>
      <c r="AL47" s="50">
        <v>0</v>
      </c>
      <c r="AM47" s="31">
        <v>0</v>
      </c>
      <c r="AN47" s="31">
        <v>0</v>
      </c>
      <c r="AO47" s="50">
        <v>0</v>
      </c>
      <c r="AP47" s="50">
        <v>0</v>
      </c>
      <c r="AQ47" s="31">
        <v>0</v>
      </c>
      <c r="AR47" s="31">
        <v>0</v>
      </c>
      <c r="AS47" s="50">
        <v>0</v>
      </c>
      <c r="AT47" s="50">
        <v>0</v>
      </c>
      <c r="AU47" s="31">
        <v>0</v>
      </c>
      <c r="AV47" s="31">
        <v>0</v>
      </c>
      <c r="AW47" s="50">
        <v>0</v>
      </c>
      <c r="AX47" s="50">
        <v>0</v>
      </c>
      <c r="AY47" s="31">
        <v>0</v>
      </c>
      <c r="AZ47" s="31">
        <v>0</v>
      </c>
      <c r="BA47" s="50">
        <v>0</v>
      </c>
      <c r="BB47" s="50">
        <v>0</v>
      </c>
      <c r="BC47" s="54">
        <v>0</v>
      </c>
      <c r="BD47" s="54">
        <v>0</v>
      </c>
      <c r="BE47" s="50"/>
      <c r="BF47" s="50"/>
      <c r="BG47" s="31">
        <v>0</v>
      </c>
      <c r="BH47" s="31">
        <v>0</v>
      </c>
      <c r="BI47" s="50">
        <v>0</v>
      </c>
      <c r="BJ47" s="50">
        <v>0</v>
      </c>
      <c r="BK47" s="31">
        <v>0</v>
      </c>
      <c r="BL47" s="31">
        <v>0</v>
      </c>
      <c r="BM47" s="50">
        <v>0</v>
      </c>
      <c r="BN47" s="50">
        <v>0</v>
      </c>
      <c r="BO47" s="31">
        <v>0</v>
      </c>
      <c r="BP47" s="31">
        <v>0</v>
      </c>
      <c r="BQ47" s="50">
        <v>0</v>
      </c>
      <c r="BR47" s="50">
        <v>0</v>
      </c>
      <c r="BS47" s="31">
        <v>0</v>
      </c>
      <c r="BT47" s="31">
        <v>0</v>
      </c>
      <c r="BU47" s="41">
        <v>0</v>
      </c>
      <c r="BV47" s="41">
        <v>0</v>
      </c>
      <c r="BW47" s="31">
        <v>0</v>
      </c>
      <c r="BX47" s="31">
        <v>0</v>
      </c>
      <c r="BY47" s="50">
        <v>0</v>
      </c>
      <c r="BZ47" s="50">
        <v>0</v>
      </c>
    </row>
    <row r="48" ht="21" customHeight="1" spans="1:78">
      <c r="A48" s="19" t="s">
        <v>97</v>
      </c>
      <c r="B48" s="20">
        <v>41</v>
      </c>
      <c r="C48" s="17">
        <f t="shared" si="7"/>
        <v>0</v>
      </c>
      <c r="D48" s="17">
        <f t="shared" si="8"/>
        <v>0</v>
      </c>
      <c r="E48" s="27"/>
      <c r="F48" s="27"/>
      <c r="G48" s="26">
        <f t="shared" si="9"/>
        <v>0</v>
      </c>
      <c r="H48" s="17">
        <f t="shared" si="10"/>
        <v>0</v>
      </c>
      <c r="I48" s="27"/>
      <c r="J48" s="27"/>
      <c r="K48" s="27"/>
      <c r="L48" s="22" t="e">
        <f t="shared" si="11"/>
        <v>#DIV/0!</v>
      </c>
      <c r="M48" s="26" t="e">
        <f t="shared" si="13"/>
        <v>#DIV/0!</v>
      </c>
      <c r="N48" s="26" t="e">
        <f>M48/L48</f>
        <v>#DIV/0!</v>
      </c>
      <c r="O48" s="31">
        <v>0</v>
      </c>
      <c r="P48" s="31">
        <v>0</v>
      </c>
      <c r="Q48" s="44"/>
      <c r="R48" s="44"/>
      <c r="S48" s="31">
        <v>0</v>
      </c>
      <c r="T48" s="31">
        <v>0</v>
      </c>
      <c r="U48" s="51">
        <v>0</v>
      </c>
      <c r="V48" s="51">
        <v>0</v>
      </c>
      <c r="W48" s="31">
        <v>0</v>
      </c>
      <c r="X48" s="31">
        <v>0</v>
      </c>
      <c r="Y48" s="51">
        <v>0</v>
      </c>
      <c r="Z48" s="51">
        <v>0</v>
      </c>
      <c r="AA48" s="31">
        <v>0</v>
      </c>
      <c r="AB48" s="31">
        <v>0</v>
      </c>
      <c r="AC48" s="51">
        <v>0</v>
      </c>
      <c r="AD48" s="51">
        <v>0</v>
      </c>
      <c r="AE48" s="31">
        <v>0</v>
      </c>
      <c r="AF48" s="31">
        <v>0</v>
      </c>
      <c r="AG48" s="51">
        <v>0</v>
      </c>
      <c r="AH48" s="51">
        <v>0</v>
      </c>
      <c r="AI48" s="31">
        <v>0</v>
      </c>
      <c r="AJ48" s="31">
        <v>0</v>
      </c>
      <c r="AK48" s="51">
        <v>0</v>
      </c>
      <c r="AL48" s="51">
        <v>0</v>
      </c>
      <c r="AM48" s="31">
        <v>0</v>
      </c>
      <c r="AN48" s="31">
        <v>0</v>
      </c>
      <c r="AO48" s="51">
        <v>0</v>
      </c>
      <c r="AP48" s="51">
        <v>0</v>
      </c>
      <c r="AQ48" s="31">
        <v>0</v>
      </c>
      <c r="AR48" s="31">
        <v>0</v>
      </c>
      <c r="AS48" s="51">
        <v>0</v>
      </c>
      <c r="AT48" s="51">
        <v>0</v>
      </c>
      <c r="AU48" s="31">
        <v>0</v>
      </c>
      <c r="AV48" s="31">
        <v>0</v>
      </c>
      <c r="AW48" s="51">
        <v>0</v>
      </c>
      <c r="AX48" s="51">
        <v>0</v>
      </c>
      <c r="AY48" s="31">
        <v>0</v>
      </c>
      <c r="AZ48" s="31">
        <v>0</v>
      </c>
      <c r="BA48" s="51">
        <v>0</v>
      </c>
      <c r="BB48" s="51">
        <v>0</v>
      </c>
      <c r="BC48" s="54">
        <v>0</v>
      </c>
      <c r="BD48" s="54">
        <v>0</v>
      </c>
      <c r="BE48" s="51"/>
      <c r="BF48" s="51"/>
      <c r="BG48" s="31">
        <v>0</v>
      </c>
      <c r="BH48" s="31">
        <v>0</v>
      </c>
      <c r="BI48" s="51">
        <v>0</v>
      </c>
      <c r="BJ48" s="51">
        <v>0</v>
      </c>
      <c r="BK48" s="31">
        <v>0</v>
      </c>
      <c r="BL48" s="31">
        <v>0</v>
      </c>
      <c r="BM48" s="51">
        <v>0</v>
      </c>
      <c r="BN48" s="51">
        <v>0</v>
      </c>
      <c r="BO48" s="31">
        <v>0</v>
      </c>
      <c r="BP48" s="31">
        <v>0</v>
      </c>
      <c r="BQ48" s="51">
        <v>0</v>
      </c>
      <c r="BR48" s="51">
        <v>0</v>
      </c>
      <c r="BS48" s="31">
        <v>0</v>
      </c>
      <c r="BT48" s="31">
        <v>0</v>
      </c>
      <c r="BU48" s="41">
        <v>0</v>
      </c>
      <c r="BV48" s="41">
        <v>0</v>
      </c>
      <c r="BW48" s="31">
        <v>0</v>
      </c>
      <c r="BX48" s="31">
        <v>0</v>
      </c>
      <c r="BY48" s="51">
        <v>0</v>
      </c>
      <c r="BZ48" s="51">
        <v>0</v>
      </c>
    </row>
    <row r="49" s="3" customFormat="1" ht="21.75" customHeight="1" spans="1:78">
      <c r="A49" s="19" t="s">
        <v>98</v>
      </c>
      <c r="B49" s="21"/>
      <c r="C49" s="17">
        <f t="shared" si="7"/>
        <v>0</v>
      </c>
      <c r="D49" s="17">
        <f t="shared" si="8"/>
        <v>0</v>
      </c>
      <c r="E49" s="21"/>
      <c r="F49" s="21"/>
      <c r="G49" s="26">
        <f t="shared" si="9"/>
        <v>0</v>
      </c>
      <c r="H49" s="17">
        <f t="shared" si="10"/>
        <v>0</v>
      </c>
      <c r="I49" s="10"/>
      <c r="J49" s="10"/>
      <c r="K49" s="27"/>
      <c r="L49" s="22" t="e">
        <f t="shared" si="11"/>
        <v>#DIV/0!</v>
      </c>
      <c r="M49" s="26" t="e">
        <f t="shared" si="13"/>
        <v>#DIV/0!</v>
      </c>
      <c r="N49" s="26" t="e">
        <f>M49/L49</f>
        <v>#DIV/0!</v>
      </c>
      <c r="O49" s="31">
        <v>0</v>
      </c>
      <c r="P49" s="31">
        <v>0</v>
      </c>
      <c r="Q49" s="45"/>
      <c r="R49" s="45"/>
      <c r="S49" s="31">
        <v>0</v>
      </c>
      <c r="T49" s="31">
        <v>0</v>
      </c>
      <c r="U49" s="52">
        <v>0</v>
      </c>
      <c r="V49" s="52">
        <v>0</v>
      </c>
      <c r="W49" s="31">
        <v>0</v>
      </c>
      <c r="X49" s="31">
        <v>0</v>
      </c>
      <c r="Y49" s="45">
        <v>0</v>
      </c>
      <c r="Z49" s="45">
        <v>0</v>
      </c>
      <c r="AA49" s="31">
        <v>0</v>
      </c>
      <c r="AB49" s="31">
        <v>0</v>
      </c>
      <c r="AC49" s="45">
        <v>0</v>
      </c>
      <c r="AD49" s="45">
        <v>0</v>
      </c>
      <c r="AE49" s="31">
        <v>0</v>
      </c>
      <c r="AF49" s="31">
        <v>0</v>
      </c>
      <c r="AG49" s="45">
        <v>0</v>
      </c>
      <c r="AH49" s="45">
        <v>0</v>
      </c>
      <c r="AI49" s="31">
        <v>0</v>
      </c>
      <c r="AJ49" s="31">
        <v>0</v>
      </c>
      <c r="AK49" s="45">
        <v>0</v>
      </c>
      <c r="AL49" s="45">
        <v>0</v>
      </c>
      <c r="AM49" s="31">
        <v>0</v>
      </c>
      <c r="AN49" s="31">
        <v>0</v>
      </c>
      <c r="AO49" s="45">
        <v>0</v>
      </c>
      <c r="AP49" s="45">
        <v>0</v>
      </c>
      <c r="AQ49" s="31">
        <v>0</v>
      </c>
      <c r="AR49" s="31">
        <v>0</v>
      </c>
      <c r="AS49" s="45">
        <v>0</v>
      </c>
      <c r="AT49" s="45">
        <v>0</v>
      </c>
      <c r="AU49" s="31">
        <v>0</v>
      </c>
      <c r="AV49" s="31">
        <v>0</v>
      </c>
      <c r="AW49" s="45">
        <v>0</v>
      </c>
      <c r="AX49" s="45">
        <v>0</v>
      </c>
      <c r="AY49" s="31">
        <v>0</v>
      </c>
      <c r="AZ49" s="31">
        <v>0</v>
      </c>
      <c r="BA49" s="45">
        <v>0</v>
      </c>
      <c r="BB49" s="45">
        <v>0</v>
      </c>
      <c r="BC49" s="54">
        <v>0</v>
      </c>
      <c r="BD49" s="54">
        <v>0</v>
      </c>
      <c r="BE49" s="45"/>
      <c r="BF49" s="45"/>
      <c r="BG49" s="31">
        <v>0</v>
      </c>
      <c r="BH49" s="31">
        <v>0</v>
      </c>
      <c r="BI49" s="45">
        <v>0</v>
      </c>
      <c r="BJ49" s="45">
        <v>0</v>
      </c>
      <c r="BK49" s="31">
        <v>0</v>
      </c>
      <c r="BL49" s="31">
        <v>0</v>
      </c>
      <c r="BM49" s="45">
        <v>0</v>
      </c>
      <c r="BN49" s="45">
        <v>0</v>
      </c>
      <c r="BO49" s="31">
        <v>0</v>
      </c>
      <c r="BP49" s="31">
        <v>0</v>
      </c>
      <c r="BQ49" s="45">
        <v>0</v>
      </c>
      <c r="BR49" s="45">
        <v>0</v>
      </c>
      <c r="BS49" s="31">
        <v>0</v>
      </c>
      <c r="BT49" s="31">
        <v>0</v>
      </c>
      <c r="BU49" s="41">
        <v>0</v>
      </c>
      <c r="BV49" s="41">
        <v>0</v>
      </c>
      <c r="BW49" s="31">
        <v>0</v>
      </c>
      <c r="BX49" s="31">
        <v>0</v>
      </c>
      <c r="BY49" s="45">
        <v>0</v>
      </c>
      <c r="BZ49" s="45">
        <v>0</v>
      </c>
    </row>
    <row r="50" spans="1:78">
      <c r="A50" s="19" t="s">
        <v>99</v>
      </c>
      <c r="B50" s="22"/>
      <c r="C50" s="17">
        <f t="shared" si="7"/>
        <v>0</v>
      </c>
      <c r="D50" s="17">
        <f t="shared" si="8"/>
        <v>0</v>
      </c>
      <c r="E50" s="22"/>
      <c r="F50" s="22"/>
      <c r="G50" s="26">
        <f t="shared" si="9"/>
        <v>0</v>
      </c>
      <c r="H50" s="17">
        <f t="shared" si="10"/>
        <v>0</v>
      </c>
      <c r="I50" s="22"/>
      <c r="J50" s="22"/>
      <c r="K50" s="27"/>
      <c r="L50" s="22" t="e">
        <f t="shared" si="11"/>
        <v>#DIV/0!</v>
      </c>
      <c r="M50" s="22"/>
      <c r="N50" s="22"/>
      <c r="O50" s="31">
        <v>0</v>
      </c>
      <c r="P50" s="31">
        <v>0</v>
      </c>
      <c r="Q50" s="38"/>
      <c r="R50" s="38"/>
      <c r="S50" s="31">
        <v>0</v>
      </c>
      <c r="T50" s="31">
        <v>0</v>
      </c>
      <c r="U50" s="50">
        <v>0</v>
      </c>
      <c r="V50" s="50">
        <v>0</v>
      </c>
      <c r="W50" s="31">
        <v>0</v>
      </c>
      <c r="X50" s="31">
        <v>0</v>
      </c>
      <c r="Y50" s="38">
        <v>0</v>
      </c>
      <c r="Z50" s="38">
        <v>0</v>
      </c>
      <c r="AA50" s="31">
        <v>0</v>
      </c>
      <c r="AB50" s="31">
        <v>0</v>
      </c>
      <c r="AC50" s="38">
        <v>0</v>
      </c>
      <c r="AD50" s="38">
        <v>0</v>
      </c>
      <c r="AE50" s="31">
        <v>0</v>
      </c>
      <c r="AF50" s="31">
        <v>0</v>
      </c>
      <c r="AG50" s="38">
        <v>0</v>
      </c>
      <c r="AH50" s="38">
        <v>0</v>
      </c>
      <c r="AI50" s="31">
        <v>0</v>
      </c>
      <c r="AJ50" s="31">
        <v>0</v>
      </c>
      <c r="AK50" s="38">
        <v>0</v>
      </c>
      <c r="AL50" s="38">
        <v>0</v>
      </c>
      <c r="AM50" s="31">
        <v>0</v>
      </c>
      <c r="AN50" s="31">
        <v>0</v>
      </c>
      <c r="AO50" s="38">
        <v>0</v>
      </c>
      <c r="AP50" s="38">
        <v>0</v>
      </c>
      <c r="AQ50" s="31">
        <v>0</v>
      </c>
      <c r="AR50" s="31">
        <v>0</v>
      </c>
      <c r="AS50" s="38">
        <v>0</v>
      </c>
      <c r="AT50" s="38">
        <v>0</v>
      </c>
      <c r="AU50" s="31">
        <v>0</v>
      </c>
      <c r="AV50" s="31">
        <v>0</v>
      </c>
      <c r="AW50" s="38">
        <v>0</v>
      </c>
      <c r="AX50" s="38">
        <v>0</v>
      </c>
      <c r="AY50" s="31">
        <v>0</v>
      </c>
      <c r="AZ50" s="31">
        <v>0</v>
      </c>
      <c r="BA50" s="38">
        <v>0</v>
      </c>
      <c r="BB50" s="38">
        <v>0</v>
      </c>
      <c r="BC50" s="54">
        <v>0</v>
      </c>
      <c r="BD50" s="54">
        <v>0</v>
      </c>
      <c r="BE50" s="38"/>
      <c r="BF50" s="38"/>
      <c r="BG50" s="31">
        <v>0</v>
      </c>
      <c r="BH50" s="31">
        <v>0</v>
      </c>
      <c r="BI50" s="38">
        <v>0</v>
      </c>
      <c r="BJ50" s="38">
        <v>0</v>
      </c>
      <c r="BK50" s="31">
        <v>0</v>
      </c>
      <c r="BL50" s="31">
        <v>0</v>
      </c>
      <c r="BM50" s="38">
        <v>0</v>
      </c>
      <c r="BN50" s="38">
        <v>0</v>
      </c>
      <c r="BO50" s="31">
        <v>0</v>
      </c>
      <c r="BP50" s="31">
        <v>0</v>
      </c>
      <c r="BQ50" s="38">
        <v>0</v>
      </c>
      <c r="BR50" s="38">
        <v>0</v>
      </c>
      <c r="BS50" s="31">
        <v>0</v>
      </c>
      <c r="BT50" s="31">
        <v>0</v>
      </c>
      <c r="BU50" s="41">
        <v>0</v>
      </c>
      <c r="BV50" s="41">
        <v>0</v>
      </c>
      <c r="BW50" s="31">
        <v>0</v>
      </c>
      <c r="BX50" s="31">
        <v>0</v>
      </c>
      <c r="BY50" s="38">
        <v>0</v>
      </c>
      <c r="BZ50" s="38">
        <v>0</v>
      </c>
    </row>
    <row r="51" spans="15:32">
      <c r="O51" s="1">
        <v>0</v>
      </c>
      <c r="P51" s="1">
        <v>0</v>
      </c>
      <c r="S51" s="2">
        <v>0</v>
      </c>
      <c r="AF51" s="31" t="s">
        <v>100</v>
      </c>
    </row>
    <row r="52" spans="13:19">
      <c r="M52" s="32"/>
      <c r="O52" s="1">
        <v>0</v>
      </c>
      <c r="P52" s="1">
        <v>0</v>
      </c>
      <c r="S52" s="2">
        <v>0</v>
      </c>
    </row>
  </sheetData>
  <mergeCells count="44">
    <mergeCell ref="A1:N1"/>
    <mergeCell ref="B2:D2"/>
    <mergeCell ref="B3:D3"/>
    <mergeCell ref="C4:N4"/>
    <mergeCell ref="C5:F5"/>
    <mergeCell ref="G5:J5"/>
    <mergeCell ref="K5:N5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B4:B6"/>
    <mergeCell ref="E2:F3"/>
    <mergeCell ref="G2:H3"/>
    <mergeCell ref="I2:J3"/>
    <mergeCell ref="K2:L3"/>
    <mergeCell ref="M2:N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LSVJ2IJO A412（村）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该怎么样</cp:lastModifiedBy>
  <dcterms:created xsi:type="dcterms:W3CDTF">2024-07-22T02:57:00Z</dcterms:created>
  <dcterms:modified xsi:type="dcterms:W3CDTF">2026-06-10T10:15:43Z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CE2B58A8D790035BAEC5286A01344009_43</vt:lpwstr>
  </property>
  <property fmtid="{D5CDD505-2E9C-101B-9397-08002B2CF9AE}" pid="3" name="KSOProductBuildVer">
    <vt:lpwstr>2052-12.8.2.1113</vt:lpwstr>
  </property>
  <property fmtid="{D5CDD505-2E9C-101B-9397-08002B2CF9AE}" pid="4" name="CalculationRule">
    <vt:i4>0</vt:i4>
  </property>
</Properties>
</file>